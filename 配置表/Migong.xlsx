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tabRatio="821"/>
  </bookViews>
  <sheets>
    <sheet name="Migong" sheetId="1" r:id="rId1"/>
    <sheet name="辅助" sheetId="2" r:id="rId2"/>
    <sheet name="每波成长" sheetId="4" r:id="rId3"/>
    <sheet name="部队设定" sheetId="7" r:id="rId4"/>
    <sheet name="出怪成长" sheetId="5" r:id="rId5"/>
    <sheet name="出怪数量" sheetId="6" r:id="rId6"/>
    <sheet name="Sheet1" sheetId="8" r:id="rId7"/>
  </sheets>
  <externalReferences>
    <externalReference r:id="rId8"/>
  </externalReferences>
  <definedNames>
    <definedName name="_xlnm._FilterDatabase" localSheetId="0" hidden="1">Migong!$A$1:$BR$118</definedName>
    <definedName name="_xlnm._FilterDatabase" localSheetId="5" hidden="1">出怪数量!$U$2:$CX$98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NINGMEI</author>
  </authors>
  <commentLis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1:30:1002+400
Item种类：概率：具体资源+数量
3:5:3+70%4+30
装备：概率：品质3,70%概率，品质4,30%概率（数量1个）
2:15:3+70%4+30
合成材料：概率：品质3,70%概率，品质4,30%概率（数量1个）
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1:30:1002+400
Item种类：概率：具体资源+数量
3:5:3+70%4+30
装备：概率：品质3,70%概率，品质4,30%概率（数量1个）
2:15:3+70%4+30
合成材料：概率：品质3,70%概率，品质4,30%概率（数量1个）
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1:30:1002+400
Item种类：概率：具体资源+数量
3:5:3+70%4+30
装备：概率：品质3,70%概率，品质4,30%概率（数量1个）
2:15:3+70%4+30
合成材料：概率：品质3,70%概率，品质4,30%概率（数量1个）
</t>
        </r>
      </text>
    </comment>
    <comment ref="U3" authorId="1">
      <text>
        <r>
          <rPr>
            <sz val="9"/>
            <rFont val="宋体"/>
            <charset val="134"/>
          </rPr>
          <t>1体力=1经验</t>
        </r>
      </text>
    </comment>
    <comment ref="AE3" authorId="1">
      <text>
        <r>
          <rPr>
            <sz val="9"/>
            <rFont val="宋体"/>
            <charset val="134"/>
          </rPr>
          <t>针对该关卡每个怪额外增加经验</t>
        </r>
      </text>
    </comment>
    <comment ref="AI3" authorId="1">
      <text>
        <r>
          <rPr>
            <sz val="9"/>
            <rFont val="宋体"/>
            <charset val="134"/>
          </rPr>
          <t>波次#BOSSID#每个数量
在普通怪基础上额外出BOSS</t>
        </r>
      </text>
    </comment>
    <comment ref="AJ3" authorId="1">
      <text>
        <r>
          <rPr>
            <sz val="9"/>
            <rFont val="宋体"/>
            <charset val="134"/>
          </rPr>
          <t>出怪口数量[1:10:1#2:10：2|1:10：0|2:10：0]
 代表3波，第一波1和2出怪,各10个怪，第2波1出怪，0代表随机
1:10:1（第一个口：出10个：地面单位）
0：所有单位
1：地面单位
2：飞兵单位</t>
        </r>
      </text>
    </comment>
    <comment ref="AK3" authorId="1">
      <text>
        <r>
          <rPr>
            <sz val="9"/>
            <rFont val="宋体"/>
            <charset val="134"/>
          </rPr>
          <t>[1:怪物ID，怪物ID，怪物ID|2:怪物ID,怪物ID] 代表两组，根据组去取</t>
        </r>
      </text>
    </comment>
    <comment ref="AL3" authorId="1">
      <text>
        <r>
          <rPr>
            <sz val="9"/>
            <rFont val="宋体"/>
            <charset val="134"/>
          </rPr>
          <t>层数#部队库#增长难度
增长难度：层数*增长系数*增长属性（从分隔符开始算其实层）
比如1,4,7：分别计算第3层，第6层和第9层为起始层0</t>
        </r>
      </text>
    </comment>
    <comment ref="AN3" authorId="1">
      <text>
        <r>
          <rPr>
            <sz val="9"/>
            <rFont val="宋体"/>
            <charset val="134"/>
          </rPr>
          <t>配置需求：
不同挑战怪用|隔开
同挑战怪不同奖励用#隔开
奖励1：首次挑战奖励，配置   类型:道具ID:数量
奖励2：金矿奖励，配置  类型:数量
奖励3：全英雄经验奖励  类型:数量
奖励4：技能奖励        类型:技能ID</t>
        </r>
      </text>
    </comment>
    <comment ref="AP3" authorId="0">
      <text>
        <r>
          <rPr>
            <sz val="9"/>
            <rFont val="宋体"/>
            <charset val="134"/>
          </rPr>
          <t xml:space="preserve">花费金币#怪1ID:怪物数量;怪2ID:数量(|作为下一个挑战怪数据分割）
</t>
        </r>
      </text>
    </comment>
    <comment ref="AS3" authorId="1">
      <text>
        <r>
          <rPr>
            <sz val="9"/>
            <rFont val="宋体"/>
            <charset val="134"/>
          </rPr>
          <t>坐标点：怪物ID#怪物数量,怪物ID#怪物数量
|分割下个坐标点</t>
        </r>
      </text>
    </comment>
    <comment ref="AV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  RandomAllMonster = 1, //全随机怪
    RandomSingleMonster = 2, //随机一种怪
    BoxSkill = 3,  //宝箱送技能
    SkillUpShop = 4,  //技能强化
    JinHuaShenDian = 5,  //进化神殿
    AllRecover = 6,  //群体回血
    SingleRecover = 7,  //单体回血
    PowerUpShop = 8,  // 英雄和怪物强化
    SkillShop = 9,  //技能商店
    ForgetSkill = 10, //遗忘技能
    DiFang1=11, //敌方部队数量+1
    DiFang2 = 12,  //敌方部队数量+2
    DiFang3 = 13,  //敌方部队数量+3
    MpRecover = 14, //魔法恢复
    BuyTroop = 15, //购买雇佣兵
    TimeBack = 16,//时空大门
    SpecialPk = 17,  //特殊挑战
    MirrorPk=18, //镜像挑战
    FuHuoGod=19,//复活天神
    BianHuaShop =20,//变化商店
    TreasureBox=21,//宝箱
    BuildShop=22,//制作工坊
    GuaiWuUp = 23,//怪物强度x2
    Boss = 51,   //标准boss战
    AtkCastle = 52,   //攻城战
    DefCastle = 53,   //守城战
    HelpAlly = 54,   //拯救友军(与敌人战斗中)
    EscortAlly = 55,   //护送友军(送到指定目的)   
</t>
        </r>
      </text>
    </comment>
    <comment ref="AY3" authorId="0">
      <text>
        <r>
          <rPr>
            <sz val="9"/>
            <rFont val="宋体"/>
            <charset val="134"/>
          </rPr>
          <t xml:space="preserve">Administrator:
1:30:1002+400
Item种类：概率：具体资源+数量
2:5:3+70%4+30
装备：概率：品质3,70%概率，品质4,30%概率（数量1个）
3:15:3+70%4+30
装备材料：概率：品质3,70%概率，品质4,30%概率（数量1个）
4:15:3+70%4+30
怪物材料：概率：品质3,70%概率，品质4,30%概率（数量1个）
5: 20:1+70%2+30
经验书：概率：品质1,70%概率，品质2,30%概率（数量1个）
</t>
        </r>
      </text>
    </comment>
    <comment ref="AL108" authorId="1">
      <text>
        <r>
          <rPr>
            <sz val="9"/>
            <rFont val="宋体"/>
            <charset val="134"/>
          </rPr>
          <t>层数#怪物级别#初始难度*递增难度</t>
        </r>
      </text>
    </comment>
    <comment ref="BF108" authorId="1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英雄id随机101-120(程序计算)
*起始强度*每层提升强度</t>
        </r>
      </text>
    </comment>
    <comment ref="BF111" authorId="1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英雄id随机101-120(程序计算)
*起始强度*每层提升强度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NINGMEI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1:30:1002+400
Item种类：概率：具体资源+数量
3:5:3+70%4+30
装备：概率：品质3,70%概率，品质4,30%概率（数量1个）
2:15:3+70%4+30
合成材料：概率：品质3,70%概率，品质4,30%概率（数量1个）
</t>
        </r>
      </text>
    </comment>
    <comment ref="K3" authorId="1">
      <text>
        <r>
          <rPr>
            <sz val="9"/>
            <rFont val="宋体"/>
            <charset val="134"/>
          </rPr>
          <t>1体力=1经验</t>
        </r>
      </text>
    </comment>
    <comment ref="R3" authorId="1">
      <text>
        <r>
          <rPr>
            <sz val="9"/>
            <rFont val="宋体"/>
            <charset val="134"/>
          </rPr>
          <t>针对该关卡每个怪额外增加经验</t>
        </r>
      </text>
    </comment>
    <comment ref="V3" authorId="1">
      <text>
        <r>
          <rPr>
            <sz val="9"/>
            <rFont val="宋体"/>
            <charset val="134"/>
          </rPr>
          <t>波次#BOSSID#每个数量
在普通怪基础上额外出BOSS</t>
        </r>
      </text>
    </comment>
    <comment ref="W3" authorId="1">
      <text>
        <r>
          <rPr>
            <sz val="9"/>
            <rFont val="宋体"/>
            <charset val="134"/>
          </rPr>
          <t>出怪口数量[1:10:1#2:10：2|1:10：0|2:10：0]
 代表3波，第一波1和2出怪,各10个怪，第2波1出怪，0代表随机
1:10:1（第一个口：出10个：地面单位）
0：所有单位
1：地面单位
2：飞兵单位</t>
        </r>
      </text>
    </comment>
    <comment ref="X3" authorId="1">
      <text>
        <r>
          <rPr>
            <sz val="9"/>
            <rFont val="宋体"/>
            <charset val="134"/>
          </rPr>
          <t>[1:怪物ID，怪物ID，怪物ID|2:怪物ID,怪物ID] 代表两组，根据组去取</t>
        </r>
      </text>
    </comment>
    <comment ref="Y3" authorId="1">
      <text>
        <r>
          <rPr>
            <sz val="9"/>
            <rFont val="宋体"/>
            <charset val="134"/>
          </rPr>
          <t>层数#部队库#增长难度
增长难度：层数*增长系数*增长属性（从分隔符开始算其实层）
比如1,4,7：分别计算第3层，第6层和第9层为起始层0</t>
        </r>
      </text>
    </comment>
    <comment ref="AA3" authorId="1">
      <text>
        <r>
          <rPr>
            <sz val="9"/>
            <rFont val="宋体"/>
            <charset val="134"/>
          </rPr>
          <t>配置需求：
不同挑战怪用|隔开
同挑战怪不同奖励用#隔开
奖励1：首次挑战奖励，配置   类型:道具ID:数量
奖励2：金矿奖励，配置  类型:数量
奖励3：全英雄经验奖励  类型:数量
奖励4：技能奖励        类型:技能ID</t>
        </r>
      </text>
    </comment>
    <comment ref="AC3" authorId="0">
      <text>
        <r>
          <rPr>
            <sz val="9"/>
            <rFont val="宋体"/>
            <charset val="134"/>
          </rPr>
          <t xml:space="preserve">花费金币#怪1ID:怪物数量;怪2ID:数量(|作为下一个挑战怪数据分割）
</t>
        </r>
      </text>
    </comment>
    <comment ref="AF3" authorId="1">
      <text>
        <r>
          <rPr>
            <sz val="9"/>
            <rFont val="宋体"/>
            <charset val="134"/>
          </rPr>
          <t>坐标点：怪物ID#怪物数量,怪物ID#怪物数量
|分割下个坐标点</t>
        </r>
      </text>
    </comment>
    <comment ref="A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  RandomAllMonster = 1, //全随机怪
    RandomSingleMonster = 2, //随机一种怪
    BoxSkill = 3,  //宝箱送技能
    SkillUpShop = 4,  //技能强化
    JinHuaShenDian = 5,  //进化神殿
    AllRecover = 6,  //群体回血
    SingleRecover = 7,  //单体回血
    PowerUpShop = 8,  // 英雄和怪物强化
    SkillShop = 9,  //技能商店
    ForgetSkill = 10, //遗忘技能
    DiFang1=11, //敌方部队数量+1
    DiFang2 = 12,  //敌方部队数量+2
    DiFang3 = 13,  //敌方部队数量+3
    MpRecover = 14, //魔法恢复
    BuyTroop = 15, //购买雇佣兵
    TimeBack = 16,//时空大门
    SpecialPk = 17,  //特殊挑战
    MirrorPk=18, //镜像挑战
    FuHuoGod=19,//复活天神
    BianHuaShop =20,//变化商店
    TreasureBox=21,//宝箱
    BuildShop=22,//制作工坊
    GuaiWuUp = 23,//怪物强度x2
    Boss = 51,   //标准boss战
    AtkCastle = 52,   //攻城战
    DefCastle = 53,   //守城战
    HelpAlly = 54,   //拯救友军(与敌人战斗中)
    EscortAlly = 55,   //护送友军(送到指定目的)   
</t>
        </r>
      </text>
    </comment>
    <comment ref="AL3" authorId="0">
      <text>
        <r>
          <rPr>
            <sz val="9"/>
            <rFont val="宋体"/>
            <charset val="134"/>
          </rPr>
          <t xml:space="preserve">Administrator:
1:30:1002+400
Item种类：概率：具体资源+数量
2:5:3+70%4+30
装备：概率：品质3,70%概率，品质4,30%概率（数量1个）
3:15:3+70%4+30
装备材料：概率：品质3,70%概率，品质4,30%概率（数量1个）
4:15:3+70%4+30
怪物材料：概率：品质3,70%概率，品质4,30%概率（数量1个）
5: 20:1+70%2+30
经验书：概率：品质1,70%概率，品质2,30%概率（数量1个）
</t>
        </r>
      </text>
    </comment>
    <comment ref="Q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每级增加点数+每级消耗系数</t>
        </r>
      </text>
    </comment>
    <comment ref="Y108" authorId="1">
      <text>
        <r>
          <rPr>
            <sz val="9"/>
            <rFont val="宋体"/>
            <charset val="134"/>
          </rPr>
          <t>层数#怪物级别#初始难度*递增难度</t>
        </r>
      </text>
    </comment>
    <comment ref="AS108" authorId="1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英雄id随机101-120(程序计算)
*起始强度*每层提升强度</t>
        </r>
      </text>
    </comment>
    <comment ref="AS111" authorId="1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英雄id随机101-120(程序计算)
*起始强度*每层提升强度</t>
        </r>
      </text>
    </comment>
  </commentList>
</comments>
</file>

<file path=xl/comments3.xml><?xml version="1.0" encoding="utf-8"?>
<comments xmlns="http://schemas.openxmlformats.org/spreadsheetml/2006/main">
  <authors>
    <author>NINGMEI</author>
  </authors>
  <commentList>
    <comment ref="D1" authorId="0">
      <text>
        <r>
          <rPr>
            <sz val="9"/>
            <rFont val="宋体"/>
            <charset val="134"/>
          </rPr>
          <t>波次#BOSSID#每个数量
在普通怪基础上额外出BOSS</t>
        </r>
      </text>
    </comment>
    <comment ref="E1" authorId="0">
      <text>
        <r>
          <rPr>
            <sz val="9"/>
            <rFont val="宋体"/>
            <charset val="134"/>
          </rPr>
          <t>[1:怪物ID，怪物ID，怪物ID|2:怪物ID,怪物ID] 代表两组，根据组去取</t>
        </r>
      </text>
    </comment>
    <comment ref="F1" authorId="0">
      <text>
        <r>
          <rPr>
            <sz val="9"/>
            <rFont val="宋体"/>
            <charset val="134"/>
          </rPr>
          <t>层数#部队库#增长难度
增长难度：层数*增长系数*增长属性（从分隔符开始算其实层）
比如1,4,7：分别计算第3层，第6层和第9层为起始层0</t>
        </r>
      </text>
    </comment>
  </commentList>
</comments>
</file>

<file path=xl/comments4.xml><?xml version="1.0" encoding="utf-8"?>
<comments xmlns="http://schemas.openxmlformats.org/spreadsheetml/2006/main">
  <authors>
    <author>NINGMEI</author>
  </authors>
  <commentList>
    <comment ref="Z2" authorId="0">
      <text>
        <r>
          <rPr>
            <sz val="9"/>
            <rFont val="宋体"/>
            <charset val="134"/>
          </rPr>
          <t>出怪口数量[1:10#2:10|1:10|2:10|0:10|0:10|0:10|0:10]
 代表7波，第一波1和2出怪,各10个怪，第2波1出怪，0代表随机</t>
        </r>
      </text>
    </comment>
  </commentList>
</comments>
</file>

<file path=xl/sharedStrings.xml><?xml version="1.0" encoding="utf-8"?>
<sst xmlns="http://schemas.openxmlformats.org/spreadsheetml/2006/main" count="8619" uniqueCount="1319">
  <si>
    <t>MiGongID</t>
  </si>
  <si>
    <t>LevelType</t>
  </si>
  <si>
    <t>Name</t>
  </si>
  <si>
    <t>Icon</t>
  </si>
  <si>
    <t>NextLevel</t>
  </si>
  <si>
    <t>ChaptersLv</t>
  </si>
  <si>
    <t>ChaptersLv1</t>
  </si>
  <si>
    <t>TurnCount</t>
  </si>
  <si>
    <t>TurnCount1</t>
  </si>
  <si>
    <t>TurnCount2</t>
  </si>
  <si>
    <t>Difficulty</t>
  </si>
  <si>
    <t>Difficulty1</t>
  </si>
  <si>
    <t>Difficulty2</t>
  </si>
  <si>
    <t>BossReward</t>
  </si>
  <si>
    <t>BossReward1</t>
  </si>
  <si>
    <t>BossReward2</t>
  </si>
  <si>
    <t>Pool</t>
  </si>
  <si>
    <t>Pool1</t>
  </si>
  <si>
    <t>Pool2</t>
  </si>
  <si>
    <t>Showitem</t>
  </si>
  <si>
    <t>Energy</t>
  </si>
  <si>
    <t>Idle</t>
  </si>
  <si>
    <t>IdleKing</t>
  </si>
  <si>
    <t>Idle1</t>
  </si>
  <si>
    <t>Mapaudio</t>
  </si>
  <si>
    <t>ChaptersId</t>
  </si>
  <si>
    <t>DiffcultId</t>
  </si>
  <si>
    <t>Lv</t>
  </si>
  <si>
    <t>Lv1</t>
  </si>
  <si>
    <t>StartCoin</t>
  </si>
  <si>
    <t>Exp</t>
  </si>
  <si>
    <t>OutMonster</t>
  </si>
  <si>
    <t>RoundOut</t>
  </si>
  <si>
    <t>Times</t>
  </si>
  <si>
    <t>BOSS</t>
  </si>
  <si>
    <t>Export</t>
  </si>
  <si>
    <t>TroopLib</t>
  </si>
  <si>
    <t>BossMonster</t>
  </si>
  <si>
    <t>DiffXiShu</t>
  </si>
  <si>
    <t>Reward</t>
  </si>
  <si>
    <t>FirstSklillLib</t>
  </si>
  <si>
    <t>Challenge</t>
  </si>
  <si>
    <t>ChallengeNum</t>
  </si>
  <si>
    <t>ChildLevelName</t>
  </si>
  <si>
    <t>ChallengePos</t>
  </si>
  <si>
    <t>Box</t>
  </si>
  <si>
    <t>Pos</t>
  </si>
  <si>
    <t>LevelSequence</t>
  </si>
  <si>
    <t>BianShenSkillLib</t>
  </si>
  <si>
    <t>JuQingType</t>
  </si>
  <si>
    <t>BoxAndMonsterReward</t>
  </si>
  <si>
    <t>Story</t>
  </si>
  <si>
    <t>LevelStory</t>
  </si>
  <si>
    <t>Nandu</t>
  </si>
  <si>
    <t>Difficult</t>
  </si>
  <si>
    <t>BossAlly</t>
  </si>
  <si>
    <t>BossLib</t>
  </si>
  <si>
    <t>BossSkill</t>
  </si>
  <si>
    <t>BossMonsterNum</t>
  </si>
  <si>
    <t>Mapmodel</t>
  </si>
  <si>
    <t>MapName</t>
  </si>
  <si>
    <t>int</t>
  </si>
  <si>
    <t>string</t>
  </si>
  <si>
    <t>float</t>
  </si>
  <si>
    <t>迷宫关卡章节对应id</t>
  </si>
  <si>
    <t>0常规1幻境2无尽守3攻城战4守城战5拯救友军6护送友军</t>
  </si>
  <si>
    <t>名称</t>
  </si>
  <si>
    <t>图标</t>
  </si>
  <si>
    <t>下一个关卡id</t>
  </si>
  <si>
    <t>简单关卡等级(参与）</t>
  </si>
  <si>
    <t>困难关卡等级(参与）</t>
  </si>
  <si>
    <t>简单难度回合数</t>
  </si>
  <si>
    <t>困难难度回合数</t>
  </si>
  <si>
    <t>地狱难度回合数</t>
  </si>
  <si>
    <t>简单关卡难度系数</t>
  </si>
  <si>
    <t>困难难度难度系数</t>
  </si>
  <si>
    <t>地狱难度难度系数</t>
  </si>
  <si>
    <t>简单难度（通关奖励|1星奖励|2星奖励|3星奖励）</t>
  </si>
  <si>
    <t>困难难度（通关奖励|1星奖励|2星奖励|3星奖励）</t>
  </si>
  <si>
    <t>地狱难度（通关奖励|1星奖励|2星奖励|3星奖励）</t>
  </si>
  <si>
    <t>简单难度卡牌掉落</t>
  </si>
  <si>
    <t>困难难度卡牌掉落</t>
  </si>
  <si>
    <t>地狱难度卡牌掉落</t>
  </si>
  <si>
    <t>挑战怪奖励展示</t>
  </si>
  <si>
    <t>消耗体力</t>
  </si>
  <si>
    <t>挂机奖励每次产出的卡牌碎片数量（品质：数量|品质：数量|...）</t>
  </si>
  <si>
    <t>挂机奖励会产出那些国王的卡牌碎片（国王id：国王id）</t>
  </si>
  <si>
    <t>挂机奖励每次产出的金币数量（道具id和数量）</t>
  </si>
  <si>
    <t>背景音乐</t>
  </si>
  <si>
    <t>当前章节</t>
  </si>
  <si>
    <t>关卡难度</t>
  </si>
  <si>
    <t>简单怪物等级</t>
  </si>
  <si>
    <t>困难怪物等级</t>
  </si>
  <si>
    <t>初始金币</t>
  </si>
  <si>
    <t>每关怪物经验</t>
  </si>
  <si>
    <t>初始出怪时间(毫秒)</t>
  </si>
  <si>
    <t>回合出怪间隔(毫秒)</t>
  </si>
  <si>
    <t>关卡防守总波次</t>
  </si>
  <si>
    <t>BOSS出现波次</t>
  </si>
  <si>
    <t>出怪</t>
  </si>
  <si>
    <t>部队库</t>
  </si>
  <si>
    <t>层数#部队库#层数增长系数</t>
  </si>
  <si>
    <t>关卡波次属性增长值（生命#双攻#双防）</t>
  </si>
  <si>
    <t>挑战怪奖励</t>
  </si>
  <si>
    <t>优先必出技能，|对应等级，2</t>
  </si>
  <si>
    <t>挑战怪</t>
  </si>
  <si>
    <t>挑战怪数量</t>
  </si>
  <si>
    <t>关卡难度描述</t>
  </si>
  <si>
    <t>关卡挑战怪点</t>
  </si>
  <si>
    <t>宝箱坐标点</t>
  </si>
  <si>
    <t>关卡坐标点位</t>
  </si>
  <si>
    <t>固定事件列表</t>
  </si>
  <si>
    <t>变身商店要展示的技能 （1|101:102:103   2|101-103）</t>
  </si>
  <si>
    <t>0无 1开始有 2结束有 3开始结束都有</t>
  </si>
  <si>
    <t>宝箱奖励，概率：类型：数量，概率+黑金石+数量，概率+装备+数量</t>
  </si>
  <si>
    <t>章节背景</t>
  </si>
  <si>
    <t>小关卡故事</t>
  </si>
  <si>
    <t>难度描述</t>
  </si>
  <si>
    <t>关卡难度系数</t>
  </si>
  <si>
    <t>boss关友军(友军id|友军id+数量+强度+队伍人数)</t>
  </si>
  <si>
    <t>bossId+强度</t>
  </si>
  <si>
    <t>boss技能</t>
  </si>
  <si>
    <t>boss关怪物队伍数量</t>
  </si>
  <si>
    <t>地图</t>
  </si>
  <si>
    <t>序列</t>
  </si>
  <si>
    <t>boss</t>
  </si>
  <si>
    <t>bossMons</t>
  </si>
  <si>
    <t>攻城站远程</t>
  </si>
  <si>
    <t>救援战我方</t>
  </si>
  <si>
    <t>贪婪之祸1</t>
  </si>
  <si>
    <t>img_shenyuan1</t>
  </si>
  <si>
    <t>1:12:100#1:12:100#1:12:400|1:13:6#1:11:100|1:10000001:72|1:10000002:28</t>
  </si>
  <si>
    <t>1:12:150#1:12:300#1:12:600|1:13:6#1:11:150|1:10000001:90|1:10000002:28|1:10000003:1</t>
  </si>
  <si>
    <t>1:12:250#1:12:400#1:12:800|1:13:6#1:11:200|1:10000001:120|1:10000002:36|1:10000003:2</t>
  </si>
  <si>
    <t>30|1010101:1020101:1040101:2010101:2030101:2080101:3010101:3020101:3080101:4010101:4020101:4030101:5010101:5020101:5060101|1|100#7|1050101:1080101:1090101:2020101:2070101:2090101:3040101:3060101:3090101:4050101:4070101:4090101:5040101:5050101:5090101|1|100</t>
  </si>
  <si>
    <t>42|1010101:1020101:1040101:2010101:2030101:2080101:3010101:3020101:3080101:4010101:4020101:4030101:5010101:5020101:5060101|1|100#10|1050101:1080101:1090101:2020101:2070101:2090101:3040101:3060101:3090101:4050101:4070101:4090101:5040101:5050101:5090101|1|100#1|1030101:1070101:2040101:2060101:3050101:3070101:4040101:4060101:5030101:5070101|1|100</t>
  </si>
  <si>
    <t>72|1010101:1020101:1040101:2010101:2030101:2080101:3010101:3020101:3080101:4010101:4020101:4030101:5010101:5020101:5060101|1|100#18|1050101:1080101:1090101:2020101:2070101:2090101:3040101:3060101:3090101:4050101:4070101:4090101:5040101:5050101:5090101|1|100#1|1030101:1070101:2040101:2060101:3050101:3070101:4040101:4060101:5030101:5070101|1|100</t>
  </si>
  <si>
    <t>0</t>
  </si>
  <si>
    <t>1:6|2:1|3:0</t>
  </si>
  <si>
    <t>1:2:3:4:5</t>
  </si>
  <si>
    <t>1:12:20</t>
  </si>
  <si>
    <t>MapBingXue</t>
  </si>
  <si>
    <t>1:2:1|1:4:1|2:8:1</t>
  </si>
  <si>
    <t>1:10001|2:10002</t>
  </si>
  <si>
    <t>5#5#1</t>
  </si>
  <si>
    <t>1</t>
  </si>
  <si>
    <t>-584.8:283</t>
  </si>
  <si>
    <t>1+1+1+1+9+3|1+1+1+22+6|1+1+1+9+1+4|51</t>
  </si>
  <si>
    <t>307:313:317</t>
  </si>
  <si>
    <t>3</t>
  </si>
  <si>
    <t>700:12:30|100:11:2|100:1:1|10:4:1</t>
  </si>
  <si>
    <t>北方之地，这里远离纷争</t>
  </si>
  <si>
    <t>森林里出现了一个厉害的怪物，我们需要去打败它</t>
  </si>
  <si>
    <t>2101+0.6</t>
  </si>
  <si>
    <t>MapBingXue1</t>
  </si>
  <si>
    <t>贪婪之祸2</t>
  </si>
  <si>
    <t>img_shenyuan2</t>
  </si>
  <si>
    <t>1:12:100#1:12:100#1:12:600|1:13:6#1:11:100|1:10000001:84|1:10000002:28</t>
  </si>
  <si>
    <t>1:12:150#1:12:450#1:12:900|1:13:6#1:11:150|1:10000001:108|1:10000002:32|1:10000003:1</t>
  </si>
  <si>
    <t>1:12:250#1:12:600#1:12:1200|1:13:6#1:11:200|1:10000001:144|1:10000002:43|1:10000003:2</t>
  </si>
  <si>
    <t>-1</t>
  </si>
  <si>
    <t>1:11:50#2:25:500</t>
  </si>
  <si>
    <t>200#40001:1</t>
  </si>
  <si>
    <t>2</t>
  </si>
  <si>
    <t>1:41001#1</t>
  </si>
  <si>
    <t>1:90001#1</t>
  </si>
  <si>
    <t>-266:76</t>
  </si>
  <si>
    <t>1+1+1+1+22+3|1+1+1+9+6|1+1+1+9+1+4|52</t>
  </si>
  <si>
    <t>有一群叛军占领着一座遗弃的城堡，赶走他们，这里可以成为根据地</t>
  </si>
  <si>
    <t>9001+0.6</t>
  </si>
  <si>
    <t>1101+1.2</t>
  </si>
  <si>
    <t>MapBingXue2</t>
  </si>
  <si>
    <t>|3:905:1</t>
  </si>
  <si>
    <t>贪婪之祸3</t>
  </si>
  <si>
    <t>img_shenyuan3</t>
  </si>
  <si>
    <t>1:12:110#1:12:110#1:12:800|1:13:6#1:11:100|1:10000001:96|1:10000002:28</t>
  </si>
  <si>
    <t>1:12:165#1:12:600#1:12:1200|1:13:6#1:11:150|1:10000001:126|1:10000002:36|1:10000003:1</t>
  </si>
  <si>
    <t>1:12:275#1:12:800#1:12:1600|1:13:6#1:11:200|1:10000001:168|1:10000002:50|1:10000003:2</t>
  </si>
  <si>
    <t>1:12:22</t>
  </si>
  <si>
    <t>200#40001:2;40002:1|500#40002:3</t>
  </si>
  <si>
    <t>1:41002#1</t>
  </si>
  <si>
    <t>-653:-143</t>
  </si>
  <si>
    <t>1+1+1+1+15+3+9|1+1+1+1+9+3+7|1+1+1+1+4+9|53</t>
  </si>
  <si>
    <t>占领城堡不久，我们发现了兽族部队也想占领这里。我们需要守住这里。</t>
  </si>
  <si>
    <t>9001+0.8</t>
  </si>
  <si>
    <t>3101+1.8</t>
  </si>
  <si>
    <t>MapBingXue3</t>
  </si>
  <si>
    <t>|3:132:1</t>
  </si>
  <si>
    <t>贪婪之祸4</t>
  </si>
  <si>
    <t>img_shenyuan4</t>
  </si>
  <si>
    <t>1:12:110#1:12:110#1:12:1000|1:13:6#1:11:100|1:10000001:108|1:10000002:28|1:10000003:1</t>
  </si>
  <si>
    <t>1:12:165#1:12:750#1:12:1500|1:13:6#1:11:150|1:10000001:144|1:10000002:43|1:10000003:2</t>
  </si>
  <si>
    <t>1:12:275#1:12:1000#1:12:2000|1:13:6#1:11:200|1:10000001:192|1:10000002:57|1:10000003:3</t>
  </si>
  <si>
    <t>30|1010101:1020101:1040101:2010101:2030101:2080101:3010101:3020101:3080101:4010101:4020101:4030101:5010101:5020101:5060101|1|100#7|1050101:1080101:1090101:2020101:2070101:2090101:3040101:3060101:3090101:4050101:4070101:4090101:5040101:5050101:5090101|1|100#1|1030101:1070101:2040101:2060101:3050101:3070101:4040101:4060101:5030101:5070101|1|100</t>
  </si>
  <si>
    <t>42|1010101:1020101:1040101:2010101:2030101:2080101:3010101:3020101:3080101:4010101:4020101:4030101:5010101:5020101:5060101|1|100#14|1050101:1080101:1090101:2020101:2070101:2090101:3040101:3060101:3090101:4050101:4070101:4090101:5040101:5050101:5090101|1|100#1|1030101:1070101:2040101:2060101:3050101:3070101:4040101:4060101:5030101:5070101|1|100</t>
  </si>
  <si>
    <t>72|1010101:1020101:1040101:2010101:2030101:2080101:3010101:3020101:3080101:4010101:4020101:4030101:5010101:5020101:5060101|1|100#18|1050101:1080101:1090101:2020101:2070101:2090101:3040101:3060101:3090101:4050101:4070101:4090101:5040101:5050101:5090101|1|100#2|1030101:1070101:2040101:2060101:3050101:3070101:4040101:4060101:5030101:5070101|1|100</t>
  </si>
  <si>
    <t>1:11:50#2:25:500#3:26:500|1:11:50#2:25:500#4:50011</t>
  </si>
  <si>
    <t>4</t>
  </si>
  <si>
    <t>1:42001#1|2:42002#1</t>
  </si>
  <si>
    <t>1:90003#1|2:90002#1</t>
  </si>
  <si>
    <t>-307:-291</t>
  </si>
  <si>
    <t>1+1+1+1+9+3|1+1+1+15+6|1+1+1+9+1+4|51</t>
  </si>
  <si>
    <t>305:319:330</t>
  </si>
  <si>
    <t>经过调查我们发现了城堡被遗弃的原因，月圆之夜会有大批亡灵入侵，于是我们计划讨伐。</t>
  </si>
  <si>
    <t>6101+2.4</t>
  </si>
  <si>
    <t>MapBingXue6</t>
  </si>
  <si>
    <t>|3:134:1</t>
  </si>
  <si>
    <t>贪婪之祸5</t>
  </si>
  <si>
    <t>1:12:120#1:12:120#1:12:1200|1:13:6#1:11:100|1:10000001:120|1:10000002:32|1:10000003:1</t>
  </si>
  <si>
    <t>1:12:180#1:12:900#1:12:1800|1:13:6#1:11:150|1:10000001:162|1:10000002:46|1:10000003:2</t>
  </si>
  <si>
    <t>1:12:300#1:12:1200#1:12:2400|1:13:6#1:11:200|1:10000001:216|1:10000002:64|1:10000003:3</t>
  </si>
  <si>
    <t>36|1010101:1020101:1040101:2010101:2030101:2080101:3010101:3020101:3080101:4010101:4020101:4030101:5010101:5020101:5060101|1|100#7|1050101:1080101:1090101:2020101:2070101:2090101:3040101:3060101:3090101:4050101:4070101:4090101:5040101:5050101:5090101|1|100#1|1030101:1070101:2040101:2060101:3050101:3070101:4040101:4060101:5030101:5070101|1|100</t>
  </si>
  <si>
    <t>54|1010101:1020101:1040101:2010101:2030101:2080101:3010101:3020101:3080101:4010101:4020101:4030101:5010101:5020101:5060101|1|100#14|1050101:1080101:1090101:2020101:2070101:2090101:3040101:3060101:3090101:4050101:4070101:4090101:5040101:5050101:5090101|1|100#1|1030101:1070101:2040101:2060101:3050101:3070101:4040101:4060101:5030101:5070101|1|100</t>
  </si>
  <si>
    <t>90|1010101:1020101:1040101:2010101:2030101:2080101:3010101:3020101:3080101:4010101:4020101:4030101:5010101:5020101:5060101|1|100#18|1050101:1080101:1090101:2020101:2070101:2090101:3040101:3060101:3090101:4050101:4070101:4090101:5040101:5050101:5090101|1|100#2|1030101:1070101:2040101:2060101:3050101:3070101:4040101:4060101:5030101:5070101|1|100</t>
  </si>
  <si>
    <t>1:7|2:1|3:0</t>
  </si>
  <si>
    <t>1:12:24</t>
  </si>
  <si>
    <t>1:11:50#2:25:500|1:11:100#2:25:500#3:26:500</t>
  </si>
  <si>
    <t>5</t>
  </si>
  <si>
    <t>1:42003#1|2:41004#1</t>
  </si>
  <si>
    <t>1:90001#1|2:90003#1</t>
  </si>
  <si>
    <t>-83:-50</t>
  </si>
  <si>
    <t>1+1+1+1+9+3|1+1+1+5+6|1+1+1+1+9+4|54</t>
  </si>
  <si>
    <t>讨伐中，我们得知也有其它部队在抵抗亡灵并面临险境。于是我们准备拯救他们。</t>
  </si>
  <si>
    <t>1001+1.2</t>
  </si>
  <si>
    <t>6102+2.4</t>
  </si>
  <si>
    <t>MapBingXue5</t>
  </si>
  <si>
    <t>|3:135:1</t>
  </si>
  <si>
    <t>贪婪之祸6</t>
  </si>
  <si>
    <t>1:12:120#1:12:120#1:12:1400|1:13:6#1:11:100|1:10000001:120|1:10000002:36|1:10000003:2</t>
  </si>
  <si>
    <t>1:12:180#1:12:1050#1:12:2100|1:13:6#1:11:150|1:10000001:180|1:10000002:54|1:10000003:3</t>
  </si>
  <si>
    <t>1:12:300#1:12:1400#1:12:2800|1:13:6#1:11:200|1:10000001:240|1:10000002:72|1:10000003:4</t>
  </si>
  <si>
    <t>6</t>
  </si>
  <si>
    <t>1:40021#1|2:40022#1</t>
  </si>
  <si>
    <t>70:180</t>
  </si>
  <si>
    <t>1+1+1+1+5+3|1+1+1+1+9+3|1+1+1+1+9+4+7|51</t>
  </si>
  <si>
    <t>301:302:306:307:311:312:313:317:321:323:328</t>
  </si>
  <si>
    <t>为了解决亡灵之乱，我们计划卧薪尝胆，去增强自己的实力。</t>
  </si>
  <si>
    <t>1102+2.8</t>
  </si>
  <si>
    <t>MapBingXue4</t>
  </si>
  <si>
    <t>|3:146:1</t>
  </si>
  <si>
    <t>贪婪之祸7</t>
  </si>
  <si>
    <t>1:12:130#1:12:130#1:12:1600|1:13:6#1:11:100|1:10000001:132|1:10000002:39|1:10000003:2</t>
  </si>
  <si>
    <t>1:12:195#1:12:1200#1:12:2400|1:13:6#1:11:150|1:10000001:198|1:10000002:57|1:10000003:3</t>
  </si>
  <si>
    <t>1:12:325#1:12:1600#1:12:3200|1:13:6#1:11:200|1:10000001:264|1:10000002:79|1:10000003:4</t>
  </si>
  <si>
    <t>36|1010101:1020101:1040101:2010101:2030101:2080101:3010101:3020101:3080101:4010101:4020101:4030101:5010101:5020101:5060101|1|100#10|1050101:1080101:1090101:2020101:2070101:2090101:3040101:3060101:3090101:4050101:4070101:4090101:5040101:5050101:5090101|1|100#1|1030101:1070101:2040101:2060101:3050101:3070101:4040101:4060101:5030101:5070101|1|100</t>
  </si>
  <si>
    <t>90|1010101:1020101:1040101:2010101:2030101:2080101:3010101:3020101:3080101:4010101:4020101:4030101:5010101:5020101:5060101|1|100#25|1050101:1080101:1090101:2020101:2070101:2090101:3040101:3060101:3090101:4050101:4070101:4090101:5040101:5050101:5090101|1|100#2|1030101:1070101:2040101:2060101:3050101:3070101:4040101:4060101:5030101:5070101|1|100</t>
  </si>
  <si>
    <t>1:7|2:2|3:0</t>
  </si>
  <si>
    <t>1:12:26</t>
  </si>
  <si>
    <t>7</t>
  </si>
  <si>
    <t>375:-24</t>
  </si>
  <si>
    <t>MapBingXue7</t>
  </si>
  <si>
    <t>贪婪之祸8</t>
  </si>
  <si>
    <t>1:12:130#1:12:130#1:12:1800|1:13:6#1:11:100|1:10000001:144|1:10000002:43|1:10000003:3</t>
  </si>
  <si>
    <t>1:12:195#1:12:1350#1:12:2700|1:13:6#1:11:150|1:10000001:216|1:10000002:64|1:10000003:3</t>
  </si>
  <si>
    <t>1:12:325#1:12:1800#1:12:3600|1:13:6#1:11:200|1:10000001:288|1:10000002:86|1:10000003:4</t>
  </si>
  <si>
    <t>1:3:1|1:5:1|2:9:1|2:13:1|3:18:1|3:23:1|4:28:1|4:33:1|1:14:1#2:14:1#3:14:1#4:14:1|1:18:1#2:18:1#3:18:1#4:18:1</t>
  </si>
  <si>
    <t>8</t>
  </si>
  <si>
    <t>406:-323</t>
  </si>
  <si>
    <t>MapBingXue8</t>
  </si>
  <si>
    <t>贪婪之祸9</t>
  </si>
  <si>
    <t>1:12:140#1:12:140#1:12:2000|1:13:6#1:11:100|1:10000001:156|1:10000002:46|1:10000003:3</t>
  </si>
  <si>
    <t>1:12:210#1:12:1500#1:12:3000|1:13:6#1:11:150|1:10000001:234|1:10000002:68|1:10000003:6</t>
  </si>
  <si>
    <t>1:12:350#1:12:2000#1:12:4000|1:13:6#1:11:200|1:10000001:312|1:10000002:93|1:10000003:7</t>
  </si>
  <si>
    <t>60|1010101:1020101:1040101:2010101:2030101:2080101:3010101:3020101:3080101:4010101:4020101:4030101:5010101:5020101:5060101|1|100#14|1050101:1080101:1090101:2020101:2070101:2090101:3040101:3060101:3090101:4050101:4070101:4090101:5040101:5050101:5090101|1|100#1|1030101:1070101:2040101:2060101:3050101:3070101:4040101:4060101:5030101:5070101|1|100</t>
  </si>
  <si>
    <t>102|1010101:1020101:1040101:2010101:2030101:2080101:3010101:3020101:3080101:4010101:4020101:4030101:5010101:5020101:5060101|1|100#25|1050101:1080101:1090101:2020101:2070101:2090101:3040101:3060101:3090101:4050101:4070101:4090101:5040101:5050101:5090101|1|100#2|1030101:1070101:2040101:2060101:3050101:3070101:4040101:4060101:5030101:5070101|1|100</t>
  </si>
  <si>
    <t>1:8|2:2|3:0</t>
  </si>
  <si>
    <t>1:12:28</t>
  </si>
  <si>
    <t>9</t>
  </si>
  <si>
    <t>-793:-246</t>
  </si>
  <si>
    <t>1+1+1+1+15+3|1+1+1+1+9+3|1+1+1+1+4+9|51</t>
  </si>
  <si>
    <t>700:12:30|100:11:2|90:1:1|10:4:1</t>
  </si>
  <si>
    <t>与北方之地接壤，兽人的领地</t>
  </si>
  <si>
    <t>我们需要快速突破兽人部队。避免他们集结在一起。</t>
  </si>
  <si>
    <t>3102+4.8</t>
  </si>
  <si>
    <t>MapBingXue9</t>
  </si>
  <si>
    <t>MapCandy</t>
  </si>
  <si>
    <t>贪婪之祸10</t>
  </si>
  <si>
    <t>1:12:140#1:12:140#1:12:2200|1:13:6#1:11:100|1:10000001:168|1:10000002:50|1:10000003:4</t>
  </si>
  <si>
    <t>1:12:210#1:12:1650#1:12:3300|1:13:6#1:11:150|1:10000001:252|1:10000002:75|1:10000003:6</t>
  </si>
  <si>
    <t>1:12:350#1:12:2200#1:12:4400|1:13:6#1:11:200|1:10000001:336|1:10000002:100|1:10000003:7</t>
  </si>
  <si>
    <t>10</t>
  </si>
  <si>
    <t>-534:-321</t>
  </si>
  <si>
    <t>1+1+1+1+3+9|1+1+1+1+3+15|1+1+1+1+9+4|52</t>
  </si>
  <si>
    <t>兽人先知的地盘，他们精通电系魔法。</t>
  </si>
  <si>
    <t>9002+2.5</t>
  </si>
  <si>
    <t>3103+4.4</t>
  </si>
  <si>
    <t>MapBingXue10</t>
  </si>
  <si>
    <t>|3:148:1</t>
  </si>
  <si>
    <t>贪婪之祸11</t>
  </si>
  <si>
    <t>1:12:150#1:12:150#1:12:2400|1:13:6#1:11:100|1:10000001:180|1:10000002:54|1:10000003:4</t>
  </si>
  <si>
    <t>1:12:225#1:12:1800#1:12:3600|1:13:6#1:11:150|1:10000001:270|1:10000002:79|1:10000003:6</t>
  </si>
  <si>
    <t>1:12:375#1:12:2400#1:12:4800|1:13:6#1:11:200|1:10000001:360|1:10000002:108|1:10000003:7</t>
  </si>
  <si>
    <t>1:12:30</t>
  </si>
  <si>
    <t>11</t>
  </si>
  <si>
    <t>-286:-246</t>
  </si>
  <si>
    <t>1+1+1+1+22+3+9|1+1+1+1+4+19+9|1+1+1+1+8+4+9|55</t>
  </si>
  <si>
    <t>战斗中，我们营救了一个贵族，需要帮助他到达安全地点。</t>
  </si>
  <si>
    <t>9002+3</t>
  </si>
  <si>
    <t>3104+3.6</t>
  </si>
  <si>
    <t>MapBingXue11</t>
  </si>
  <si>
    <t>贪婪之祸12</t>
  </si>
  <si>
    <t>1:12:150#1:12:150#1:12:2600|1:13:6#1:11:100|1:10000001:192|1:10000002:57|1:10000003:6</t>
  </si>
  <si>
    <t>1:12:225#1:12:1950#1:12:3900|1:13:6#1:11:150|1:10000001:288|1:10000002:86|1:10000003:7</t>
  </si>
  <si>
    <t>1:12:375#1:12:2600#1:12:5200|1:13:6#1:11:200|1:10000001:384|1:10000002:115|1:10000003:8</t>
  </si>
  <si>
    <t>12</t>
  </si>
  <si>
    <t>-147:-60</t>
  </si>
  <si>
    <t>1+1+1+1+3+9|1+1+1+1+22+3+7|1+1+1+1+4+9|53</t>
  </si>
  <si>
    <t>帮助贵族后，他告诉我们前方的首领是一个兽族美女，值屈服于强大的人。</t>
  </si>
  <si>
    <t>9002+3.5</t>
  </si>
  <si>
    <t>3105+3.1</t>
  </si>
  <si>
    <t>MapBingXue12</t>
  </si>
  <si>
    <t>|3:149:1</t>
  </si>
  <si>
    <t>贪婪之祸13</t>
  </si>
  <si>
    <t>1:12:160#1:12:160#1:12:2800|1:13:6#1:11:100|1:10000001:204|1:10000002:61|1:10000003:6</t>
  </si>
  <si>
    <t>1:12:240#1:12:2100#1:12:4200|1:13:6#1:11:150|1:10000001:306|1:10000002:90|1:10000003:7</t>
  </si>
  <si>
    <t>1:12:400#1:12:2800#1:12:5600|1:13:6#1:11:200|1:10000001:408|1:10000002:122|1:10000003:8</t>
  </si>
  <si>
    <t>48|1010101:1020101:1040101:2010101:2030101:2080101:3010101:3020101:3080101:4010101:4020101:4030101:5010101:5020101:5060101|1|100#14|1050101:1080101:1090101:2020101:2070101:2090101:3040101:3060101:3090101:4050101:4070101:4090101:5040101:5050101:5090101|1|100#1|1030101:1070101:2040101:2060101:3050101:3070101:4040101:4060101:5030101:5070101|1|100</t>
  </si>
  <si>
    <t>72|1010101:1020101:1040101:2010101:2030101:2080101:3010101:3020101:3080101:4010101:4020101:4030101:5010101:5020101:5060101|1|100#21|1050101:1080101:1090101:2020101:2070101:2090101:3040101:3060101:3090101:4050101:4070101:4090101:5040101:5050101:5090101|1|100#1|1030101:1070101:2040101:2060101:3050101:3070101:4040101:4060101:5030101:5070101|1|100</t>
  </si>
  <si>
    <t>120|1010101:1020101:1040101:2010101:2030101:2080101:3010101:3020101:3080101:4010101:4020101:4030101:5010101:5020101:5060101|1|100#36|1050101:1080101:1090101:2020101:2070101:2090101:3040101:3060101:3090101:4050101:4070101:4090101:5040101:5050101:5090101|1|100#2|1030101:1070101:2040101:2060101:3050101:3070101:4040101:4060101:5030101:5070101|1|100</t>
  </si>
  <si>
    <t>1:9|2:2|3:0</t>
  </si>
  <si>
    <t>1:12:32</t>
  </si>
  <si>
    <t>13</t>
  </si>
  <si>
    <t>1:133</t>
  </si>
  <si>
    <t>1+1+1+1+5+3+9|1+1+1+1+9+3+8|1+1+1+1+4+19|51</t>
  </si>
  <si>
    <t>这里兽族高机动部队。我们需要防止他们逃离。</t>
  </si>
  <si>
    <t>3106+2.4</t>
  </si>
  <si>
    <t>MapBingXue13</t>
  </si>
  <si>
    <t>贪婪之祸14</t>
  </si>
  <si>
    <t>1:12:160#1:12:160#1:12:3000|1:13:6#1:11:100|1:10000001:216|1:10000002:64|1:10000003:7</t>
  </si>
  <si>
    <t>1:12:240#1:12:2250#1:12:4500|1:13:6#1:11:150|1:10000001:324|1:10000002:97|1:10000003:7</t>
  </si>
  <si>
    <t>1:12:400#1:12:3000#1:12:6000|1:13:6#1:11:200|1:10000001:432|1:10000002:129|1:10000003:8</t>
  </si>
  <si>
    <t>48|1010101:1020101:1040101:2010101:2030101:2080101:3010101:3020101:3080101:4010101:4020101:4030101:5010101:5020101:5060101|1|100#14|1050101:1080101:1090101:2020101:2070101:2090101:3040101:3060101:3090101:4050101:4070101:4090101:5040101:5050101:5090101|1|100#2|1030101:1070101:2040101:2060101:3050101:3070101:4040101:4060101:5030101:5070101|1|100</t>
  </si>
  <si>
    <t>72|1010101:1020101:1040101:2010101:2030101:2080101:3010101:3020101:3080101:4010101:4020101:4030101:5010101:5020101:5060101|1|100#21|1050101:1080101:1090101:2020101:2070101:2090101:3040101:3060101:3090101:4050101:4070101:4090101:5040101:5050101:5090101|1|100#3|1030101:1070101:2040101:2060101:3050101:3070101:4040101:4060101:5030101:5070101|1|100</t>
  </si>
  <si>
    <t>120|1010101:1020101:1040101:2010101:2030101:2080101:3010101:3020101:3080101:4010101:4020101:4030101:5010101:5020101:5060101|1|100#36|1050101:1080101:1090101:2020101:2070101:2090101:3040101:3060101:3090101:4050101:4070101:4090101:5040101:5050101:5090101|1|100#6|1030101:1070101:2040101:2060101:3050101:3070101:4040101:4060101:5030101:5070101|1|100</t>
  </si>
  <si>
    <t>14</t>
  </si>
  <si>
    <t>309:-74</t>
  </si>
  <si>
    <t>1+1+1+1+3+9|1+1+1+1+19+5|1+1+1+1+4+9|52</t>
  </si>
  <si>
    <t>终于，我们来到了兽族大本营。兽族决战。</t>
  </si>
  <si>
    <t>9002+4.5</t>
  </si>
  <si>
    <t>3107+2.5</t>
  </si>
  <si>
    <t>MapBingXue14</t>
  </si>
  <si>
    <t>|3:158:1</t>
  </si>
  <si>
    <t>贪婪之祸15</t>
  </si>
  <si>
    <t>1:12:170#1:12:170#1:12:3200|1:13:6#1:11:100|1:10000001:228|1:10000002:68|1:10000003:7</t>
  </si>
  <si>
    <t>1:12:255#1:12:2400#1:12:4800|1:13:6#1:11:150|1:10000001:342|1:10000002:100|1:10000003:8</t>
  </si>
  <si>
    <t>1:12:425#1:12:3200#1:12:6400|1:13:6#1:11:200|1:10000001:456|1:10000002:136|1:10000003:9</t>
  </si>
  <si>
    <t>1:12:34</t>
  </si>
  <si>
    <t>15</t>
  </si>
  <si>
    <t>550:0</t>
  </si>
  <si>
    <t>MapBingXue15</t>
  </si>
  <si>
    <t>贪婪之祸16</t>
  </si>
  <si>
    <t>1:12:170#1:12:170#1:12:3400|1:13:6#1:11:100|1:10000001:240|1:10000002:72|1:10000003:8</t>
  </si>
  <si>
    <t>1:12:255#1:12:2550#1:12:5100|1:13:6#1:11:150|1:10000001:360|1:10000002:108|1:10000003:9</t>
  </si>
  <si>
    <t>1:12:425#1:12:3400#1:12:6800|1:13:6#1:11:200|1:10000001:480|1:10000002:144|1:10000003:12</t>
  </si>
  <si>
    <t>16</t>
  </si>
  <si>
    <t>433:192</t>
  </si>
  <si>
    <t>MapBingXue16</t>
  </si>
  <si>
    <t>贪婪之祸17</t>
  </si>
  <si>
    <t>1:12:180#1:12:180#1:12:3600|1:13:6#1:11:100|1:10000001:252|1:10000002:75|1:10000003:8</t>
  </si>
  <si>
    <t>1:12:270#1:12:2700#1:12:5400|1:13:6#1:11:150|1:10000001:378|1:10000002:111|1:10000003:9</t>
  </si>
  <si>
    <t>1:12:450#1:12:3600#1:12:7200|1:13:6#1:11:200|1:10000001:504|1:10000002:151|1:10000003:12</t>
  </si>
  <si>
    <t>54|1010101:1020101:1040101:2010101:2030101:2080101:3010101:3020101:3080101:4010101:4020101:4030101:5010101:5020101:5060101|1|100#14|1050101:1080101:1090101:2020101:2070101:2090101:3040101:3060101:3090101:4050101:4070101:4090101:5040101:5050101:5090101|1|100#2|1030101:1070101:2040101:2060101:3050101:3070101:4040101:4060101:5030101:5070101|1|100</t>
  </si>
  <si>
    <t>78|1010101:1020101:1040101:2010101:2030101:2080101:3010101:3020101:3080101:4010101:4020101:4030101:5010101:5020101:5060101|1|100#21|1050101:1080101:1090101:2020101:2070101:2090101:3040101:3060101:3090101:4050101:4070101:4090101:5040101:5050101:5090101|1|100#3|1030101:1070101:2040101:2060101:3050101:3070101:4040101:4060101:5030101:5070101|1|100</t>
  </si>
  <si>
    <t>132|1010101:1020101:1040101:2010101:2030101:2080101:3010101:3020101:3080101:4010101:4020101:4030101:5010101:5020101:5060101|1|100#36|1050101:1080101:1090101:2020101:2070101:2090101:3040101:3060101:3090101:4050101:4070101:4090101:5040101:5050101:5090101|1|100#6|1030101:1070101:2040101:2060101:3050101:3070101:4040101:4060101:5030101:5070101|1|100</t>
  </si>
  <si>
    <t>1:10|2:2|3:0</t>
  </si>
  <si>
    <t>1:12:36</t>
  </si>
  <si>
    <t>17</t>
  </si>
  <si>
    <t>-661:276</t>
  </si>
  <si>
    <t>1+1+1+1+1+20+3+8+22|1+1+1+1+1+9|1+1+1+1+1+15+4+9|51</t>
  </si>
  <si>
    <t>700:12:30|100:11:2|80:1:1|9:4:1</t>
  </si>
  <si>
    <t>守护家园，抵御精灵的阴谋</t>
  </si>
  <si>
    <t>限时战争，规定时间内。打败西城领主</t>
  </si>
  <si>
    <t>2102+9.6</t>
  </si>
  <si>
    <t>MapBingXue17</t>
  </si>
  <si>
    <t>MapSenLin</t>
  </si>
  <si>
    <t>贪婪之祸18</t>
  </si>
  <si>
    <t>1:12:180#1:12:180#1:12:3800|1:13:6#1:11:100|1:10000001:264|1:10000002:79|1:10000003:9</t>
  </si>
  <si>
    <t>1:12:270#1:12:2850#1:12:5700|1:13:6#1:11:150|1:10000001:396|1:10000002:118|1:10000003:10</t>
  </si>
  <si>
    <t>1:12:450#1:12:3800#1:12:7600|1:13:6#1:11:200|1:10000001:528|1:10000002:158|1:10000003:13</t>
  </si>
  <si>
    <t>18</t>
  </si>
  <si>
    <t>-327:151</t>
  </si>
  <si>
    <t>1+1+1+1+1+8+9|1+1+1+1+1+20+15+4+22|1+1+1+1+1+10+9+4+8|52</t>
  </si>
  <si>
    <t>限时战争，规定时间内，打败侯恩伯爵</t>
  </si>
  <si>
    <t>9001+6</t>
  </si>
  <si>
    <t>2103+10</t>
  </si>
  <si>
    <t>MapBingXue18</t>
  </si>
  <si>
    <t>|3:170:1</t>
  </si>
  <si>
    <t>贪婪之祸19</t>
  </si>
  <si>
    <t>1:12:190#1:12:190#1:12:4000|1:13:6#1:11:100|1:10000001:276|1:10000002:82|1:10000003:9</t>
  </si>
  <si>
    <t>1:12:285#1:12:3000#1:12:6000|1:13:6#1:11:150|1:10000001:414|1:10000002:122|1:10000003:10</t>
  </si>
  <si>
    <t>1:12:475#1:12:4000#1:12:8000|1:13:6#1:11:200|1:10000001:552|1:10000002:165|1:10000003:13</t>
  </si>
  <si>
    <t>54|1010101:1020101:1040101:2010101:2030101:2080101:3010101:3020101:3080101:4010101:4020101:4030101:5010101:5020101:5060101|1|100#18|1050101:1080101:1090101:2020101:2070101:2090101:3040101:3060101:3090101:4050101:4070101:4090101:5040101:5050101:5090101|1|100#2|1030101:1070101:2040101:2060101:3050101:3070101:4040101:4060101:5030101:5070101|1|100</t>
  </si>
  <si>
    <t>78|1010101:1020101:1040101:2010101:2030101:2080101:3010101:3020101:3080101:4010101:4020101:4030101:5010101:5020101:5060101|1|100#25|1050101:1080101:1090101:2020101:2070101:2090101:3040101:3060101:3090101:4050101:4070101:4090101:5040101:5050101:5090101|1|100#3|1030101:1070101:2040101:2060101:3050101:3070101:4040101:4060101:5030101:5070101|1|100</t>
  </si>
  <si>
    <t>132|1010101:1020101:1040101:2010101:2030101:2080101:3010101:3020101:3080101:4010101:4020101:4030101:5010101:5020101:5060101|1|100#43|1050101:1080101:1090101:2020101:2070101:2090101:3040101:3060101:3090101:4050101:4070101:4090101:5040101:5050101:5090101|1|100#6|1030101:1070101:2040101:2060101:3050101:3070101:4040101:4060101:5030101:5070101|1|100</t>
  </si>
  <si>
    <t>1:10|2:3|3:0</t>
  </si>
  <si>
    <t>1:12:38</t>
  </si>
  <si>
    <t>19</t>
  </si>
  <si>
    <t>-344:-140</t>
  </si>
  <si>
    <t>1+1+1+1+1+15+3+9|1+1+1+1+1+4+19+9|1+1+1+1+1+3+4+9|55</t>
  </si>
  <si>
    <t>护送林德公爵</t>
  </si>
  <si>
    <t>9002+7</t>
  </si>
  <si>
    <t>2104+9</t>
  </si>
  <si>
    <t>MapBingXue19</t>
  </si>
  <si>
    <t>贪婪之祸20</t>
  </si>
  <si>
    <t>1:12:190#1:12:190#1:12:4200|1:13:6#1:11:100|1:10000001:288|1:10000002:86|1:10000003:10</t>
  </si>
  <si>
    <t>1:12:285#1:12:3150#1:12:6300|1:13:6#1:11:150|1:10000001:432|1:10000002:129|1:10000003:10</t>
  </si>
  <si>
    <t>1:12:475#1:12:4200#1:12:8400|1:13:6#1:11:200|1:10000001:576|1:10000002:172|1:10000003:13</t>
  </si>
  <si>
    <t>20</t>
  </si>
  <si>
    <t>-609:-288</t>
  </si>
  <si>
    <t>1+1+1+1+1+8+9|1+1+1+1+1+20+15+4|1+1+1+1+1+9+4+8|53</t>
  </si>
  <si>
    <t>守住城池</t>
  </si>
  <si>
    <t>9001+8</t>
  </si>
  <si>
    <t>2105+8.4</t>
  </si>
  <si>
    <t>MapBingXue20</t>
  </si>
  <si>
    <t>|3:169:1</t>
  </si>
  <si>
    <t>贪婪之祸21</t>
  </si>
  <si>
    <t>1:12:200#1:12:200#1:12:4400|1:13:6#1:11:100|1:10000001:300|1:10000002:90|1:10000003:10</t>
  </si>
  <si>
    <t>1:12:300#1:12:3300#1:12:6600|1:13:6#1:11:150|1:10000001:450|1:10000002:133|1:10000003:12</t>
  </si>
  <si>
    <t>1:12:500#1:12:4400#1:12:8800|1:13:6#1:11:200|1:10000001:600|1:10000002:180|1:10000003:14</t>
  </si>
  <si>
    <t>60|1010101:1020101:1040101:2010101:2030101:2080101:3010101:3020101:3080101:4010101:4020101:4030101:5010101:5020101:5060101|1|100#18|1050101:1080101:1090101:2020101:2070101:2090101:3040101:3060101:3090101:4050101:4070101:4090101:5040101:5050101:5090101|1|100#2|1030101:1070101:2040101:2060101:3050101:3070101:4040101:4060101:5030101:5070101|1|100</t>
  </si>
  <si>
    <t>90|1010101:1020101:1040101:2010101:2030101:2080101:3010101:3020101:3080101:4010101:4020101:4030101:5010101:5020101:5060101|1|100#25|1050101:1080101:1090101:2020101:2070101:2090101:3040101:3060101:3090101:4050101:4070101:4090101:5040101:5050101:5090101|1|100#3|1030101:1070101:2040101:2060101:3050101:3070101:4040101:4060101:5030101:5070101|1|100</t>
  </si>
  <si>
    <t>150|1010101:1020101:1040101:2010101:2030101:2080101:3010101:3020101:3080101:4010101:4020101:4030101:5010101:5020101:5060101|1|100#43|1050101:1080101:1090101:2020101:2070101:2090101:3040101:3060101:3090101:4050101:4070101:4090101:5040101:5050101:5090101|1|100#6|1030101:1070101:2040101:2060101:3050101:3070101:4040101:4060101:5030101:5070101|1|100</t>
  </si>
  <si>
    <t>1:12|2:3|3:0</t>
  </si>
  <si>
    <t>1:12:40</t>
  </si>
  <si>
    <t>21</t>
  </si>
  <si>
    <t>-66:-322</t>
  </si>
  <si>
    <t>1+1+1+1+1+20+5+9|1+1+1+1+1+9+4+8|1+1+1+1+1+9+4+19|54</t>
  </si>
  <si>
    <t>人族与兽族及精灵的大规模战争</t>
  </si>
  <si>
    <t>1005+7</t>
  </si>
  <si>
    <t>2106+7.3</t>
  </si>
  <si>
    <t>MapBingXue21</t>
  </si>
  <si>
    <t>贪婪之祸22</t>
  </si>
  <si>
    <t>1:12:200#1:12:200#1:12:4600|1:13:6#1:11:100|1:10000001:312|1:10000002:93|1:10000003:12</t>
  </si>
  <si>
    <t>1:12:300#1:12:3450#1:12:6900|1:13:6#1:11:150|1:10000001:468|1:10000002:140|1:10000003:12</t>
  </si>
  <si>
    <t>1:12:500#1:12:4600#1:12:9200|1:13:6#1:11:200|1:10000001:624|1:10000002:187|1:10000003:14</t>
  </si>
  <si>
    <t>22</t>
  </si>
  <si>
    <t>332:-177</t>
  </si>
  <si>
    <t>1+1+1+1+1+9+6+8|1+1+1+1+1+5+9|1+1+1+1+1+20+4+9|52</t>
  </si>
  <si>
    <t>攻打精灵城</t>
  </si>
  <si>
    <t>9001+10</t>
  </si>
  <si>
    <t>2107+7.7</t>
  </si>
  <si>
    <t>MapBingXue22</t>
  </si>
  <si>
    <t>|3:123:1</t>
  </si>
  <si>
    <t>贪婪之祸23</t>
  </si>
  <si>
    <t>1:12:210#1:12:210#1:12:4800|1:13:6#1:11:100|1:10000001:324|1:10000002:97|1:10000003:12</t>
  </si>
  <si>
    <t>1:12:315#1:12:3600#1:12:7200|1:13:6#1:11:150|1:10000001:486|1:10000002:144|1:10000003:12</t>
  </si>
  <si>
    <t>1:12:525#1:12:4800#1:12:9600|1:13:6#1:11:200|1:10000001:648|1:10000002:194|1:10000003:14</t>
  </si>
  <si>
    <t>1:12:42</t>
  </si>
  <si>
    <t>23</t>
  </si>
  <si>
    <t>368:115</t>
  </si>
  <si>
    <t>MapBingXue23</t>
  </si>
  <si>
    <t>贪婪之祸24</t>
  </si>
  <si>
    <t>1:12:210#1:12:210#1:12:5000|1:13:6#1:11:100|1:10000001:336|1:10000002:100|1:10000003:13</t>
  </si>
  <si>
    <t>1:12:315#1:12:3750#1:12:7500|1:13:6#1:11:150|1:10000001:504|1:10000002:151|1:10000003:13</t>
  </si>
  <si>
    <t>1:12:525#1:12:5000#1:12:10000|1:13:6#1:11:200|1:10000001:672|1:10000002:201|1:10000003:15</t>
  </si>
  <si>
    <t>60|1010101:1020101:1040101:2010101:2030101:2080101:3010101:3020101:3080101:4010101:4020101:4030101:5010101:5020101:5060101|1|100#18|1050101:1080101:1090101:2020101:2070101:2090101:3040101:3060101:3090101:4050101:4070101:4090101:5040101:5050101:5090101|1|100#3|1030101:1070101:2040101:2060101:3050101:3070101:4040101:4060101:5030101:5070101|1|100</t>
  </si>
  <si>
    <t>90|1010101:1020101:1040101:2010101:2030101:2080101:3010101:3020101:3080101:4010101:4020101:4030101:5010101:5020101:5060101|1|100#25|1050101:1080101:1090101:2020101:2070101:2090101:3040101:3060101:3090101:4050101:4070101:4090101:5040101:5050101:5090101|1|100#4|1030101:1070101:2040101:2060101:3050101:3070101:4040101:4060101:5030101:5070101|1|100</t>
  </si>
  <si>
    <t>150|1010101:1020101:1040101:2010101:2030101:2080101:3010101:3020101:3080101:4010101:4020101:4030101:5010101:5020101:5060101|1|100#43|1050101:1080101:1090101:2020101:2070101:2090101:3040101:3060101:3090101:4050101:4070101:4090101:5040101:5050101:5090101|1|100#8|1030101:1070101:2040101:2060101:3050101:3070101:4040101:4060101:5030101:5070101|1|100</t>
  </si>
  <si>
    <t>1:12|2:3|3:1</t>
  </si>
  <si>
    <t>24</t>
  </si>
  <si>
    <t>629:287</t>
  </si>
  <si>
    <t>MapBingXue24</t>
  </si>
  <si>
    <t>贪婪之祸25</t>
  </si>
  <si>
    <t>1:12:220#1:12:220#1:12:5200|1:13:6#1:11:100|1:10000001:348|1:10000002:104|1:10000003:13</t>
  </si>
  <si>
    <t>1:12:330#1:12:3900#1:12:7800|1:13:6#1:11:150|1:10000001:522|1:10000002:154|1:10000003:14</t>
  </si>
  <si>
    <t>1:12:550#1:12:5200#1:12:10400|1:13:6#1:11:200|1:10000001:696|1:10000002:208|1:10000003:18</t>
  </si>
  <si>
    <t>66|1010101:1020101:1040101:2010101:2030101:2080101:3010101:3020101:3080101:4010101:4020101:4030101:5010101:5020101:5060101|1|100#21|1050101:1080101:1090101:2020101:2070101:2090101:3040101:3060101:3090101:4050101:4070101:4090101:5040101:5050101:5090101|1|100#3|1030101:1070101:2040101:2060101:3050101:3070101:4040101:4060101:5030101:5070101|1|100</t>
  </si>
  <si>
    <t>96|1010101:1020101:1040101:2010101:2030101:2080101:3010101:3020101:3080101:4010101:4020101:4030101:5010101:5020101:5060101|1|100#32|1050101:1080101:1090101:2020101:2070101:2090101:3040101:3060101:3090101:4050101:4070101:4090101:5040101:5050101:5090101|1|100#4|1030101:1070101:2040101:2060101:3050101:3070101:4040101:4060101:5030101:5070101|1|100</t>
  </si>
  <si>
    <t>162|1010101:1020101:1040101:2010101:2030101:2080101:3010101:3020101:3080101:4010101:4020101:4030101:5010101:5020101:5060101|1|100#54|1050101:1080101:1090101:2020101:2070101:2090101:3040101:3060101:3090101:4050101:4070101:4090101:5040101:5050101:5090101|1|100#8|1030101:1070101:2040101:2060101:3050101:3070101:4040101:4060101:5030101:5070101|1|100</t>
  </si>
  <si>
    <t>1:13|2:4|3:1</t>
  </si>
  <si>
    <t>1:12:44</t>
  </si>
  <si>
    <t>1:10005,10002|2:10008|3:10005,10006,10007</t>
  </si>
  <si>
    <t>1#1#0.6|4#2#0.8|5#3#0.9</t>
  </si>
  <si>
    <t>1#1:500|2#2:500</t>
  </si>
  <si>
    <t>25</t>
  </si>
  <si>
    <t>-584:203</t>
  </si>
  <si>
    <t>1+1+1+1+1+15+3+9|1+1+1+1+1+9+3+8|1+1+1+1+1+4+9|51</t>
  </si>
  <si>
    <t>700:12:30|100:11:2|70:1:1|9:4:1</t>
  </si>
  <si>
    <t>我们找到奇迹之门并发现了秘境</t>
  </si>
  <si>
    <t>我们找到一个传送门,穿过传送门，我们发现一个神奇的秘境</t>
  </si>
  <si>
    <t>5102+26.4</t>
  </si>
  <si>
    <t>MapDead</t>
  </si>
  <si>
    <t>贪婪之祸26</t>
  </si>
  <si>
    <t>1:12:220#1:12:220#1:12:5400|1:13:6#1:11:100|1:10000001:360|1:10000002:108|1:10000003:14</t>
  </si>
  <si>
    <t>1:12:330#1:12:4050#1:12:8100|1:13:6#1:11:150|1:10000001:540|1:10000002:162|1:10000003:14</t>
  </si>
  <si>
    <t>1:12:550#1:12:5400#1:12:10800|1:13:6#1:11:200|1:10000001:720|1:10000002:216|1:10000003:18</t>
  </si>
  <si>
    <t>26</t>
  </si>
  <si>
    <t>-86:165</t>
  </si>
  <si>
    <t>1+1+1+1+1+5+3+9|1+1+1+1+1+20+3+9|1+1+1+1+1+9+4|54</t>
  </si>
  <si>
    <t>路遇糖果世界小兵被攻击，救援他们</t>
  </si>
  <si>
    <t>1005+9</t>
  </si>
  <si>
    <t>5103+24</t>
  </si>
  <si>
    <t>|3:103:1</t>
  </si>
  <si>
    <t>贪婪之祸27</t>
  </si>
  <si>
    <t>1:12:230#1:12:230#1:12:5600|1:13:6#1:11:100|1:10000001:372|1:10000002:111|1:10000003:14</t>
  </si>
  <si>
    <t>1:12:345#1:12:4200#1:12:8400|1:13:6#1:11:150|1:10000001:558|1:10000002:165|1:10000003:15</t>
  </si>
  <si>
    <t>1:12:575#1:12:5600#1:12:11200|1:13:6#1:11:200|1:10000001:744|1:10000002:223|1:10000003:19</t>
  </si>
  <si>
    <t>1:12:46</t>
  </si>
  <si>
    <t>27</t>
  </si>
  <si>
    <t>-247:0</t>
  </si>
  <si>
    <t>1+1+1+1+1+22+3+9|1+1+1+1+1+4+19+9|1+1+1+1+1+8+4+9|55</t>
  </si>
  <si>
    <t>解救糖果世界的公主</t>
  </si>
  <si>
    <t>9002+13</t>
  </si>
  <si>
    <t>5104+19.5</t>
  </si>
  <si>
    <t>贪婪之祸28</t>
  </si>
  <si>
    <t>1:12:230#1:12:230#1:12:5800|1:13:6#1:11:100|1:10000001:384|1:10000002:115|1:10000003:15</t>
  </si>
  <si>
    <t>1:12:345#1:12:4350#1:12:8700|1:13:6#1:11:150|1:10000001:576|1:10000002:172|1:10000003:15</t>
  </si>
  <si>
    <t>1:12:575#1:12:5800#1:12:11600|1:13:6#1:11:200|1:10000001:768|1:10000002:230|1:10000003:19</t>
  </si>
  <si>
    <t>28</t>
  </si>
  <si>
    <t>-333:-262</t>
  </si>
  <si>
    <t>1+1+1+1+1+15+3+9|1+1+1+1+1+22+3+19|1+1+1+1+1+4+9|53</t>
  </si>
  <si>
    <t>被地狱族围攻糖果城堡</t>
  </si>
  <si>
    <t>9001+14</t>
  </si>
  <si>
    <t>5105+16.8</t>
  </si>
  <si>
    <t>|3:904:1</t>
  </si>
  <si>
    <t>贪婪之祸29</t>
  </si>
  <si>
    <t>1:12:240#1:12:240#1:12:6000|1:13:6#1:11:100|1:10000001:396|1:10000002:118|1:10000003:15</t>
  </si>
  <si>
    <t>1:12:360#1:12:4500#1:12:9000|1:13:6#1:11:150|1:10000001:594|1:10000002:176|1:10000003:15</t>
  </si>
  <si>
    <t>1:12:600#1:12:6000#1:12:12000|1:13:6#1:11:200|1:10000001:792|1:10000002:237|1:10000003:19</t>
  </si>
  <si>
    <t>1:14|2:4|3:1</t>
  </si>
  <si>
    <t>1:12:48</t>
  </si>
  <si>
    <t>29</t>
  </si>
  <si>
    <t>76:-279</t>
  </si>
  <si>
    <t>1+1+1+1+1+3+9|1+1+1+1+1+15+3+8|1+1+1+1+1+4+19|51</t>
  </si>
  <si>
    <t>寻找糖果公主的父母</t>
  </si>
  <si>
    <t>5106+13.8</t>
  </si>
  <si>
    <t>贪婪之祸30</t>
  </si>
  <si>
    <t>1:12:240#1:12:240#1:12:6200|1:13:6#1:11:100|1:10000001:408|1:10000002:122|1:10000003:16</t>
  </si>
  <si>
    <t>1:12:360#1:12:4650#1:12:9300|1:13:6#1:11:150|1:10000001:612|1:10000002:183|1:10000003:16</t>
  </si>
  <si>
    <t>1:12:600#1:12:6200#1:12:12400|1:13:6#1:11:200|1:10000001:816|1:10000002:244|1:10000003:20</t>
  </si>
  <si>
    <t>30</t>
  </si>
  <si>
    <t>450:-179</t>
  </si>
  <si>
    <t>1+1+1+1+1+3+9|1+1+1+1+1+19+5|1+1+1+1+1+20+4+9|51</t>
  </si>
  <si>
    <t>解救糖果公主的父母。</t>
  </si>
  <si>
    <t>5107+13.7</t>
  </si>
  <si>
    <t>|3:907:1</t>
  </si>
  <si>
    <t>贪婪之祸31</t>
  </si>
  <si>
    <t>1:12:250#1:12:250#1:12:6400|1:13:6#1:11:100|1:10000001:420|1:10000002:126|1:10000003:16</t>
  </si>
  <si>
    <t>1:12:375#1:12:4800#1:12:9600|1:13:6#1:11:150|1:10000001:630|1:10000002:187|1:10000003:16</t>
  </si>
  <si>
    <t>1:12:625#1:12:6400#1:12:12800|1:13:6#1:11:200|1:10000001:840|1:10000002:252|1:10000003:20</t>
  </si>
  <si>
    <t>1:14|2:5|3:1</t>
  </si>
  <si>
    <t>1:12:50</t>
  </si>
  <si>
    <t>贪婪之祸32</t>
  </si>
  <si>
    <t>1:12:250#1:12:250#1:12:6600|1:13:6#1:11:100|1:10000001:432|1:10000002:129|1:10000003:18</t>
  </si>
  <si>
    <t>1:12:375#1:12:4950#1:12:9900|1:13:6#1:11:150|1:10000001:648|1:10000002:194|1:10000003:16</t>
  </si>
  <si>
    <t>1:12:625#1:12:6600#1:12:13200|1:13:6#1:11:200|1:10000001:864|1:10000002:259|1:10000003:20</t>
  </si>
  <si>
    <t>贪婪之祸33</t>
  </si>
  <si>
    <t>1:12:260#1:12:260#1:12:6800|1:13:6#1:11:100|1:10000001:444|1:10000002:133|1:10000003:18</t>
  </si>
  <si>
    <t>1:12:390#1:12:5100#1:12:10200|1:13:6#1:11:150|1:10000001:666|1:10000002:198|1:10000003:18</t>
  </si>
  <si>
    <t>1:12:650#1:12:6800#1:12:13600|1:13:6#1:11:200|1:10000001:888|1:10000002:266|1:10000003:21</t>
  </si>
  <si>
    <t>1:15|2:5|3:1</t>
  </si>
  <si>
    <t>1:12:52</t>
  </si>
  <si>
    <t>贪婪之祸34</t>
  </si>
  <si>
    <t>1:12:260#1:12:260#1:12:7000|1:13:6#1:11:100|1:10000001:456|1:10000002:136|1:10000003:19</t>
  </si>
  <si>
    <t>1:12:390#1:12:5250#1:12:10500|1:13:6#1:11:150|1:10000001:684|1:10000002:205|1:10000003:18</t>
  </si>
  <si>
    <t>1:12:650#1:12:7000#1:12:14000|1:13:6#1:11:200|1:10000001:912|1:10000002:273|1:10000003:21</t>
  </si>
  <si>
    <t>贪婪之祸35</t>
  </si>
  <si>
    <t>1:12:270#1:12:270#1:12:7200|1:13:6#1:11:100|1:10000001:468|1:10000002:140|1:10000003:19</t>
  </si>
  <si>
    <t>1:12:405#1:12:5400#1:12:10800|1:13:6#1:11:150|1:10000001:702|1:10000002:208|1:10000003:18</t>
  </si>
  <si>
    <t>1:12:675#1:12:7200#1:12:14400|1:13:6#1:11:200|1:10000001:936|1:10000002:280|1:10000003:21</t>
  </si>
  <si>
    <t>1:12:54</t>
  </si>
  <si>
    <t>贪婪之祸36</t>
  </si>
  <si>
    <t>1:12:270#1:12:270#1:12:7400|1:13:6#1:11:100|1:10000001:480|1:10000002:144|1:10000003:20</t>
  </si>
  <si>
    <t>1:12:405#1:12:5550#1:12:11100|1:13:6#1:11:150|1:10000001:720|1:10000002:216|1:10000003:20</t>
  </si>
  <si>
    <t>1:12:675#1:12:7400#1:12:14800|1:13:6#1:11:200|1:10000001:960|1:10000002:288|1:10000003:25</t>
  </si>
  <si>
    <t>贪婪之祸37</t>
  </si>
  <si>
    <t>1:12:280#1:12:280#1:12:7600|1:13:6#1:11:100|1:10000001:492|1:10000002:147|1:10000003:20</t>
  </si>
  <si>
    <t>1:12:420#1:12:5700#1:12:11400|1:13:6#1:11:150|1:10000001:738|1:10000002:219|1:10000003:20</t>
  </si>
  <si>
    <t>1:12:700#1:12:7600#1:12:15200|1:13:6#1:11:200|1:10000001:984|1:10000002:295|1:10000003:25</t>
  </si>
  <si>
    <t>1:16|2:5|3:1</t>
  </si>
  <si>
    <t>1:12:56</t>
  </si>
  <si>
    <t>贪婪之祸38</t>
  </si>
  <si>
    <t>1:12:280#1:12:280#1:12:7800|1:13:6#1:11:100|1:10000001:504|1:10000002:151|1:10000003:21</t>
  </si>
  <si>
    <t>1:12:420#1:12:5850#1:12:11700|1:13:6#1:11:150|1:10000001:756|1:10000002:226|1:10000003:20</t>
  </si>
  <si>
    <t>1:12:700#1:12:7800#1:12:15600|1:13:6#1:11:200|1:10000001:1008|1:10000002:302|1:10000003:25</t>
  </si>
  <si>
    <t>贪婪之祸39</t>
  </si>
  <si>
    <t>1:12:290#1:12:290#1:12:8000|1:13:6#1:11:100|1:10000001:516|1:10000002:154|1:10000003:21</t>
  </si>
  <si>
    <t>1:12:435#1:12:6000#1:12:12000|1:13:6#1:11:150|1:10000001:774|1:10000002:230|1:10000003:21</t>
  </si>
  <si>
    <t>1:12:725#1:12:8000#1:12:16000|1:13:6#1:11:200|1:10000001:1032|1:10000002:309|1:10000003:26</t>
  </si>
  <si>
    <t>1:12:58</t>
  </si>
  <si>
    <t>贪婪之祸40</t>
  </si>
  <si>
    <t>1:12:290#1:12:290#1:12:8200|1:13:6#1:11:100|1:10000001:528|1:10000002:158|1:10000003:22</t>
  </si>
  <si>
    <t>1:12:435#1:12:6150#1:12:12300|1:13:6#1:11:150|1:10000001:792|1:10000002:237|1:10000003:21</t>
  </si>
  <si>
    <t>1:12:725#1:12:8200#1:12:16400|1:13:6#1:11:200|1:10000001:1056|1:10000002:316|1:10000003:26</t>
  </si>
  <si>
    <t>贪婪之祸41</t>
  </si>
  <si>
    <t>1:12:300#1:12:300#1:12:8400|1:13:6#1:11:100|1:10000001:540|1:10000002:162|1:10000003:22</t>
  </si>
  <si>
    <t>1:12:450#1:12:6300#1:12:12600|1:13:6#1:11:150|1:10000001:810|1:10000002:241|1:10000003:21</t>
  </si>
  <si>
    <t>1:12:750#1:12:8400#1:12:16800|1:13:6#1:11:200|1:10000001:1080|1:10000002:324|1:10000003:26</t>
  </si>
  <si>
    <t>1:18|2:5|3:1</t>
  </si>
  <si>
    <t>1:12:60</t>
  </si>
  <si>
    <t>贪婪之祸42</t>
  </si>
  <si>
    <t>1:12:300#1:12:300#1:12:8600|1:13:6#1:11:100|1:10000001:552|1:10000002:165|1:10000003:24</t>
  </si>
  <si>
    <t>1:12:450#1:12:6450#1:12:12900|1:13:6#1:11:150|1:10000001:828|1:10000002:248|1:10000003:22</t>
  </si>
  <si>
    <t>1:12:750#1:12:8600#1:12:17200|1:13:6#1:11:200|1:10000001:1104|1:10000002:331|1:10000003:27</t>
  </si>
  <si>
    <t>贪婪之祸43</t>
  </si>
  <si>
    <t>1:12:310#1:12:310#1:12:8800|1:13:6#1:11:100|1:10000001:564|1:10000002:169|1:10000003:24</t>
  </si>
  <si>
    <t>1:12:465#1:12:6600#1:12:13200|1:13:6#1:11:150|1:10000001:846|1:10000002:252|1:10000003:22</t>
  </si>
  <si>
    <t>1:12:775#1:12:8800#1:12:17600|1:13:6#1:11:200|1:10000001:1128|1:10000002:338|1:10000003:27</t>
  </si>
  <si>
    <t>1:18|2:6|3:1</t>
  </si>
  <si>
    <t>1:12:62</t>
  </si>
  <si>
    <t>贪婪之祸44</t>
  </si>
  <si>
    <t>1:12:310#1:12:310#1:12:9000|1:13:6#1:11:100|1:10000001:576|1:10000002:172|1:10000003:25</t>
  </si>
  <si>
    <t>1:12:465#1:12:6750#1:12:13500|1:13:6#1:11:150|1:10000001:864|1:10000002:259|1:10000003:22</t>
  </si>
  <si>
    <t>1:12:775#1:12:9000#1:12:18000|1:13:6#1:11:200|1:10000001:1152|1:10000002:345|1:10000003:27</t>
  </si>
  <si>
    <t>贪婪之祸45</t>
  </si>
  <si>
    <t>1:12:320#1:12:320#1:12:9200|1:13:6#1:11:100|1:10000001:588|1:10000002:176|1:10000003:25</t>
  </si>
  <si>
    <t>1:12:480#1:12:6900#1:12:13800|1:13:6#1:11:150|1:10000001:882|1:10000002:262|1:10000003:24</t>
  </si>
  <si>
    <t>1:12:800#1:12:9200#1:12:18400|1:13:6#1:11:200|1:10000001:1176|1:10000002:352|1:10000003:30</t>
  </si>
  <si>
    <t>1:19|2:6|3:1</t>
  </si>
  <si>
    <t>1:12:64</t>
  </si>
  <si>
    <t>贪婪之祸46</t>
  </si>
  <si>
    <t>1:12:320#1:12:320#1:12:9400|1:13:6#1:11:100|1:10000001:600|1:10000002:180|1:10000003:26</t>
  </si>
  <si>
    <t>1:12:480#1:12:7050#1:12:14100|1:13:6#1:11:150|1:10000001:900|1:10000002:270|1:10000003:24</t>
  </si>
  <si>
    <t>1:12:800#1:12:9400#1:12:18800|1:13:6#1:11:200|1:10000001:1200|1:10000002:360|1:10000003:30</t>
  </si>
  <si>
    <t>贪婪之祸47</t>
  </si>
  <si>
    <t>1:12:330#1:12:330#1:12:9600|1:13:6#1:11:100|1:10000001:612|1:10000002:183|1:10000003:26</t>
  </si>
  <si>
    <t>1:12:495#1:12:7200#1:12:14400|1:13:6#1:11:150|1:10000001:918|1:10000002:273|1:10000003:24</t>
  </si>
  <si>
    <t>1:12:825#1:12:9600#1:12:19200|1:13:6#1:11:200|1:10000001:1224|1:10000002:367|1:10000003:30</t>
  </si>
  <si>
    <t>1:12:66</t>
  </si>
  <si>
    <t>贪婪之祸48</t>
  </si>
  <si>
    <t>1:12:330#1:12:330#1:12:9800|1:13:6#1:11:100|1:10000001:624|1:10000002:187|1:10000003:27</t>
  </si>
  <si>
    <t>1:12:495#1:12:7350#1:12:14700|1:13:6#1:11:150|1:10000001:936|1:10000002:280|1:10000003:25</t>
  </si>
  <si>
    <t>1:12:825#1:12:9800#1:12:19600|1:13:6#1:11:200|1:10000001:1248|1:10000002:374|1:10000003:31</t>
  </si>
  <si>
    <t>贪婪之祸49</t>
  </si>
  <si>
    <t>1:12:340#1:12:340#1:12:10000|1:13:6#1:11:100|1:10000001:636|1:10000002:190|1:10000003:27</t>
  </si>
  <si>
    <t>1:12:510#1:12:7500#1:12:15000|1:13:6#1:11:150|1:10000001:954|1:10000002:284|1:10000003:26</t>
  </si>
  <si>
    <t>1:12:850#1:12:10000#1:12:20000|1:13:6#1:11:200|1:10000001:1272|1:10000002:381|1:10000003:32</t>
  </si>
  <si>
    <t>1:20|2:7|3:1</t>
  </si>
  <si>
    <t>1:12:68</t>
  </si>
  <si>
    <t>贪婪之祸50</t>
  </si>
  <si>
    <t>1:12:340#1:12:340#1:12:10200|1:13:6#1:11:100|1:10000001:648|1:10000002:194|1:10000003:28</t>
  </si>
  <si>
    <t>1:12:510#1:12:7650#1:12:15300|1:13:6#1:11:150|1:10000001:972|1:10000002:291|1:10000003:26</t>
  </si>
  <si>
    <t>1:12:850#1:12:10200#1:12:20400|1:13:6#1:11:200|1:10000001:1296|1:10000002:388|1:10000003:32</t>
  </si>
  <si>
    <t>攻城战</t>
  </si>
  <si>
    <t>jingyanfuben</t>
  </si>
  <si>
    <t>1:20001:50</t>
  </si>
  <si>
    <t>1:5#2:5|1:10|2:10|0:10|0:10</t>
  </si>
  <si>
    <t>1:10001|2:10002|3:10003</t>
  </si>
  <si>
    <t>1#1#0.4|3#2#0.5|5#3#0.6</t>
  </si>
  <si>
    <t>4#1#1</t>
  </si>
  <si>
    <t>-584.8:379</t>
  </si>
  <si>
    <t>700:12:30|100:11:2|50:1:1|5:4:1</t>
  </si>
  <si>
    <t>奖励基础资源</t>
  </si>
  <si>
    <t>打败所有敌人</t>
  </si>
  <si>
    <t>9001+1</t>
  </si>
  <si>
    <t>1001+3</t>
  </si>
  <si>
    <t xml:space="preserve">1:20001:75 </t>
  </si>
  <si>
    <t>8#2#2</t>
  </si>
  <si>
    <t>-584.8:380</t>
  </si>
  <si>
    <t>9001+2.5</t>
  </si>
  <si>
    <t>3002+6</t>
  </si>
  <si>
    <t>MapShaMo</t>
  </si>
  <si>
    <t xml:space="preserve">1:20001:100 </t>
  </si>
  <si>
    <t>12#3#3</t>
  </si>
  <si>
    <t>-584.8:381</t>
  </si>
  <si>
    <t>2002+19.2</t>
  </si>
  <si>
    <t xml:space="preserve">1:20001:125 </t>
  </si>
  <si>
    <t>16#4#4</t>
  </si>
  <si>
    <t>-584.8:382</t>
  </si>
  <si>
    <t>2003+28</t>
  </si>
  <si>
    <t>MapMagic</t>
  </si>
  <si>
    <t xml:space="preserve">1:20001:150 </t>
  </si>
  <si>
    <t>20#5#5</t>
  </si>
  <si>
    <t>-584.8:383</t>
  </si>
  <si>
    <t>9001+18</t>
  </si>
  <si>
    <t>4004+27</t>
  </si>
  <si>
    <t>MapDragon</t>
  </si>
  <si>
    <t xml:space="preserve">1:20001:175 </t>
  </si>
  <si>
    <t>24#6#6</t>
  </si>
  <si>
    <t>-584.8:384</t>
  </si>
  <si>
    <t>9001+22</t>
  </si>
  <si>
    <t>1004+33</t>
  </si>
  <si>
    <t xml:space="preserve">1:20001:200 </t>
  </si>
  <si>
    <t>28#7#7</t>
  </si>
  <si>
    <t>-584.8:385</t>
  </si>
  <si>
    <t>9001+26</t>
  </si>
  <si>
    <t>5105+31.2</t>
  </si>
  <si>
    <t>MapEvil</t>
  </si>
  <si>
    <t xml:space="preserve">1:20001:225 </t>
  </si>
  <si>
    <t>32#8#8</t>
  </si>
  <si>
    <t>-584.8:386</t>
  </si>
  <si>
    <t>9001+30</t>
  </si>
  <si>
    <t>6106+27.6</t>
  </si>
  <si>
    <t xml:space="preserve">1:20001:250 </t>
  </si>
  <si>
    <t>36#9#9</t>
  </si>
  <si>
    <t>-584.8:387</t>
  </si>
  <si>
    <t>9001+35</t>
  </si>
  <si>
    <t>5106+32.3</t>
  </si>
  <si>
    <t xml:space="preserve">1:20001:275 </t>
  </si>
  <si>
    <t>40#10#10</t>
  </si>
  <si>
    <t>-584.8:388</t>
  </si>
  <si>
    <t>9001+40</t>
  </si>
  <si>
    <t>4107+34.2</t>
  </si>
  <si>
    <t xml:space="preserve">1:20001:300 </t>
  </si>
  <si>
    <t>44#11#11</t>
  </si>
  <si>
    <t>-584.8:389</t>
  </si>
  <si>
    <t>9001+45</t>
  </si>
  <si>
    <t>4108+30</t>
  </si>
  <si>
    <t xml:space="preserve">1:20001:325 </t>
  </si>
  <si>
    <t>48#12#12</t>
  </si>
  <si>
    <t>-584.8:390</t>
  </si>
  <si>
    <t xml:space="preserve">1:20001:350 </t>
  </si>
  <si>
    <t>52#13#13</t>
  </si>
  <si>
    <t>-584.8:391</t>
  </si>
  <si>
    <t>守护战</t>
  </si>
  <si>
    <t>jinbifuben</t>
  </si>
  <si>
    <t>1:12:20000</t>
  </si>
  <si>
    <t>1:3#2:3|1:10|2:30</t>
  </si>
  <si>
    <t>1#1#0.6|2#2#0.8|3#3#0.9</t>
  </si>
  <si>
    <t>9#3#3</t>
  </si>
  <si>
    <t>200#30001:2;30002:1|500#30002:3</t>
  </si>
  <si>
    <t>-584.8:392</t>
  </si>
  <si>
    <t>奖励技能点</t>
  </si>
  <si>
    <t>守住2波攻击</t>
  </si>
  <si>
    <t>3001+3</t>
  </si>
  <si>
    <t>1:12:35000</t>
  </si>
  <si>
    <t>15#5#5</t>
  </si>
  <si>
    <t>-584.8:393</t>
  </si>
  <si>
    <t>2002+6</t>
  </si>
  <si>
    <t>1:12:50000</t>
  </si>
  <si>
    <t>21#7#7</t>
  </si>
  <si>
    <t>-584.8:394</t>
  </si>
  <si>
    <t>1002+19.2</t>
  </si>
  <si>
    <t>1:12:65000</t>
  </si>
  <si>
    <t>27#9#9</t>
  </si>
  <si>
    <t>-584.8:395</t>
  </si>
  <si>
    <t>1:12:80000</t>
  </si>
  <si>
    <t>33#11#11</t>
  </si>
  <si>
    <t>-584.8:396</t>
  </si>
  <si>
    <t>5004+27</t>
  </si>
  <si>
    <t>1:12:95000</t>
  </si>
  <si>
    <t>39#13#13</t>
  </si>
  <si>
    <t>-584.8:397</t>
  </si>
  <si>
    <t>1:12:110000</t>
  </si>
  <si>
    <t>45#15#15</t>
  </si>
  <si>
    <t>-584.8:398</t>
  </si>
  <si>
    <t>1105+31.2</t>
  </si>
  <si>
    <t>1:12:125000</t>
  </si>
  <si>
    <t>51#17#17</t>
  </si>
  <si>
    <t>-584.8:399</t>
  </si>
  <si>
    <t>5106+27.6</t>
  </si>
  <si>
    <t>1:12:140000</t>
  </si>
  <si>
    <t>57#19#19</t>
  </si>
  <si>
    <t>-584.8:400</t>
  </si>
  <si>
    <t>4106+32.3</t>
  </si>
  <si>
    <t>1:12:155000</t>
  </si>
  <si>
    <t>63#21#21</t>
  </si>
  <si>
    <t>-584.8:401</t>
  </si>
  <si>
    <t>5107+34.2</t>
  </si>
  <si>
    <t>1:12:170000</t>
  </si>
  <si>
    <t>69#23#23</t>
  </si>
  <si>
    <t>-584.8:402</t>
  </si>
  <si>
    <t>5108+30</t>
  </si>
  <si>
    <t>1:12:185000</t>
  </si>
  <si>
    <t>75#25#25</t>
  </si>
  <si>
    <t>-584.8:403</t>
  </si>
  <si>
    <t>9001+50</t>
  </si>
  <si>
    <t>5108+33.3</t>
  </si>
  <si>
    <t>1:12:200000</t>
  </si>
  <si>
    <t>87#27#27</t>
  </si>
  <si>
    <t>-584.8:404</t>
  </si>
  <si>
    <t>9001+60</t>
  </si>
  <si>
    <t>5209+30</t>
  </si>
  <si>
    <t>救援战</t>
  </si>
  <si>
    <t>zhuangbeifuben</t>
  </si>
  <si>
    <t>1:17:400</t>
  </si>
  <si>
    <t>1#1#1</t>
  </si>
  <si>
    <t>-584.8:405</t>
  </si>
  <si>
    <t>奖励大量经验</t>
  </si>
  <si>
    <t>在队友被消灭前,打败所有敌人</t>
  </si>
  <si>
    <t>1001+1.6</t>
  </si>
  <si>
    <t>2001+3</t>
  </si>
  <si>
    <t>1:17:480</t>
  </si>
  <si>
    <t>-584.8:406</t>
  </si>
  <si>
    <t>1002+3.2</t>
  </si>
  <si>
    <t>1:17:560</t>
  </si>
  <si>
    <t>60#15#15</t>
  </si>
  <si>
    <t>-584.8:407</t>
  </si>
  <si>
    <t>1002+10.2</t>
  </si>
  <si>
    <t>1:17:640</t>
  </si>
  <si>
    <t>80#20#20</t>
  </si>
  <si>
    <t>-584.8:408</t>
  </si>
  <si>
    <t>1003+14.9</t>
  </si>
  <si>
    <t>1003+28</t>
  </si>
  <si>
    <t>1:17:720</t>
  </si>
  <si>
    <t>100#25#25</t>
  </si>
  <si>
    <t>-584.8:409</t>
  </si>
  <si>
    <t>1004+14.4</t>
  </si>
  <si>
    <t>1:17:800</t>
  </si>
  <si>
    <t>120#30#30</t>
  </si>
  <si>
    <t>-584.8:410</t>
  </si>
  <si>
    <t>1004+17.6</t>
  </si>
  <si>
    <t>6004+33</t>
  </si>
  <si>
    <t>1:17:880</t>
  </si>
  <si>
    <t>140#35#35</t>
  </si>
  <si>
    <t>-584.8:411</t>
  </si>
  <si>
    <t>1105+16.6</t>
  </si>
  <si>
    <t>4105+31.2</t>
  </si>
  <si>
    <t>1:17:960</t>
  </si>
  <si>
    <t>160#40#40</t>
  </si>
  <si>
    <t>-584.8:412</t>
  </si>
  <si>
    <t>1106+14.7</t>
  </si>
  <si>
    <t>3106+27.6</t>
  </si>
  <si>
    <t>1:17:1040</t>
  </si>
  <si>
    <t>180#45#45</t>
  </si>
  <si>
    <t>-584.8:413</t>
  </si>
  <si>
    <t>1106+17.2</t>
  </si>
  <si>
    <t>1106+32.3</t>
  </si>
  <si>
    <t>1:17:1120</t>
  </si>
  <si>
    <t>200#50#50</t>
  </si>
  <si>
    <t>-584.8:414</t>
  </si>
  <si>
    <t>1107+18.2</t>
  </si>
  <si>
    <t>1:17:1200</t>
  </si>
  <si>
    <t>220#55#55</t>
  </si>
  <si>
    <t>-584.8:415</t>
  </si>
  <si>
    <t>1108+16</t>
  </si>
  <si>
    <t>1:17:1300</t>
  </si>
  <si>
    <t>240#60#60</t>
  </si>
  <si>
    <t>-584.8:416</t>
  </si>
  <si>
    <t>1108+17.7</t>
  </si>
  <si>
    <t>4108+33.3</t>
  </si>
  <si>
    <t>1:17:1400</t>
  </si>
  <si>
    <t>260#65#65</t>
  </si>
  <si>
    <t>-584.8:417</t>
  </si>
  <si>
    <t>1209+16</t>
  </si>
  <si>
    <t>4209+30</t>
  </si>
  <si>
    <t>护送</t>
  </si>
  <si>
    <t>husongzhan</t>
  </si>
  <si>
    <t>6:1:1|6:2:1</t>
  </si>
  <si>
    <t>1:10#2:10|1:10|2:10|0:10|0:10|0:10|0:10|0:10|0:10|0:10</t>
  </si>
  <si>
    <t>-584.8:418</t>
  </si>
  <si>
    <t>奖励稀有装备</t>
  </si>
  <si>
    <t>9002+0.5</t>
  </si>
  <si>
    <t>6:1:1|6:2:1|6:3:1</t>
  </si>
  <si>
    <t>-584.8:419</t>
  </si>
  <si>
    <t>9002+1.25</t>
  </si>
  <si>
    <t>6:2:1|6:3:1|6:4:1</t>
  </si>
  <si>
    <t>-584.8:420</t>
  </si>
  <si>
    <t>9002+4</t>
  </si>
  <si>
    <t>6002+19.2</t>
  </si>
  <si>
    <t>6:3:1|6:4:1|6:5:1</t>
  </si>
  <si>
    <t>-584.8:421</t>
  </si>
  <si>
    <t>3003+28</t>
  </si>
  <si>
    <t>6:4:1|6:5:1|6:6:1</t>
  </si>
  <si>
    <t>-584.8:422</t>
  </si>
  <si>
    <t>9002+9</t>
  </si>
  <si>
    <t>6004+27</t>
  </si>
  <si>
    <t>6:5:1|6:6:1|6:7:1</t>
  </si>
  <si>
    <t>-584.8:423</t>
  </si>
  <si>
    <t>9002+11</t>
  </si>
  <si>
    <t>5004+33</t>
  </si>
  <si>
    <t>6:6:1|6:7:1|6:8:1</t>
  </si>
  <si>
    <t>-584.8:424</t>
  </si>
  <si>
    <t>3105+31.2</t>
  </si>
  <si>
    <t>6:7:1|6:8:1|6:9:1</t>
  </si>
  <si>
    <t>-584.8:425</t>
  </si>
  <si>
    <t>9002+15</t>
  </si>
  <si>
    <t>1106+27.6</t>
  </si>
  <si>
    <t>6:8:1|6:9:1|6:10:1</t>
  </si>
  <si>
    <t>-584.8:426</t>
  </si>
  <si>
    <t>9002+17.5</t>
  </si>
  <si>
    <t>6:9:1|6:10:1|6:11:1</t>
  </si>
  <si>
    <t>-584.8:427</t>
  </si>
  <si>
    <t>9002+20</t>
  </si>
  <si>
    <t>6:10:1|6:11:1|6:12:1</t>
  </si>
  <si>
    <t>-584.8:428</t>
  </si>
  <si>
    <t>9002+22.5</t>
  </si>
  <si>
    <t>6:11:1|6:12:1|6:13:1</t>
  </si>
  <si>
    <t>-584.8:429</t>
  </si>
  <si>
    <t>9002+25</t>
  </si>
  <si>
    <t>6:12:1|6:13:1|6:14:1</t>
  </si>
  <si>
    <t>-584.8:430</t>
  </si>
  <si>
    <t>9002+30</t>
  </si>
  <si>
    <t>6:13:1|6:14:1|6:15:1</t>
  </si>
  <si>
    <t>-584.8:431</t>
  </si>
  <si>
    <t>9002+35</t>
  </si>
  <si>
    <t>5209+35</t>
  </si>
  <si>
    <t>6:14:1|6:15:1|6:16:1</t>
  </si>
  <si>
    <t>-584.8:432</t>
  </si>
  <si>
    <t>9002+40</t>
  </si>
  <si>
    <t>5209+40</t>
  </si>
  <si>
    <t>幻境简单</t>
  </si>
  <si>
    <t>1:11:100|1:12:1000#1:11:2|1:12:20</t>
  </si>
  <si>
    <t>-584.8:433</t>
  </si>
  <si>
    <t>700:12:30|100:11:2|30:1:1|2:4:1</t>
  </si>
  <si>
    <t>4*0.8</t>
  </si>
  <si>
    <t>幻境困难</t>
  </si>
  <si>
    <t>1:11:150|1:12:1500#1:11:3|1:12:30</t>
  </si>
  <si>
    <t>-584.8:434</t>
  </si>
  <si>
    <t>21*4.2</t>
  </si>
  <si>
    <t>幻境噩梦</t>
  </si>
  <si>
    <t>1:11:200|1:12:2000#1:11:4|1:12:40</t>
  </si>
  <si>
    <t>-584.8:435</t>
  </si>
  <si>
    <t>42*8.5</t>
  </si>
  <si>
    <t>无尽简单</t>
  </si>
  <si>
    <t>-584.8:436</t>
  </si>
  <si>
    <t>无尽困难</t>
  </si>
  <si>
    <t>-584.8:437</t>
  </si>
  <si>
    <t>无尽噩梦</t>
  </si>
  <si>
    <t>-584.8:438</t>
  </si>
  <si>
    <t>竞技场</t>
  </si>
  <si>
    <t>-584.8:439</t>
  </si>
  <si>
    <t>部队挑战1</t>
  </si>
  <si>
    <t>-584.8:440</t>
  </si>
  <si>
    <t>Lv2</t>
  </si>
  <si>
    <t>-584.8:441</t>
  </si>
  <si>
    <t>Lv3</t>
  </si>
  <si>
    <t>-584.8:442</t>
  </si>
  <si>
    <t>大地之灵木桩</t>
  </si>
  <si>
    <t>-584.8:443</t>
  </si>
  <si>
    <t>115+300</t>
  </si>
  <si>
    <t xml:space="preserve">  扫荡#首通#三星</t>
  </si>
  <si>
    <t>装备掉落</t>
  </si>
  <si>
    <t>第1关</t>
  </si>
  <si>
    <t>1:12:1000|1:20001:2#1:11:200|1:24:1|1:1010102:1|1:1010103:1|1:20001:2#1:11:200|1:22:2|1:24:2</t>
  </si>
  <si>
    <t>1:1001:1000|2:1002:900|2:1003:800|2:1004:700|2:1005:600|2:1006:500|2:1007:400|2:1008:300|2:1009:200|2:1010:100|2:1011:50|2:1012:10</t>
  </si>
  <si>
    <t>第2关</t>
  </si>
  <si>
    <t>1:12:1000|1:20001:2#1:11:200|1:24:1|1:1010104:1|1:1010105:1|1:20001:2#1:11:200|1:22:2|1:24:2</t>
  </si>
  <si>
    <t>1:11:50</t>
  </si>
  <si>
    <t>第3关</t>
  </si>
  <si>
    <t>1:12:1000|1:20001:4|1:10201:1#1:11:200|1:24:1|1:1020102:1|1:1020103:1|1:20001:4#1:11:200|1:22:2|1:24:2</t>
  </si>
  <si>
    <t>第4关</t>
  </si>
  <si>
    <t>1:12:1000|1:20001:4|1:10201:1|1:10010:1#1:11:200|1:24:1|1:1020104:1|1:1020105:1|1:20001:4#1:11:200|1:22:2|1:24:2</t>
  </si>
  <si>
    <t>1:11:50|1:11:50</t>
  </si>
  <si>
    <t>第5关</t>
  </si>
  <si>
    <t>1:12:1000|1:20001:4|1:10201:1|1:10010:1#1:11:200|1:24:1|1:1010102:1|1:1010103:1|1:20001:4#1:11:200|1:22:2|1:24:2</t>
  </si>
  <si>
    <t>1:11:50|1:11:100</t>
  </si>
  <si>
    <t>第6关</t>
  </si>
  <si>
    <t>1:12:1000|1:20001:4|1:10201:1|1:10011:1#1:11:200|1:24:1|1:1010104:1|1:1010105:1|1:20001:4#1:11:200|1:22:2|1:24:2</t>
  </si>
  <si>
    <t>第7关</t>
  </si>
  <si>
    <t>1:12:1000|1:20001:4|1:10201:1|1:10011:1#1:11:200|1:24:1|1:1020102:1|1:1020103:1|1:20001:4#1:11:200|1:22:2|1:24:2</t>
  </si>
  <si>
    <t>第8关</t>
  </si>
  <si>
    <t>1:12:1000|1:20001:4|1:10201:1|1:10001:1#1:11:200|1:24:1|1:1020104:1|1:1020105:1|1:20001:4#1:11:200|1:22:2|1:24:2</t>
  </si>
  <si>
    <t>第9关</t>
  </si>
  <si>
    <t>1:12:1200|1:20001:6|1:10201:2|1:10010:1#1:11:200|1:24:1|1:2010102:1|1:2010103:1|1:20001:6#1:11:200|1:22:2|1:24:2</t>
  </si>
  <si>
    <t>第10关</t>
  </si>
  <si>
    <t>1:12:1200|1:20001:6|1:10201:2|1:10010:2#1:11:200|1:24:1|1:2010104:1|1:2010105:1|1:20001:6#1:11:200|1:22:2|1:24:2</t>
  </si>
  <si>
    <t>第11关</t>
  </si>
  <si>
    <t>1:12:1200|1:20001:6|1:10201:2|1:10011:1#1:11:200|1:24:1|1:2020102:1|1:2020103:1|1:20001:6#1:11:200|1:22:2|1:24:2</t>
  </si>
  <si>
    <t>第12关</t>
  </si>
  <si>
    <t>1:12:1200|1:20001:6|1:10201:2|1:10001:2#1:11:200|1:24:1|1:2020104:1|1:2020105:1|1:20001:6#1:11:200|1:22:2|1:24:2</t>
  </si>
  <si>
    <t>第13关</t>
  </si>
  <si>
    <t>1:12:1200|1:20001:4|1:10201:2|1:10012:1#1:11:200|1:24:1|1:2010102:1|1:2010103:1|1:20001:4#1:11:200|1:22:2|1:24:2</t>
  </si>
  <si>
    <t>第14关</t>
  </si>
  <si>
    <t>1:12:1200|1:20001:6|1:10201:2|1:10012:2#1:11:200|1:24:1|1:2010104:1|1:2010105:1|1:20001:6#1:11:200|1:22:2|1:24:2</t>
  </si>
  <si>
    <t>第15关</t>
  </si>
  <si>
    <t>1:12:1200|1:20001:6|1:10201:2|1:10012:1|1:10013:1#1:11:200|1:24:1|1:2020102:1|1:2020103:1|1:20001:6#1:11:200|1:22:2|1:24:2</t>
  </si>
  <si>
    <t>第16关</t>
  </si>
  <si>
    <t>1:12:1200|1:20001:6|1:10201:2|1:10001:1#1:11:200|1:24:1|1:2020104:1|1:2020105:1|1:20001:6#1:11:200|1:22:2|1:24:2</t>
  </si>
  <si>
    <t>第17关</t>
  </si>
  <si>
    <t>1:12:1400|1:20001:6|1:10201:2|1:10013:1#1:11:200|1:24:1|1:2010202:1|1:2010203:1|1:20001:6#1:11:200|1:22:2|1:24:2</t>
  </si>
  <si>
    <t>第18关</t>
  </si>
  <si>
    <t>1:12:1400|1:20001:8|1:10201:2|1:10013:1#1:11:200|1:24:1|1:2010204:1|1:2010205:1|1:20001:8#1:11:200|1:22:2|1:24:2</t>
  </si>
  <si>
    <t>第19关</t>
  </si>
  <si>
    <t>1:12:1400|1:20001:8|1:10201:2|1:10012:2#1:11:200|1:24:1|1:2020202:1|1:2020203:1|1:20001:8#1:11:200|1:22:2|1:24:2</t>
  </si>
  <si>
    <t>第20关</t>
  </si>
  <si>
    <t>1:12:1400|1:20001:8|1:10201:3|1:10013:2#1:11:200|1:24:1|1:2020204:1|1:2020205:1|1:20001:8#1:11:200|1:22:2|1:24:2</t>
  </si>
  <si>
    <t>第21关</t>
  </si>
  <si>
    <t>1:12:1400|1:20001:8|1:10201:3|1:10010:2|1:10012:2#1:11:200|1:24:1|1:2010202:1|1:2010203:1|1:20001:8#1:11:200|1:22:2|1:24:2</t>
  </si>
  <si>
    <t>第22关</t>
  </si>
  <si>
    <t>1:12:1400|1:20001:8|1:10201:3|1:10011:2|1:10013:2#1:11:200|1:24:1|1:2010204:1|1:2010205:1|1:20001:8#1:11:200|1:22:2|1:24:2</t>
  </si>
  <si>
    <t>第23关</t>
  </si>
  <si>
    <t>1:12:1400|1:20001:8|1:10201:3|1:10012:1|1:10013:1#1:11:200|1:24:1|1:2020202:1|1:2020203:1|1:20001:8#1:11:200|1:22:2|1:24:2</t>
  </si>
  <si>
    <t>第24关</t>
  </si>
  <si>
    <t>1:12:1400|1:20001:8|1:10201:1|1:10002:1#1:11:200|1:24:1|1:2020204:1|1:2020205:1|1:20001:8#1:11:200|1:22:2|1:24:2</t>
  </si>
  <si>
    <t>第25关</t>
  </si>
  <si>
    <t>1:12:1600|1:20001:8|1:10201:1|1:10012:1#1:11:200|1:24:1|1:3010102:1|1:3010103:1|1:20001:8#1:11:200|1:22:2|1:24:2</t>
  </si>
  <si>
    <t>第26关</t>
  </si>
  <si>
    <t>1:12:1600|1:20001:8|1:10201:1|1:10013:1#1:11:200|1:24:1|1:3010104:1|1:3010105:1|1:20001:8#1:11:200|1:22:2|1:24:2</t>
  </si>
  <si>
    <t>第27关</t>
  </si>
  <si>
    <t>1:12:1600|1:20001:8|1:10201:1|1:10014:1#1:11:200|1:24:1|1:3020102:1|1:3020103:1|1:20001:8#1:11:200|1:22:2|1:24:2</t>
  </si>
  <si>
    <t>第28关</t>
  </si>
  <si>
    <t>1:12:1600|1:20001:8|1:10201:1|1:10015:1#1:11:200|1:24:1|1:3020104:1|1:3020105:1|1:20001:8#1:11:200|1:22:2|1:24:2</t>
  </si>
  <si>
    <t>第29关</t>
  </si>
  <si>
    <t>1:12:1600|1:20001:8|1:10201:1|1:10014:1|1:10012:1#1:11:200|1:24:1|1:3010102:1|1:3010103:1|1:20001:8#1:11:200|1:22:2|1:24:2</t>
  </si>
  <si>
    <t>第30关</t>
  </si>
  <si>
    <t>1:12:1600|1:20001:8|1:10201:1|1:10015:1|1:10013:1#1:11:200|1:24:1|1:3010104:1|1:3010105:1|1:20001:8#1:11:200|1:22:2|1:24:2</t>
  </si>
  <si>
    <t>第31关</t>
  </si>
  <si>
    <t>1:12:1600|1:20001:8|1:10201:1|1:10014:1|1:10001:1#1:11:200|1:24:1|1:3020102:1|1:3020103:1|1:20001:8#1:11:200|1:22:2|1:24:2</t>
  </si>
  <si>
    <t>31</t>
  </si>
  <si>
    <t>450:65</t>
  </si>
  <si>
    <t>第32关</t>
  </si>
  <si>
    <t>1:12:1600|1:20001:8|1:10201:1|1:10002:1#1:11:200|1:24:1|1:3020104:1|1:3020105:1|1:20001:8#1:11:200|1:22:2|1:24:2</t>
  </si>
  <si>
    <t>32</t>
  </si>
  <si>
    <t>669:287</t>
  </si>
  <si>
    <t>第33关</t>
  </si>
  <si>
    <t>1:12:1800|1:20001:8|1:10201:1|1:10014:1|1:10001:1#1:11:200|1:24:1|1:3010202:1|1:3010203:1|1:20001:8#1:11:200|1:22:2|1:24:2</t>
  </si>
  <si>
    <t>33</t>
  </si>
  <si>
    <t>-699:276</t>
  </si>
  <si>
    <t>1+1+1+1+1+15+3+9|1+1+1+1+1+9+3+8|1+1+1+1+1+4+9|53</t>
  </si>
  <si>
    <t>700:12:30|100:11:2|60:1:1|8:4:1</t>
  </si>
  <si>
    <t>亡灵的报复</t>
  </si>
  <si>
    <t>亡灵攻击城堡。</t>
  </si>
  <si>
    <t>9001+17</t>
  </si>
  <si>
    <t>6104+25.5</t>
  </si>
  <si>
    <t>第34关</t>
  </si>
  <si>
    <t>1:12:1800|1:20001:8|1:10201:1|1:10015:2|1:10001:2#1:11:200|1:24:1|1:3010204:1|1:3010205:1|1:20001:8#1:11:200|1:22:2|1:24:2</t>
  </si>
  <si>
    <t>34</t>
  </si>
  <si>
    <t>-711:-100</t>
  </si>
  <si>
    <t>1+1+1+1+1+15+3+9|1+1+1+1+1+20+3+9|1+1+1+1+1+9+4|51</t>
  </si>
  <si>
    <t>寻找亡灵出现的位子</t>
  </si>
  <si>
    <t>6105+21.6</t>
  </si>
  <si>
    <t>|3:519:1</t>
  </si>
  <si>
    <t>第35关</t>
  </si>
  <si>
    <t>1:12:1800|1:20001:8|1:10201:1|1:10016:1#1:11:200|1:24:1|1:3020202:1|1:3020203:1|1:20001:8#1:11:200|1:22:2|1:24:2</t>
  </si>
  <si>
    <t>35</t>
  </si>
  <si>
    <t>-350:-306</t>
  </si>
  <si>
    <t>1+1+1+1+1+15+3+9|1+1+1+1+1+4+19+9|1+1+1+1+1+8+4+9|52</t>
  </si>
  <si>
    <t>进入亡灵世界，并进攻亡灵主城</t>
  </si>
  <si>
    <t>9001+19</t>
  </si>
  <si>
    <t>6106+17.5</t>
  </si>
  <si>
    <t>第36关</t>
  </si>
  <si>
    <t>1:12:1800|1:20001:8|1:10201:1|1:10017:1#1:11:200|1:24:1|1:3020204:1|1:3020205:1|1:20001:8#1:11:200|1:22:2|1:24:2</t>
  </si>
  <si>
    <t>36</t>
  </si>
  <si>
    <t>-308:50</t>
  </si>
  <si>
    <t>1+1+1+1+1+15+3+9|1+1+1+1+1+9+3+19|1+1+1+1+1+4+9|51</t>
  </si>
  <si>
    <t>解救亡灵世界的幽灵公主</t>
  </si>
  <si>
    <t>6107+17.1</t>
  </si>
  <si>
    <t>|3:525:1</t>
  </si>
  <si>
    <t>第37关</t>
  </si>
  <si>
    <t>1:12:1800|1:20001:8|1:10201:1|1:10014:1|1:10016:1#1:11:200|1:24:1|1:3010202:1|1:3010203:1|1:20001:8#1:11:200|1:22:2|1:24:2</t>
  </si>
  <si>
    <t>37</t>
  </si>
  <si>
    <t>13:176</t>
  </si>
  <si>
    <t>1+1+1+1+1+15+3+9|1+1+1+1+1+9+3+8|1+1+1+1+1+4+19|51</t>
  </si>
  <si>
    <t>干掉亡灵族的叛徒</t>
  </si>
  <si>
    <t>6108+14</t>
  </si>
  <si>
    <t>第38关</t>
  </si>
  <si>
    <t>1:12:1800|1:20001:8|1:10201:1|1:10015:1|1:10017:1#1:11:200|1:24:1|1:3010204:1|1:3010205:1|1:20001:8#1:11:200|1:22:2|1:24:2</t>
  </si>
  <si>
    <t>38</t>
  </si>
  <si>
    <t>288:122</t>
  </si>
  <si>
    <t>1+1+1+1+1+3+8+9|1+1+1+1+1+19+9|1+1+1+1+1+20+4+9|51</t>
  </si>
  <si>
    <t>解救亡灵族的亡灵君主</t>
  </si>
  <si>
    <t>6109+11</t>
  </si>
  <si>
    <t>|3:101:1</t>
  </si>
  <si>
    <t>第39关</t>
  </si>
  <si>
    <t>1:12:1800|1:20001:8|1:10201:1|1:10016:1|1:10017:1#1:11:200|1:24:1|1:3020202:1|1:3020203:1|1:20001:8#1:11:200|1:22:2|1:24:2</t>
  </si>
  <si>
    <t>39</t>
  </si>
  <si>
    <t>623:-50</t>
  </si>
  <si>
    <t>第40关</t>
  </si>
  <si>
    <t>1:12:1800|1:20001:8|1:10201:1|1:10002:1#1:11:200|1:24:1|1:3020204:1|1:3020205:1|1:20001:8#1:11:200|1:22:2|1:24:2</t>
  </si>
  <si>
    <t>40</t>
  </si>
  <si>
    <t>491:-364</t>
  </si>
  <si>
    <t>第41关</t>
  </si>
  <si>
    <t>img_shenyuan6</t>
  </si>
  <si>
    <t>1:12:140|1:17:60#1:11:70|1:17:150|1:13:1|1:10010:1#1:11:100</t>
  </si>
  <si>
    <t>5004|1001#1005|5002#1004|1003#1006|1005</t>
  </si>
  <si>
    <t>41</t>
  </si>
  <si>
    <t>-584.8:323</t>
  </si>
  <si>
    <t>700:12:20|100:11:2|50:1:1|8:4:1</t>
  </si>
  <si>
    <t>进攻地狱</t>
  </si>
  <si>
    <t>进入地狱世界</t>
  </si>
  <si>
    <t>5201+69</t>
  </si>
  <si>
    <t>第42关</t>
  </si>
  <si>
    <t>5003|1006#3003|5005#1001|3005#1001|3003</t>
  </si>
  <si>
    <t>42</t>
  </si>
  <si>
    <t>-584.8:324</t>
  </si>
  <si>
    <t>从外围先了解地狱族</t>
  </si>
  <si>
    <t>5202+57.6</t>
  </si>
  <si>
    <t>|3:182:1</t>
  </si>
  <si>
    <t>第43关</t>
  </si>
  <si>
    <t>5001|2004#1003|5001#2001|1001#2003|1005</t>
  </si>
  <si>
    <t>43</t>
  </si>
  <si>
    <t>-584.8:325</t>
  </si>
  <si>
    <t>1+1+1+1+1+15+3+9|1+1+1+1+1+4+19+9|1+1+1+1+1+8+4+9|51</t>
  </si>
  <si>
    <t>地狱族发动突袭，围攻我们。</t>
  </si>
  <si>
    <t>5203+50</t>
  </si>
  <si>
    <t>第44关</t>
  </si>
  <si>
    <t>5001|4002#2002|5005#4002|2002#4006|2006</t>
  </si>
  <si>
    <t>44</t>
  </si>
  <si>
    <t>-584.8:326</t>
  </si>
  <si>
    <t>1+1+1+1+1+15+3+9|1+1+1+1+1+9+3+19|1+1+1+1+1+4+9|54</t>
  </si>
  <si>
    <t>解救地狱族的魅魔一族</t>
  </si>
  <si>
    <t>1005+12</t>
  </si>
  <si>
    <t>5204+39</t>
  </si>
  <si>
    <t>|3:184:1</t>
  </si>
  <si>
    <t>第45关</t>
  </si>
  <si>
    <t>5003|5005#3004|5007#5006|3001#5003|3004</t>
  </si>
  <si>
    <t>45</t>
  </si>
  <si>
    <t>-584.8:327</t>
  </si>
  <si>
    <t>1+1+1+1+1+15+3+9|1+1+1+1+1+9+3+8|1+1+1+1+1+4+19|52</t>
  </si>
  <si>
    <t>攻击地狱族的主城</t>
  </si>
  <si>
    <t>9001+27</t>
  </si>
  <si>
    <t>5205+32.4</t>
  </si>
  <si>
    <t>第46关</t>
  </si>
  <si>
    <t>5005|1004#1006|5003#1002|1007#1001|1004</t>
  </si>
  <si>
    <t>46</t>
  </si>
  <si>
    <t>-584.8:328</t>
  </si>
  <si>
    <t>解救地狱族首领</t>
  </si>
  <si>
    <t>5206+25.8</t>
  </si>
  <si>
    <t>|3:186:1</t>
  </si>
  <si>
    <t>第47关</t>
  </si>
  <si>
    <t>47</t>
  </si>
  <si>
    <t>-584.8:329</t>
  </si>
  <si>
    <t>第48关</t>
  </si>
  <si>
    <t>48</t>
  </si>
  <si>
    <t>-584.8:330</t>
  </si>
  <si>
    <t>第49关</t>
  </si>
  <si>
    <t>img_shenyuan7</t>
  </si>
  <si>
    <t>1003|2006#4004|1005#2002|4001#2007|4001</t>
  </si>
  <si>
    <t>49</t>
  </si>
  <si>
    <t>-584.8:331</t>
  </si>
  <si>
    <t>1+1+1+1+1+1+15+3+9|1+1+1+1+1+1+9+3+8|1+1+1+1+1+1+4+9|51</t>
  </si>
  <si>
    <t>700:12:20|100:11:2|50:1:1|7:4:1</t>
  </si>
  <si>
    <t>龙族要求我们接受试炼</t>
  </si>
  <si>
    <t>林德公爵通知前往龙岛</t>
  </si>
  <si>
    <t>1107+24.8</t>
  </si>
  <si>
    <t>第50关</t>
  </si>
  <si>
    <t>60</t>
  </si>
  <si>
    <t>2003|1001#2007|2006#1003|2006#1002|2004</t>
  </si>
  <si>
    <t>50</t>
  </si>
  <si>
    <t>-584.8:332</t>
  </si>
  <si>
    <t>1+1+1+1+1+1+15+3+9|1+1+1+1+1+1+20+3+9|1+1+1+1+1+1+9+4|51</t>
  </si>
  <si>
    <t>前往龙岛路上遇到的事情</t>
  </si>
  <si>
    <t>2107+25.7</t>
  </si>
  <si>
    <t>|3:188:1</t>
  </si>
  <si>
    <t xml:space="preserve">1:20001:50 </t>
  </si>
  <si>
    <t>#</t>
  </si>
  <si>
    <t>系数</t>
  </si>
  <si>
    <t>波数</t>
  </si>
  <si>
    <t>关卡</t>
  </si>
  <si>
    <t>关卡难度id</t>
  </si>
  <si>
    <t>生命</t>
  </si>
  <si>
    <t>双攻</t>
  </si>
  <si>
    <t>双防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</si>
  <si>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</si>
  <si>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</si>
  <si>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</si>
  <si>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</si>
  <si>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</si>
  <si>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</si>
  <si>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</si>
  <si>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</si>
  <si>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</si>
  <si>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</si>
  <si>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</si>
  <si>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</si>
  <si>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</si>
  <si>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</si>
  <si>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</si>
  <si>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</si>
  <si>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3-1</t>
  </si>
  <si>
    <t>3-2</t>
  </si>
  <si>
    <t>3-3</t>
  </si>
  <si>
    <t>3-4</t>
  </si>
  <si>
    <t>3-5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</si>
  <si>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</si>
  <si>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</si>
  <si>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</si>
  <si>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</si>
  <si>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</si>
  <si>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</si>
  <si>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</si>
  <si>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</si>
  <si>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</si>
  <si>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</si>
  <si>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</si>
  <si>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5-1</t>
  </si>
  <si>
    <t>5-2</t>
  </si>
  <si>
    <t>5-3</t>
  </si>
  <si>
    <t>5-4</t>
  </si>
  <si>
    <t>5-5</t>
  </si>
  <si>
    <t>5-6</t>
  </si>
  <si>
    <t>5-7</t>
  </si>
  <si>
    <t>5-8</t>
  </si>
  <si>
    <t>6-1</t>
  </si>
  <si>
    <t>6-2</t>
  </si>
  <si>
    <t>6-3</t>
  </si>
  <si>
    <t>6-4</t>
  </si>
  <si>
    <t>6-5</t>
  </si>
  <si>
    <t>6-6</t>
  </si>
  <si>
    <t>6-7</t>
  </si>
  <si>
    <t>6-8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</si>
  <si>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</si>
  <si>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</si>
  <si>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</si>
  <si>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</si>
  <si>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</si>
  <si>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</si>
  <si>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</si>
  <si>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</si>
  <si>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</si>
  <si>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</si>
  <si>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</si>
  <si>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</si>
  <si>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</si>
  <si>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</si>
  <si>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</si>
  <si>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</si>
  <si>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</si>
  <si>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</si>
  <si>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10-1</t>
  </si>
  <si>
    <t>10-2</t>
  </si>
  <si>
    <t>10-3</t>
  </si>
  <si>
    <t>10-4</t>
  </si>
  <si>
    <t>10-5</t>
  </si>
  <si>
    <t>10-6</t>
  </si>
  <si>
    <t>11-1</t>
  </si>
  <si>
    <t>11-2</t>
  </si>
  <si>
    <t>11-3</t>
  </si>
  <si>
    <t>11-4</t>
  </si>
  <si>
    <t>11-5</t>
  </si>
  <si>
    <t>11-6</t>
  </si>
  <si>
    <t>12-1</t>
  </si>
  <si>
    <t>12-2</t>
  </si>
  <si>
    <t>12-3</t>
  </si>
  <si>
    <t>12-4</t>
  </si>
  <si>
    <t>12-5</t>
  </si>
  <si>
    <t>12-6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</si>
  <si>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</si>
  <si>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</si>
  <si>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</si>
  <si>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</si>
  <si>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</si>
  <si>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</si>
  <si>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</si>
  <si>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</si>
  <si>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</si>
  <si>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</si>
  <si>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</si>
  <si>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</si>
  <si>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章节</t>
  </si>
  <si>
    <t>:</t>
  </si>
  <si>
    <t>,</t>
  </si>
  <si>
    <t>|</t>
  </si>
  <si>
    <t>3003|3006#3004|3006#3005|3004#3002|3007</t>
  </si>
  <si>
    <t>4003|5006#1004|4003#5005|1002#5001|1005</t>
  </si>
  <si>
    <t>5006|2005#1005|5001#2002|1002#2002|1001</t>
  </si>
  <si>
    <t>6007|4007#6004|6005#4001|6006#4001|6007</t>
  </si>
  <si>
    <t>4005|2003#1002|4005#2002|1006#2004|1005</t>
  </si>
  <si>
    <t>2002|6007#4004|2003#6006|4004#6004|4007</t>
  </si>
  <si>
    <t>1005|2002#3001|1002#2003|3003#2001|3004</t>
  </si>
  <si>
    <t>2004|1004#6006|2003#1003|6007#1003|6007</t>
  </si>
  <si>
    <t>4007|2006#4003|4004#2006|4007#2001|4001</t>
  </si>
  <si>
    <t>1004|4002#6006|1001#4002|6002#4002|6007</t>
  </si>
  <si>
    <t>1008|2006#4004|1001#2007|4008#2008|4007</t>
  </si>
  <si>
    <t>2006|1002#2008|2005#1006|2004#1004|2007</t>
  </si>
  <si>
    <t>3006|3006#3006|3002#3007|3003#3002|3004</t>
  </si>
  <si>
    <t>4002|5007#1004|4004#5007|1004#5003|1007</t>
  </si>
  <si>
    <t>5006|2008#1007|5004#2007|1004#2005|1006</t>
  </si>
  <si>
    <t>6002|4001#6007|6002#4006|6003#4005|6004</t>
  </si>
  <si>
    <t>4004|2008#1006|4005#2006|1008#2004|1009</t>
  </si>
  <si>
    <t>2008|6008#4002|2001#6009|4002#6006|4003</t>
  </si>
  <si>
    <t>1007|2007#3004|1009#2007|3001#2005|3008</t>
  </si>
  <si>
    <t>2008|1006#6009|2008#1005|6009#1004|6007</t>
  </si>
  <si>
    <t>4004|2003#4001|4008#2006|4008#2002|4003</t>
  </si>
  <si>
    <t>1005|4002#6008|1008#4007|6001#4003|6003</t>
  </si>
  <si>
    <t>4206|4208#4105|4201#4006|4203#4007|4204</t>
  </si>
  <si>
    <t>5206|5205#5208|6205#5207|1202#2204|2206</t>
  </si>
  <si>
    <t>2204|2203#3208|3202#6109|3001#2205|3108</t>
  </si>
  <si>
    <t>2108|1106#6109|2108#1207|6109#1104|6207</t>
  </si>
  <si>
    <t>4104|2003#4101|4008#2006|4008#2002|4003</t>
  </si>
  <si>
    <t>1205|4002#6008|1008#4007|6001#4003|6003</t>
  </si>
  <si>
    <t>2208|6208#4202|2101#6109|4102#6106|4103</t>
  </si>
  <si>
    <t>3207|3107#3104|1208#2207|3201#2105|3208</t>
  </si>
  <si>
    <t>2208|1006#6209|2008#1105|6009#1004|6007</t>
  </si>
  <si>
    <t>5107|2103#5201|4008#4206|4008#4205|4203</t>
  </si>
  <si>
    <t>1205|4202#6208|1208#4209|6209#4209|6203</t>
  </si>
  <si>
    <t>4006|2008#1006|4005#2006|1008#2006|1009</t>
  </si>
  <si>
    <t>2208|6208#4206|2106#6109|4106#6106|4106</t>
  </si>
  <si>
    <t>3207|3107#3106|1208#2207|3206#2107|3208</t>
  </si>
  <si>
    <t>2208|1006#6209|2008#1108|6009#1008|6007</t>
  </si>
  <si>
    <t>5107|2106#5207|4008#4206|4008#4209|4208</t>
  </si>
  <si>
    <t>1206|4207#6208|1208#4209|6209#4209|6208</t>
  </si>
  <si>
    <t>1207|5207#2209|6208#3209|5209#4209|1209</t>
  </si>
  <si>
    <t>2207|5207#3209|5208#4209|5209#5209|2209</t>
  </si>
  <si>
    <t>3207|6207#4209|6208#5209|6209#6209|3209</t>
  </si>
  <si>
    <t>4207|6207#5209|5208#6209|6209#6209|4209</t>
  </si>
  <si>
    <t>5207|5207#6209|5208#6209|5209#6209|5209</t>
  </si>
  <si>
    <t>6207|6207#6209|6208#6209|6209#6209|6209</t>
  </si>
  <si>
    <t>波次</t>
  </si>
  <si>
    <t>BOSSid</t>
  </si>
  <si>
    <t>个数</t>
  </si>
  <si>
    <t>3#20004#1</t>
  </si>
  <si>
    <t>步兵点</t>
  </si>
  <si>
    <t>飞兵点</t>
  </si>
  <si>
    <t>编号</t>
  </si>
  <si>
    <t>步兵</t>
  </si>
  <si>
    <t>飞兵</t>
  </si>
  <si>
    <t>第51关</t>
  </si>
  <si>
    <t>第52关</t>
  </si>
  <si>
    <t>第53关</t>
  </si>
  <si>
    <t>第54关</t>
  </si>
  <si>
    <t>第55关</t>
  </si>
  <si>
    <t>第56关</t>
  </si>
  <si>
    <t>第57关</t>
  </si>
  <si>
    <t>第58关</t>
  </si>
  <si>
    <t>第59关</t>
  </si>
  <si>
    <t>第60关</t>
  </si>
  <si>
    <t>第61关</t>
  </si>
  <si>
    <t>第62关</t>
  </si>
  <si>
    <t>第63关</t>
  </si>
  <si>
    <t>第64关</t>
  </si>
  <si>
    <t>第65关</t>
  </si>
  <si>
    <t>第66关</t>
  </si>
  <si>
    <t>第67关</t>
  </si>
  <si>
    <t>第68关</t>
  </si>
  <si>
    <t>第69关</t>
  </si>
  <si>
    <t>第70关</t>
  </si>
  <si>
    <t>第71关</t>
  </si>
  <si>
    <t>第72关</t>
  </si>
  <si>
    <t>第73关</t>
  </si>
  <si>
    <t>第74关</t>
  </si>
  <si>
    <t>第75关</t>
  </si>
  <si>
    <t>第76关</t>
  </si>
  <si>
    <t>第77关</t>
  </si>
  <si>
    <t>第78关</t>
  </si>
  <si>
    <t>第79关</t>
  </si>
  <si>
    <t>第80关</t>
  </si>
  <si>
    <t>第81关</t>
  </si>
  <si>
    <t>第82关</t>
  </si>
  <si>
    <t>第83关</t>
  </si>
  <si>
    <t>第84关</t>
  </si>
  <si>
    <t>第85关</t>
  </si>
  <si>
    <t>第86关</t>
  </si>
  <si>
    <t>第87关</t>
  </si>
  <si>
    <t>第88关</t>
  </si>
  <si>
    <t>第89关</t>
  </si>
  <si>
    <t>第</t>
  </si>
  <si>
    <t>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</si>
</sst>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b/>
      <sz val="9"/>
      <color theme="5" tint="-0.25"/>
      <name val="微软雅黑"/>
      <charset val="134"/>
    </font>
    <font>
      <sz val="9"/>
      <color theme="3" tint="0.4"/>
      <name val="微软雅黑"/>
      <charset val="134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3" tint="0.4"/>
      <name val="微软雅黑"/>
      <charset val="134"/>
    </font>
    <font>
      <b/>
      <sz val="28"/>
      <color theme="1"/>
      <name val="宋体"/>
      <charset val="134"/>
      <scheme val="minor"/>
    </font>
    <font>
      <b/>
      <sz val="9"/>
      <color rgb="FF00B050"/>
      <name val="宋体"/>
      <charset val="134"/>
      <scheme val="minor"/>
    </font>
    <font>
      <b/>
      <sz val="9"/>
      <color rgb="FF00B050"/>
      <name val="微软雅黑"/>
      <charset val="134"/>
    </font>
    <font>
      <sz val="9"/>
      <color rgb="FF00B050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19" applyNumberFormat="0" applyAlignment="0" applyProtection="0">
      <alignment vertical="center"/>
    </xf>
    <xf numFmtId="0" fontId="35" fillId="14" borderId="20" applyNumberFormat="0" applyAlignment="0" applyProtection="0">
      <alignment vertical="center"/>
    </xf>
    <xf numFmtId="0" fontId="36" fillId="14" borderId="19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6" fillId="4" borderId="0" xfId="0" applyFont="1" applyFill="1">
      <alignment vertical="center"/>
    </xf>
    <xf numFmtId="0" fontId="0" fillId="7" borderId="12" xfId="0" applyFill="1" applyBorder="1">
      <alignment vertical="center"/>
    </xf>
    <xf numFmtId="0" fontId="0" fillId="7" borderId="0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13" xfId="0" applyFill="1" applyBorder="1">
      <alignment vertical="center"/>
    </xf>
    <xf numFmtId="0" fontId="0" fillId="8" borderId="14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4" xfId="0" applyFill="1" applyBorder="1" applyAlignment="1">
      <alignment horizontal="center" vertical="center"/>
    </xf>
    <xf numFmtId="0" fontId="0" fillId="9" borderId="0" xfId="0" applyFill="1">
      <alignment vertical="center"/>
    </xf>
    <xf numFmtId="0" fontId="0" fillId="0" borderId="0" xfId="0" applyFill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49" fontId="0" fillId="10" borderId="0" xfId="0" applyNumberFormat="1" applyFill="1">
      <alignment vertical="center"/>
    </xf>
    <xf numFmtId="49" fontId="0" fillId="1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4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/>
    </xf>
    <xf numFmtId="49" fontId="17" fillId="10" borderId="14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/>
    </xf>
    <xf numFmtId="0" fontId="0" fillId="10" borderId="14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0" fontId="20" fillId="10" borderId="14" xfId="0" applyFont="1" applyFill="1" applyBorder="1" applyAlignment="1">
      <alignment horizontal="center" vertical="center"/>
    </xf>
    <xf numFmtId="0" fontId="0" fillId="10" borderId="14" xfId="0" applyNumberFormat="1" applyFont="1" applyFill="1" applyBorder="1" applyAlignment="1">
      <alignment horizontal="center" vertical="center"/>
    </xf>
    <xf numFmtId="3" fontId="19" fillId="10" borderId="14" xfId="0" applyNumberFormat="1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NumberFormat="1" applyFill="1">
      <alignment vertical="center"/>
    </xf>
    <xf numFmtId="49" fontId="0" fillId="4" borderId="14" xfId="0" applyNumberFormat="1" applyFill="1" applyBorder="1" applyAlignment="1">
      <alignment horizontal="center" vertical="center"/>
    </xf>
    <xf numFmtId="49" fontId="20" fillId="10" borderId="14" xfId="0" applyNumberFormat="1" applyFont="1" applyFill="1" applyBorder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5" borderId="0" xfId="0" applyNumberFormat="1" applyFill="1">
      <alignment vertical="center"/>
    </xf>
    <xf numFmtId="0" fontId="0" fillId="4" borderId="0" xfId="0" applyNumberFormat="1" applyFill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6" borderId="0" xfId="0" applyNumberFormat="1" applyFill="1">
      <alignment vertical="center"/>
    </xf>
    <xf numFmtId="0" fontId="0" fillId="10" borderId="14" xfId="0" applyNumberForma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/>
    </xf>
    <xf numFmtId="3" fontId="22" fillId="10" borderId="14" xfId="0" applyNumberFormat="1" applyFont="1" applyFill="1" applyBorder="1" applyAlignment="1">
      <alignment horizontal="center" vertical="center" wrapText="1"/>
    </xf>
    <xf numFmtId="49" fontId="16" fillId="10" borderId="14" xfId="0" applyNumberFormat="1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 wrapText="1"/>
    </xf>
    <xf numFmtId="0" fontId="23" fillId="10" borderId="15" xfId="0" applyFont="1" applyFill="1" applyBorder="1" applyAlignment="1">
      <alignment horizontal="center" vertical="center"/>
    </xf>
    <xf numFmtId="0" fontId="16" fillId="4" borderId="0" xfId="0" applyNumberFormat="1" applyFont="1" applyFill="1" applyAlignment="1">
      <alignment horizontal="center" vertical="center"/>
    </xf>
    <xf numFmtId="0" fontId="16" fillId="4" borderId="0" xfId="0" applyNumberFormat="1" applyFont="1" applyFill="1">
      <alignment vertical="center"/>
    </xf>
    <xf numFmtId="0" fontId="0" fillId="7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19" fillId="7" borderId="12" xfId="0" applyNumberFormat="1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/>
    </xf>
    <xf numFmtId="0" fontId="0" fillId="10" borderId="12" xfId="0" applyFont="1" applyFill="1" applyBorder="1" applyAlignment="1">
      <alignment horizontal="center" vertical="center"/>
    </xf>
    <xf numFmtId="0" fontId="0" fillId="10" borderId="12" xfId="0" applyNumberFormat="1" applyFont="1" applyFill="1" applyBorder="1" applyAlignment="1">
      <alignment horizontal="center" vertical="center"/>
    </xf>
    <xf numFmtId="49" fontId="0" fillId="10" borderId="12" xfId="0" applyNumberFormat="1" applyFill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 wrapText="1"/>
    </xf>
    <xf numFmtId="3" fontId="19" fillId="10" borderId="0" xfId="0" applyNumberFormat="1" applyFont="1" applyFill="1" applyBorder="1" applyAlignment="1">
      <alignment horizontal="center" vertical="center" wrapText="1"/>
    </xf>
    <xf numFmtId="3" fontId="19" fillId="7" borderId="12" xfId="0" applyNumberFormat="1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/>
    </xf>
    <xf numFmtId="0" fontId="0" fillId="7" borderId="12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19" fillId="7" borderId="0" xfId="0" applyNumberFormat="1" applyFont="1" applyFill="1" applyBorder="1" applyAlignment="1">
      <alignment horizontal="center" vertical="center" wrapText="1"/>
    </xf>
    <xf numFmtId="0" fontId="0" fillId="10" borderId="0" xfId="0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0" fontId="0" fillId="10" borderId="0" xfId="0" applyNumberFormat="1" applyFont="1" applyFill="1" applyBorder="1" applyAlignment="1">
      <alignment horizontal="center" vertical="center"/>
    </xf>
    <xf numFmtId="49" fontId="0" fillId="10" borderId="0" xfId="0" applyNumberFormat="1" applyFill="1" applyBorder="1" applyAlignment="1">
      <alignment horizontal="center" vertical="center"/>
    </xf>
    <xf numFmtId="3" fontId="19" fillId="7" borderId="0" xfId="0" applyNumberFormat="1" applyFont="1" applyFill="1" applyBorder="1" applyAlignment="1">
      <alignment horizontal="center" vertical="center" wrapText="1"/>
    </xf>
    <xf numFmtId="0" fontId="21" fillId="7" borderId="0" xfId="0" applyFont="1" applyFill="1" applyBorder="1" applyAlignment="1">
      <alignment horizontal="center" vertical="center"/>
    </xf>
    <xf numFmtId="0" fontId="0" fillId="7" borderId="0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49" fontId="19" fillId="4" borderId="12" xfId="0" applyNumberFormat="1" applyFont="1" applyFill="1" applyBorder="1" applyAlignment="1">
      <alignment horizontal="center" vertical="center" wrapText="1"/>
    </xf>
    <xf numFmtId="0" fontId="0" fillId="4" borderId="12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49" fontId="19" fillId="4" borderId="0" xfId="0" applyNumberFormat="1" applyFont="1" applyFill="1" applyBorder="1" applyAlignment="1">
      <alignment horizontal="center" vertical="center" wrapText="1"/>
    </xf>
    <xf numFmtId="0" fontId="0" fillId="4" borderId="0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49" fontId="19" fillId="4" borderId="13" xfId="0" applyNumberFormat="1" applyFont="1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/>
    </xf>
    <xf numFmtId="0" fontId="0" fillId="10" borderId="13" xfId="0" applyFont="1" applyFill="1" applyBorder="1" applyAlignment="1">
      <alignment horizontal="center" vertical="center"/>
    </xf>
    <xf numFmtId="0" fontId="0" fillId="10" borderId="13" xfId="0" applyNumberFormat="1" applyFont="1" applyFill="1" applyBorder="1" applyAlignment="1">
      <alignment horizontal="center" vertical="center"/>
    </xf>
    <xf numFmtId="3" fontId="19" fillId="10" borderId="13" xfId="0" applyNumberFormat="1" applyFont="1" applyFill="1" applyBorder="1" applyAlignment="1">
      <alignment horizontal="center" vertical="center" wrapText="1"/>
    </xf>
    <xf numFmtId="0" fontId="0" fillId="4" borderId="13" xfId="0" applyNumberFormat="1" applyFill="1" applyBorder="1" applyAlignment="1">
      <alignment horizontal="center" vertical="center"/>
    </xf>
    <xf numFmtId="0" fontId="19" fillId="4" borderId="14" xfId="0" applyNumberFormat="1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49" fontId="0" fillId="6" borderId="14" xfId="0" applyNumberForma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49" fontId="0" fillId="9" borderId="14" xfId="0" applyNumberForma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 vertical="center"/>
    </xf>
    <xf numFmtId="0" fontId="24" fillId="4" borderId="0" xfId="0" applyFont="1" applyFill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0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8" borderId="14" xfId="0" applyFont="1" applyFill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NGMEI\AppData\Local\Temp\BoxRew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oxReward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18"/>
  <sheetViews>
    <sheetView tabSelected="1" topLeftCell="S4" workbookViewId="0">
      <selection activeCell="X4" sqref="X4:X53"/>
    </sheetView>
  </sheetViews>
  <sheetFormatPr defaultColWidth="9" defaultRowHeight="13.5"/>
  <cols>
    <col min="1" max="1" width="6.5" style="153" customWidth="1"/>
    <col min="2" max="2" width="6.5" style="53" customWidth="1"/>
    <col min="3" max="3" width="17.75" style="66" customWidth="1"/>
    <col min="4" max="4" width="17.75" style="53" customWidth="1"/>
    <col min="5" max="5" width="13.375" style="53" customWidth="1"/>
    <col min="6" max="6" width="17.625" style="66" customWidth="1"/>
    <col min="7" max="13" width="15.75" style="66" customWidth="1"/>
    <col min="14" max="19" width="71.125" style="53" customWidth="1"/>
    <col min="20" max="20" width="18.75" style="66" customWidth="1"/>
    <col min="21" max="21" width="10.25" style="53" customWidth="1"/>
    <col min="22" max="22" width="21.375" style="53" customWidth="1"/>
    <col min="23" max="24" width="18.75" style="66" customWidth="1"/>
    <col min="25" max="26" width="17.75" style="67" customWidth="1"/>
    <col min="27" max="29" width="13.375" style="67" customWidth="1"/>
    <col min="30" max="30" width="9.875" style="67" customWidth="1"/>
    <col min="31" max="31" width="12" style="67" customWidth="1"/>
    <col min="32" max="33" width="12.875" style="67" customWidth="1"/>
    <col min="34" max="34" width="13.625" style="67" customWidth="1"/>
    <col min="35" max="35" width="40.375" style="68" customWidth="1"/>
    <col min="36" max="36" width="66.5" style="67" customWidth="1"/>
    <col min="37" max="37" width="70.125" style="67" customWidth="1"/>
    <col min="38" max="38" width="33.625" style="67" customWidth="1"/>
    <col min="39" max="39" width="13.75" style="67" customWidth="1"/>
    <col min="40" max="40" width="56" style="67" customWidth="1"/>
    <col min="41" max="41" width="21.625" style="67" customWidth="1"/>
    <col min="42" max="42" width="34.625" style="67" customWidth="1"/>
    <col min="43" max="43" width="10.5" style="67" customWidth="1"/>
    <col min="44" max="44" width="10.875" style="67" customWidth="1"/>
    <col min="45" max="46" width="18.5" style="67" customWidth="1"/>
    <col min="47" max="47" width="28.125" style="69" customWidth="1"/>
    <col min="48" max="48" width="57.25" style="67" customWidth="1"/>
    <col min="49" max="49" width="47.25" style="67" customWidth="1"/>
    <col min="50" max="50" width="34.125" style="67" customWidth="1"/>
    <col min="51" max="51" width="72" style="67" customWidth="1"/>
    <col min="52" max="52" width="51.875" style="67" customWidth="1"/>
    <col min="53" max="53" width="88.75" style="67" customWidth="1"/>
    <col min="54" max="54" width="12.625" style="67"/>
    <col min="55" max="55" width="23.375" style="67" customWidth="1"/>
    <col min="56" max="56" width="12.625" style="67"/>
    <col min="57" max="57" width="17.625" style="67" customWidth="1"/>
    <col min="58" max="58" width="12.5" style="67" customWidth="1"/>
    <col min="59" max="59" width="14.625" style="67" customWidth="1"/>
    <col min="60" max="60" width="13.5" style="67" customWidth="1"/>
    <col min="61" max="61" width="20" style="70" customWidth="1"/>
    <col min="62" max="62" width="24.375" style="67" customWidth="1"/>
    <col min="63" max="64" width="9" style="53"/>
    <col min="65" max="65" width="12.625" style="53"/>
    <col min="66" max="16384" width="9" style="53"/>
  </cols>
  <sheetData>
    <row r="1" spans="1:70">
      <c r="A1" s="154" t="s">
        <v>0</v>
      </c>
      <c r="B1" s="64" t="s">
        <v>1</v>
      </c>
      <c r="C1" s="71" t="s">
        <v>2</v>
      </c>
      <c r="D1" s="64" t="s">
        <v>3</v>
      </c>
      <c r="E1" s="64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73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5" t="s">
        <v>24</v>
      </c>
      <c r="Z1" s="75" t="s">
        <v>25</v>
      </c>
      <c r="AA1" s="75" t="s">
        <v>26</v>
      </c>
      <c r="AB1" s="76" t="s">
        <v>27</v>
      </c>
      <c r="AC1" s="76" t="s">
        <v>28</v>
      </c>
      <c r="AD1" s="76" t="s">
        <v>29</v>
      </c>
      <c r="AE1" s="76" t="s">
        <v>30</v>
      </c>
      <c r="AF1" s="76" t="s">
        <v>31</v>
      </c>
      <c r="AG1" s="76" t="s">
        <v>32</v>
      </c>
      <c r="AH1" s="76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5" t="s">
        <v>38</v>
      </c>
      <c r="AN1" s="77" t="s">
        <v>39</v>
      </c>
      <c r="AO1" s="75" t="s">
        <v>40</v>
      </c>
      <c r="AP1" s="77" t="s">
        <v>41</v>
      </c>
      <c r="AQ1" s="77" t="s">
        <v>42</v>
      </c>
      <c r="AR1" s="75" t="s">
        <v>43</v>
      </c>
      <c r="AS1" s="77" t="s">
        <v>44</v>
      </c>
      <c r="AT1" s="77" t="s">
        <v>45</v>
      </c>
      <c r="AU1" s="78" t="s">
        <v>46</v>
      </c>
      <c r="AV1" s="75" t="s">
        <v>47</v>
      </c>
      <c r="AW1" s="75" t="s">
        <v>48</v>
      </c>
      <c r="AX1" s="75" t="s">
        <v>49</v>
      </c>
      <c r="AY1" s="75" t="s">
        <v>50</v>
      </c>
      <c r="AZ1" s="75" t="s">
        <v>51</v>
      </c>
      <c r="BA1" s="75" t="s">
        <v>52</v>
      </c>
      <c r="BB1" s="75" t="s">
        <v>53</v>
      </c>
      <c r="BC1" s="75" t="s">
        <v>54</v>
      </c>
      <c r="BD1" s="75" t="s">
        <v>53</v>
      </c>
      <c r="BE1" s="75" t="s">
        <v>55</v>
      </c>
      <c r="BF1" s="75" t="s">
        <v>56</v>
      </c>
      <c r="BG1" s="75" t="s">
        <v>57</v>
      </c>
      <c r="BH1" s="75" t="s">
        <v>58</v>
      </c>
      <c r="BI1" s="70" t="s">
        <v>59</v>
      </c>
      <c r="BJ1" s="75" t="s">
        <v>60</v>
      </c>
    </row>
    <row r="2" spans="1:70">
      <c r="A2" s="154" t="s">
        <v>61</v>
      </c>
      <c r="B2" s="64" t="s">
        <v>61</v>
      </c>
      <c r="C2" s="71" t="s">
        <v>62</v>
      </c>
      <c r="D2" s="64" t="s">
        <v>62</v>
      </c>
      <c r="E2" s="64" t="s">
        <v>61</v>
      </c>
      <c r="F2" s="72" t="s">
        <v>61</v>
      </c>
      <c r="G2" s="72" t="s">
        <v>61</v>
      </c>
      <c r="H2" s="72" t="s">
        <v>61</v>
      </c>
      <c r="I2" s="72" t="s">
        <v>61</v>
      </c>
      <c r="J2" s="72" t="s">
        <v>61</v>
      </c>
      <c r="K2" s="72" t="s">
        <v>61</v>
      </c>
      <c r="L2" s="72" t="s">
        <v>61</v>
      </c>
      <c r="M2" s="72" t="s">
        <v>61</v>
      </c>
      <c r="N2" s="64" t="s">
        <v>62</v>
      </c>
      <c r="O2" s="64" t="s">
        <v>62</v>
      </c>
      <c r="P2" s="64" t="s">
        <v>62</v>
      </c>
      <c r="Q2" s="64" t="s">
        <v>62</v>
      </c>
      <c r="R2" s="64" t="s">
        <v>62</v>
      </c>
      <c r="S2" s="64" t="s">
        <v>62</v>
      </c>
      <c r="T2" s="73" t="s">
        <v>62</v>
      </c>
      <c r="U2" s="74" t="s">
        <v>61</v>
      </c>
      <c r="V2" s="73" t="s">
        <v>62</v>
      </c>
      <c r="W2" s="73" t="s">
        <v>62</v>
      </c>
      <c r="X2" s="73" t="s">
        <v>62</v>
      </c>
      <c r="Y2" s="75" t="s">
        <v>62</v>
      </c>
      <c r="Z2" s="75" t="s">
        <v>61</v>
      </c>
      <c r="AA2" s="75" t="s">
        <v>61</v>
      </c>
      <c r="AB2" s="76" t="s">
        <v>61</v>
      </c>
      <c r="AC2" s="76" t="s">
        <v>61</v>
      </c>
      <c r="AD2" s="76" t="s">
        <v>61</v>
      </c>
      <c r="AE2" s="76" t="s">
        <v>61</v>
      </c>
      <c r="AF2" s="76" t="s">
        <v>61</v>
      </c>
      <c r="AG2" s="76" t="s">
        <v>61</v>
      </c>
      <c r="AH2" s="76" t="s">
        <v>61</v>
      </c>
      <c r="AI2" s="77" t="s">
        <v>62</v>
      </c>
      <c r="AJ2" s="77" t="s">
        <v>62</v>
      </c>
      <c r="AK2" s="77" t="s">
        <v>62</v>
      </c>
      <c r="AL2" s="77" t="s">
        <v>62</v>
      </c>
      <c r="AM2" s="75" t="s">
        <v>62</v>
      </c>
      <c r="AN2" s="77" t="s">
        <v>62</v>
      </c>
      <c r="AO2" s="75" t="s">
        <v>62</v>
      </c>
      <c r="AP2" s="77" t="s">
        <v>62</v>
      </c>
      <c r="AQ2" s="77" t="s">
        <v>61</v>
      </c>
      <c r="AR2" s="75" t="s">
        <v>62</v>
      </c>
      <c r="AS2" s="77" t="s">
        <v>62</v>
      </c>
      <c r="AT2" s="77" t="s">
        <v>62</v>
      </c>
      <c r="AU2" s="78" t="s">
        <v>62</v>
      </c>
      <c r="AV2" s="75" t="s">
        <v>62</v>
      </c>
      <c r="AW2" s="75" t="s">
        <v>62</v>
      </c>
      <c r="AX2" s="75" t="s">
        <v>61</v>
      </c>
      <c r="AY2" s="75" t="s">
        <v>62</v>
      </c>
      <c r="AZ2" s="75" t="s">
        <v>62</v>
      </c>
      <c r="BA2" s="75" t="s">
        <v>62</v>
      </c>
      <c r="BB2" s="75" t="s">
        <v>61</v>
      </c>
      <c r="BC2" s="75" t="s">
        <v>63</v>
      </c>
      <c r="BD2" s="75" t="s">
        <v>61</v>
      </c>
      <c r="BE2" s="75" t="s">
        <v>62</v>
      </c>
      <c r="BF2" s="75" t="s">
        <v>62</v>
      </c>
      <c r="BG2" s="75" t="s">
        <v>62</v>
      </c>
      <c r="BH2" s="75" t="s">
        <v>61</v>
      </c>
      <c r="BI2" s="70" t="s">
        <v>62</v>
      </c>
      <c r="BJ2" s="75" t="s">
        <v>62</v>
      </c>
    </row>
    <row r="3" ht="121.5" spans="1:70">
      <c r="A3" s="154" t="s">
        <v>64</v>
      </c>
      <c r="B3" s="79" t="s">
        <v>65</v>
      </c>
      <c r="C3" s="71" t="s">
        <v>66</v>
      </c>
      <c r="D3" s="64" t="s">
        <v>67</v>
      </c>
      <c r="E3" s="64" t="s">
        <v>68</v>
      </c>
      <c r="F3" s="72" t="s">
        <v>69</v>
      </c>
      <c r="G3" s="80" t="s">
        <v>70</v>
      </c>
      <c r="H3" s="80" t="s">
        <v>71</v>
      </c>
      <c r="I3" s="80" t="s">
        <v>72</v>
      </c>
      <c r="J3" s="80" t="s">
        <v>73</v>
      </c>
      <c r="K3" s="80" t="s">
        <v>74</v>
      </c>
      <c r="L3" s="80" t="s">
        <v>75</v>
      </c>
      <c r="M3" s="80" t="s">
        <v>76</v>
      </c>
      <c r="N3" s="64" t="s">
        <v>77</v>
      </c>
      <c r="O3" s="64" t="s">
        <v>78</v>
      </c>
      <c r="P3" s="64" t="s">
        <v>79</v>
      </c>
      <c r="Q3" s="64" t="s">
        <v>80</v>
      </c>
      <c r="R3" s="64" t="s">
        <v>81</v>
      </c>
      <c r="S3" s="64" t="s">
        <v>82</v>
      </c>
      <c r="T3" s="73" t="s">
        <v>83</v>
      </c>
      <c r="U3" s="74" t="s">
        <v>84</v>
      </c>
      <c r="V3" s="155" t="s">
        <v>85</v>
      </c>
      <c r="W3" s="155" t="s">
        <v>86</v>
      </c>
      <c r="X3" s="155" t="s">
        <v>87</v>
      </c>
      <c r="Y3" s="75" t="s">
        <v>88</v>
      </c>
      <c r="Z3" s="75" t="s">
        <v>89</v>
      </c>
      <c r="AA3" s="75" t="s">
        <v>90</v>
      </c>
      <c r="AB3" s="76" t="s">
        <v>91</v>
      </c>
      <c r="AC3" s="76" t="s">
        <v>92</v>
      </c>
      <c r="AD3" s="76" t="s">
        <v>93</v>
      </c>
      <c r="AE3" s="76" t="s">
        <v>94</v>
      </c>
      <c r="AF3" s="81" t="s">
        <v>95</v>
      </c>
      <c r="AG3" s="81" t="s">
        <v>96</v>
      </c>
      <c r="AH3" s="76" t="s">
        <v>97</v>
      </c>
      <c r="AI3" s="77" t="s">
        <v>98</v>
      </c>
      <c r="AJ3" s="77" t="s">
        <v>99</v>
      </c>
      <c r="AK3" s="77" t="s">
        <v>100</v>
      </c>
      <c r="AL3" s="77" t="s">
        <v>101</v>
      </c>
      <c r="AM3" s="75" t="s">
        <v>102</v>
      </c>
      <c r="AN3" s="77" t="s">
        <v>103</v>
      </c>
      <c r="AO3" s="75" t="s">
        <v>104</v>
      </c>
      <c r="AP3" s="77" t="s">
        <v>105</v>
      </c>
      <c r="AQ3" s="77" t="s">
        <v>106</v>
      </c>
      <c r="AR3" s="75" t="s">
        <v>107</v>
      </c>
      <c r="AS3" s="77" t="s">
        <v>108</v>
      </c>
      <c r="AT3" s="77" t="s">
        <v>109</v>
      </c>
      <c r="AU3" s="78" t="s">
        <v>110</v>
      </c>
      <c r="AV3" s="75" t="s">
        <v>111</v>
      </c>
      <c r="AW3" s="75" t="s">
        <v>112</v>
      </c>
      <c r="AX3" s="75" t="s">
        <v>113</v>
      </c>
      <c r="AY3" s="75" t="s">
        <v>114</v>
      </c>
      <c r="AZ3" s="75" t="s">
        <v>115</v>
      </c>
      <c r="BA3" s="75" t="s">
        <v>116</v>
      </c>
      <c r="BB3" s="75" t="s">
        <v>117</v>
      </c>
      <c r="BC3" s="75" t="s">
        <v>118</v>
      </c>
      <c r="BD3" s="75" t="s">
        <v>117</v>
      </c>
      <c r="BE3" s="75" t="s">
        <v>119</v>
      </c>
      <c r="BF3" s="75" t="s">
        <v>120</v>
      </c>
      <c r="BG3" s="75" t="s">
        <v>121</v>
      </c>
      <c r="BH3" s="75" t="s">
        <v>122</v>
      </c>
      <c r="BI3" s="70" t="s">
        <v>123</v>
      </c>
      <c r="BJ3" s="75" t="s">
        <v>115</v>
      </c>
      <c r="BL3" s="53" t="s">
        <v>124</v>
      </c>
      <c r="BM3" s="53" t="s">
        <v>125</v>
      </c>
      <c r="BN3" s="53" t="s">
        <v>126</v>
      </c>
      <c r="BO3" s="53" t="s">
        <v>127</v>
      </c>
      <c r="BP3" s="53" t="s">
        <v>128</v>
      </c>
    </row>
    <row r="4" s="53" customFormat="1" ht="15" customHeight="1" spans="1:70">
      <c r="A4" s="156">
        <v>11</v>
      </c>
      <c r="B4" s="64">
        <v>0</v>
      </c>
      <c r="C4" s="71" t="s">
        <v>129</v>
      </c>
      <c r="D4" s="64" t="s">
        <v>130</v>
      </c>
      <c r="E4" s="64">
        <f>A5</f>
        <v>12</v>
      </c>
      <c r="F4" s="157">
        <v>1</v>
      </c>
      <c r="G4" s="71">
        <f>F4+20</f>
        <v>21</v>
      </c>
      <c r="H4" s="71">
        <v>18</v>
      </c>
      <c r="I4" s="71">
        <v>18</v>
      </c>
      <c r="J4" s="71">
        <v>18</v>
      </c>
      <c r="K4" s="71">
        <v>100</v>
      </c>
      <c r="L4" s="71">
        <v>200</v>
      </c>
      <c r="M4" s="71">
        <v>300</v>
      </c>
      <c r="N4" s="79" t="s">
        <v>131</v>
      </c>
      <c r="O4" s="79" t="s">
        <v>132</v>
      </c>
      <c r="P4" s="79" t="s">
        <v>133</v>
      </c>
      <c r="Q4" s="79" t="s">
        <v>134</v>
      </c>
      <c r="R4" s="79" t="s">
        <v>135</v>
      </c>
      <c r="S4" s="79" t="s">
        <v>136</v>
      </c>
      <c r="T4" s="83" t="s">
        <v>137</v>
      </c>
      <c r="U4" s="64">
        <v>3</v>
      </c>
      <c r="V4" s="64" t="s">
        <v>138</v>
      </c>
      <c r="W4" s="83" t="s">
        <v>139</v>
      </c>
      <c r="X4" s="83" t="s">
        <v>140</v>
      </c>
      <c r="Y4" s="75" t="s">
        <v>141</v>
      </c>
      <c r="Z4" s="75">
        <v>1</v>
      </c>
      <c r="AA4" s="84">
        <v>0</v>
      </c>
      <c r="AB4" s="75">
        <f>F4+AA4+Z4</f>
        <v>2</v>
      </c>
      <c r="AC4" s="75">
        <f>AB4+15</f>
        <v>17</v>
      </c>
      <c r="AD4" s="75">
        <v>1000</v>
      </c>
      <c r="AE4" s="76">
        <v>15</v>
      </c>
      <c r="AF4" s="76">
        <v>15000</v>
      </c>
      <c r="AG4" s="76">
        <v>15000</v>
      </c>
      <c r="AH4" s="76">
        <f>出怪成长!C2</f>
        <v>3</v>
      </c>
      <c r="AI4" s="76" t="str">
        <f>出怪成长!D2</f>
        <v>3#20004#1</v>
      </c>
      <c r="AJ4" s="85" t="s">
        <v>142</v>
      </c>
      <c r="AK4" s="76" t="s">
        <v>143</v>
      </c>
      <c r="AL4" s="76" t="str">
        <f>出怪成长!F2</f>
        <v>2#1#0.4|3#2#0.8</v>
      </c>
      <c r="AM4" s="85" t="s">
        <v>144</v>
      </c>
      <c r="AN4" s="75">
        <v>0</v>
      </c>
      <c r="AO4" s="86">
        <v>0</v>
      </c>
      <c r="AP4" s="75">
        <v>0</v>
      </c>
      <c r="AQ4" s="75">
        <v>0</v>
      </c>
      <c r="AR4" s="70" t="s">
        <v>145</v>
      </c>
      <c r="AS4" s="75">
        <v>0</v>
      </c>
      <c r="AT4" s="75">
        <v>0</v>
      </c>
      <c r="AU4" s="70" t="s">
        <v>146</v>
      </c>
      <c r="AV4" s="75" t="s">
        <v>147</v>
      </c>
      <c r="AW4" s="86" t="s">
        <v>148</v>
      </c>
      <c r="AX4" s="70" t="s">
        <v>149</v>
      </c>
      <c r="AY4" s="75" t="s">
        <v>150</v>
      </c>
      <c r="AZ4" s="87" t="s">
        <v>151</v>
      </c>
      <c r="BA4" s="75" t="s">
        <v>152</v>
      </c>
      <c r="BB4" s="75">
        <v>0</v>
      </c>
      <c r="BC4" s="85">
        <v>0.2</v>
      </c>
      <c r="BD4" s="75">
        <v>2</v>
      </c>
      <c r="BE4" s="76">
        <v>0</v>
      </c>
      <c r="BF4" s="88" t="s">
        <v>153</v>
      </c>
      <c r="BG4" s="76">
        <v>0</v>
      </c>
      <c r="BH4" s="75">
        <v>3</v>
      </c>
      <c r="BI4" s="70" t="s">
        <v>154</v>
      </c>
      <c r="BJ4" s="70" t="s">
        <v>141</v>
      </c>
      <c r="BL4" s="53">
        <v>1</v>
      </c>
      <c r="BM4" s="89">
        <v>2101</v>
      </c>
      <c r="BN4" s="90">
        <v>2001</v>
      </c>
      <c r="BO4" s="53">
        <v>0</v>
      </c>
    </row>
    <row r="5" s="54" customFormat="1" ht="15" customHeight="1" spans="1:70">
      <c r="A5" s="156">
        <v>12</v>
      </c>
      <c r="B5" s="64">
        <v>0</v>
      </c>
      <c r="C5" s="71" t="s">
        <v>155</v>
      </c>
      <c r="D5" s="91" t="s">
        <v>156</v>
      </c>
      <c r="E5" s="91">
        <f>A6</f>
        <v>13</v>
      </c>
      <c r="F5" s="157">
        <v>2</v>
      </c>
      <c r="G5" s="71">
        <f t="shared" ref="G5:G36" si="0">F5+20</f>
        <v>22</v>
      </c>
      <c r="H5" s="71">
        <v>18</v>
      </c>
      <c r="I5" s="71">
        <v>18</v>
      </c>
      <c r="J5" s="71">
        <v>18</v>
      </c>
      <c r="K5" s="71">
        <v>150</v>
      </c>
      <c r="L5" s="71">
        <v>300</v>
      </c>
      <c r="M5" s="71">
        <v>450</v>
      </c>
      <c r="N5" s="79" t="s">
        <v>157</v>
      </c>
      <c r="O5" s="79" t="s">
        <v>158</v>
      </c>
      <c r="P5" s="79" t="s">
        <v>159</v>
      </c>
      <c r="Q5" s="79" t="s">
        <v>134</v>
      </c>
      <c r="R5" s="79" t="s">
        <v>135</v>
      </c>
      <c r="S5" s="79" t="s">
        <v>136</v>
      </c>
      <c r="T5" s="83" t="s">
        <v>137</v>
      </c>
      <c r="U5" s="64">
        <v>3</v>
      </c>
      <c r="V5" s="64" t="s">
        <v>138</v>
      </c>
      <c r="W5" s="83" t="s">
        <v>139</v>
      </c>
      <c r="X5" s="83" t="s">
        <v>140</v>
      </c>
      <c r="Y5" s="70" t="s">
        <v>141</v>
      </c>
      <c r="Z5" s="70">
        <v>1</v>
      </c>
      <c r="AA5" s="92" t="s">
        <v>160</v>
      </c>
      <c r="AB5" s="75">
        <f>F5+AA5+Z5</f>
        <v>2</v>
      </c>
      <c r="AC5" s="75">
        <f>AB5+15</f>
        <v>17</v>
      </c>
      <c r="AD5" s="75">
        <v>250</v>
      </c>
      <c r="AE5" s="76">
        <f>AE4</f>
        <v>15</v>
      </c>
      <c r="AF5" s="76">
        <f>AF4</f>
        <v>15000</v>
      </c>
      <c r="AG5" s="76">
        <v>20000</v>
      </c>
      <c r="AH5" s="76">
        <f>出怪成长!C3</f>
        <v>7</v>
      </c>
      <c r="AI5" s="76" t="str">
        <f>出怪成长!D3</f>
        <v>2#20001#1|5#20002#1|7#30001,30002#1</v>
      </c>
      <c r="AJ5" s="85" t="str">
        <f>出怪数量!Z4</f>
        <v>1:2:1|1:4:1|2:8:1|2:12:1|1:17:1|2:22:1|1:27:1</v>
      </c>
      <c r="AK5" s="76" t="str">
        <f>出怪成长!E3</f>
        <v>1:10001,10002|2:10004,10005,10006|3:10004,10005,10006</v>
      </c>
      <c r="AL5" s="76" t="str">
        <f>出怪成长!F3</f>
        <v>2#1#0.4|5#2#0.8|7#3#1</v>
      </c>
      <c r="AM5" s="85" t="str">
        <f>每波成长!G6</f>
        <v>28#7#4</v>
      </c>
      <c r="AN5" s="75" t="s">
        <v>161</v>
      </c>
      <c r="AO5" s="86">
        <v>0</v>
      </c>
      <c r="AP5" s="75" t="s">
        <v>162</v>
      </c>
      <c r="AQ5" s="75">
        <v>1</v>
      </c>
      <c r="AR5" s="70" t="s">
        <v>163</v>
      </c>
      <c r="AS5" s="75" t="s">
        <v>164</v>
      </c>
      <c r="AT5" s="75" t="s">
        <v>165</v>
      </c>
      <c r="AU5" s="70" t="s">
        <v>166</v>
      </c>
      <c r="AV5" s="75" t="s">
        <v>167</v>
      </c>
      <c r="AW5" s="86" t="s">
        <v>148</v>
      </c>
      <c r="AX5" s="70" t="s">
        <v>149</v>
      </c>
      <c r="AY5" s="75" t="s">
        <v>150</v>
      </c>
      <c r="AZ5" s="87" t="s">
        <v>151</v>
      </c>
      <c r="BA5" s="75" t="s">
        <v>168</v>
      </c>
      <c r="BB5" s="75">
        <v>0</v>
      </c>
      <c r="BC5" s="76">
        <v>0.4</v>
      </c>
      <c r="BD5" s="75">
        <v>4</v>
      </c>
      <c r="BE5" s="76" t="s">
        <v>169</v>
      </c>
      <c r="BF5" s="88" t="s">
        <v>170</v>
      </c>
      <c r="BG5" s="76">
        <v>0</v>
      </c>
      <c r="BH5" s="75">
        <v>3</v>
      </c>
      <c r="BI5" s="70" t="s">
        <v>171</v>
      </c>
      <c r="BJ5" s="70" t="s">
        <v>141</v>
      </c>
      <c r="BL5" s="54">
        <v>2</v>
      </c>
      <c r="BM5" s="93">
        <v>1101</v>
      </c>
      <c r="BN5" s="54">
        <v>1001</v>
      </c>
      <c r="BO5" s="54">
        <v>1002</v>
      </c>
      <c r="BR5" s="54" t="s">
        <v>172</v>
      </c>
    </row>
    <row r="6" s="54" customFormat="1" ht="15" customHeight="1" spans="1:70">
      <c r="A6" s="156">
        <v>13</v>
      </c>
      <c r="B6" s="64">
        <v>0</v>
      </c>
      <c r="C6" s="71" t="s">
        <v>173</v>
      </c>
      <c r="D6" s="64" t="s">
        <v>174</v>
      </c>
      <c r="E6" s="64">
        <f>A7</f>
        <v>14</v>
      </c>
      <c r="F6" s="157">
        <v>3</v>
      </c>
      <c r="G6" s="71">
        <f t="shared" si="0"/>
        <v>23</v>
      </c>
      <c r="H6" s="71">
        <v>18</v>
      </c>
      <c r="I6" s="71">
        <v>18</v>
      </c>
      <c r="J6" s="71">
        <v>18</v>
      </c>
      <c r="K6" s="71">
        <v>180</v>
      </c>
      <c r="L6" s="71">
        <v>360</v>
      </c>
      <c r="M6" s="71">
        <v>540</v>
      </c>
      <c r="N6" s="79" t="s">
        <v>175</v>
      </c>
      <c r="O6" s="79" t="s">
        <v>176</v>
      </c>
      <c r="P6" s="79" t="s">
        <v>177</v>
      </c>
      <c r="Q6" s="79" t="s">
        <v>134</v>
      </c>
      <c r="R6" s="79" t="s">
        <v>135</v>
      </c>
      <c r="S6" s="79" t="s">
        <v>136</v>
      </c>
      <c r="T6" s="83" t="s">
        <v>137</v>
      </c>
      <c r="U6" s="64">
        <v>3</v>
      </c>
      <c r="V6" s="64" t="s">
        <v>138</v>
      </c>
      <c r="W6" s="83" t="s">
        <v>139</v>
      </c>
      <c r="X6" s="83" t="s">
        <v>178</v>
      </c>
      <c r="Y6" s="70" t="s">
        <v>141</v>
      </c>
      <c r="Z6" s="70">
        <v>1</v>
      </c>
      <c r="AA6" s="92" t="s">
        <v>137</v>
      </c>
      <c r="AB6" s="75">
        <f>F6+AA6+Z6</f>
        <v>4</v>
      </c>
      <c r="AC6" s="75">
        <f>AB6+15</f>
        <v>19</v>
      </c>
      <c r="AD6" s="75">
        <v>250</v>
      </c>
      <c r="AE6" s="76">
        <f t="shared" ref="AE6:AE11" si="1">AE5</f>
        <v>15</v>
      </c>
      <c r="AF6" s="76">
        <f t="shared" ref="AF6:AF53" si="2">AF5</f>
        <v>15000</v>
      </c>
      <c r="AG6" s="76">
        <v>28000</v>
      </c>
      <c r="AH6" s="76">
        <f>出怪成长!C4</f>
        <v>8</v>
      </c>
      <c r="AI6" s="76" t="str">
        <f>出怪成长!D4</f>
        <v>3#20003#1|6#20004#1|8#30001,30002#1</v>
      </c>
      <c r="AJ6" s="85" t="str">
        <f>出怪数量!Z5</f>
        <v>1:2:1|1:4:1|2:8:1|2:12:1|1:17:1|2:22:1|1:27:1|2:32:1</v>
      </c>
      <c r="AK6" s="76" t="str">
        <f>出怪成长!E4</f>
        <v>1:10004,10005|2:10004,10005,10006|3:10004,10005,10006</v>
      </c>
      <c r="AL6" s="76" t="str">
        <f>出怪成长!F4</f>
        <v>3#1#0.4|6#2#0.8|8#3#1</v>
      </c>
      <c r="AM6" s="85" t="str">
        <f>每波成长!G7</f>
        <v>30#7#4</v>
      </c>
      <c r="AN6" s="75" t="s">
        <v>161</v>
      </c>
      <c r="AO6" s="86">
        <v>0</v>
      </c>
      <c r="AP6" s="75" t="s">
        <v>179</v>
      </c>
      <c r="AQ6" s="75">
        <v>2</v>
      </c>
      <c r="AR6" s="70" t="s">
        <v>149</v>
      </c>
      <c r="AS6" s="75" t="s">
        <v>180</v>
      </c>
      <c r="AT6" s="75" t="s">
        <v>165</v>
      </c>
      <c r="AU6" s="70" t="s">
        <v>181</v>
      </c>
      <c r="AV6" s="75" t="s">
        <v>182</v>
      </c>
      <c r="AW6" s="86" t="s">
        <v>148</v>
      </c>
      <c r="AX6" s="70" t="s">
        <v>149</v>
      </c>
      <c r="AY6" s="75" t="s">
        <v>150</v>
      </c>
      <c r="AZ6" s="87" t="s">
        <v>151</v>
      </c>
      <c r="BA6" s="75" t="s">
        <v>183</v>
      </c>
      <c r="BB6" s="75">
        <v>0</v>
      </c>
      <c r="BC6" s="85">
        <v>0.6</v>
      </c>
      <c r="BD6" s="75">
        <v>6</v>
      </c>
      <c r="BE6" s="76" t="s">
        <v>184</v>
      </c>
      <c r="BF6" s="88" t="s">
        <v>185</v>
      </c>
      <c r="BG6" s="76">
        <v>0</v>
      </c>
      <c r="BH6" s="75">
        <v>3</v>
      </c>
      <c r="BI6" s="70" t="s">
        <v>186</v>
      </c>
      <c r="BJ6" s="70" t="s">
        <v>141</v>
      </c>
      <c r="BL6" s="54">
        <v>3</v>
      </c>
      <c r="BM6" s="93">
        <v>3101</v>
      </c>
      <c r="BN6" s="94">
        <v>3001</v>
      </c>
      <c r="BO6" s="54">
        <v>0</v>
      </c>
      <c r="BR6" s="54" t="s">
        <v>187</v>
      </c>
    </row>
    <row r="7" s="53" customFormat="1" ht="15" customHeight="1" spans="1:70">
      <c r="A7" s="156">
        <v>14</v>
      </c>
      <c r="B7" s="64">
        <v>0</v>
      </c>
      <c r="C7" s="71" t="s">
        <v>188</v>
      </c>
      <c r="D7" s="91" t="s">
        <v>189</v>
      </c>
      <c r="E7" s="91">
        <f>A8</f>
        <v>15</v>
      </c>
      <c r="F7" s="157">
        <v>4</v>
      </c>
      <c r="G7" s="71">
        <f t="shared" si="0"/>
        <v>24</v>
      </c>
      <c r="H7" s="71">
        <v>18</v>
      </c>
      <c r="I7" s="71">
        <v>18</v>
      </c>
      <c r="J7" s="71">
        <v>18</v>
      </c>
      <c r="K7" s="71">
        <v>220</v>
      </c>
      <c r="L7" s="71">
        <v>440</v>
      </c>
      <c r="M7" s="71">
        <v>660</v>
      </c>
      <c r="N7" s="79" t="s">
        <v>190</v>
      </c>
      <c r="O7" s="79" t="s">
        <v>191</v>
      </c>
      <c r="P7" s="79" t="s">
        <v>192</v>
      </c>
      <c r="Q7" s="79" t="s">
        <v>193</v>
      </c>
      <c r="R7" s="79" t="s">
        <v>194</v>
      </c>
      <c r="S7" s="79" t="s">
        <v>195</v>
      </c>
      <c r="T7" s="83" t="s">
        <v>137</v>
      </c>
      <c r="U7" s="64">
        <v>3</v>
      </c>
      <c r="V7" s="64" t="s">
        <v>138</v>
      </c>
      <c r="W7" s="83" t="s">
        <v>139</v>
      </c>
      <c r="X7" s="83" t="s">
        <v>178</v>
      </c>
      <c r="Y7" s="70" t="s">
        <v>141</v>
      </c>
      <c r="Z7" s="70">
        <v>1</v>
      </c>
      <c r="AA7" s="92" t="s">
        <v>145</v>
      </c>
      <c r="AB7" s="75">
        <f>F7+AA7+Z7</f>
        <v>6</v>
      </c>
      <c r="AC7" s="75">
        <f>AB7+15</f>
        <v>21</v>
      </c>
      <c r="AD7" s="75">
        <v>250</v>
      </c>
      <c r="AE7" s="76">
        <f t="shared" si="1"/>
        <v>15</v>
      </c>
      <c r="AF7" s="76">
        <f t="shared" si="2"/>
        <v>15000</v>
      </c>
      <c r="AG7" s="76">
        <f t="shared" ref="AG6:AG53" si="3">AG6</f>
        <v>28000</v>
      </c>
      <c r="AH7" s="76">
        <f>出怪成长!C5</f>
        <v>9</v>
      </c>
      <c r="AI7" s="76" t="str">
        <f>出怪成长!D5</f>
        <v>3#30001#1|7#30002#1|9#30003,30004#1</v>
      </c>
      <c r="AJ7" s="85" t="str">
        <f>出怪数量!Z6</f>
        <v>1:2:1|1:4:1|2:8:1|2:12:1|1:17:1|2:22:1|1:27:1|2:32:1|1:37:1</v>
      </c>
      <c r="AK7" s="76" t="str">
        <f>出怪成长!E5</f>
        <v>1:10004,10005|2:10004,10005,10006|3:10006,10007,10010</v>
      </c>
      <c r="AL7" s="76" t="str">
        <f>出怪成长!F5</f>
        <v>4#1#0.5|7#2#1|9#3#1.3</v>
      </c>
      <c r="AM7" s="85" t="str">
        <f>每波成长!G8</f>
        <v>31#8#5</v>
      </c>
      <c r="AN7" s="75" t="s">
        <v>196</v>
      </c>
      <c r="AO7" s="86">
        <v>0</v>
      </c>
      <c r="AP7" s="75" t="s">
        <v>179</v>
      </c>
      <c r="AQ7" s="75">
        <v>2</v>
      </c>
      <c r="AR7" s="70" t="s">
        <v>197</v>
      </c>
      <c r="AS7" s="75" t="s">
        <v>198</v>
      </c>
      <c r="AT7" s="75" t="s">
        <v>199</v>
      </c>
      <c r="AU7" s="70" t="s">
        <v>200</v>
      </c>
      <c r="AV7" s="75" t="s">
        <v>201</v>
      </c>
      <c r="AW7" s="86" t="s">
        <v>202</v>
      </c>
      <c r="AX7" s="70" t="s">
        <v>149</v>
      </c>
      <c r="AY7" s="75" t="s">
        <v>150</v>
      </c>
      <c r="AZ7" s="87" t="s">
        <v>151</v>
      </c>
      <c r="BA7" s="75" t="s">
        <v>203</v>
      </c>
      <c r="BB7" s="75">
        <v>0</v>
      </c>
      <c r="BC7" s="76">
        <v>0.8</v>
      </c>
      <c r="BD7" s="75">
        <v>8</v>
      </c>
      <c r="BE7" s="76">
        <v>0</v>
      </c>
      <c r="BF7" s="88" t="s">
        <v>204</v>
      </c>
      <c r="BG7" s="76">
        <v>0</v>
      </c>
      <c r="BH7" s="75">
        <v>3</v>
      </c>
      <c r="BI7" s="70" t="s">
        <v>205</v>
      </c>
      <c r="BJ7" s="70" t="s">
        <v>141</v>
      </c>
      <c r="BL7" s="53">
        <v>4</v>
      </c>
      <c r="BM7" s="95">
        <v>6101</v>
      </c>
      <c r="BN7" s="90">
        <v>6001</v>
      </c>
      <c r="BO7" s="53">
        <v>0</v>
      </c>
      <c r="BR7" s="53" t="s">
        <v>206</v>
      </c>
    </row>
    <row r="8" s="53" customFormat="1" ht="15" customHeight="1" spans="1:70">
      <c r="A8" s="156">
        <v>15</v>
      </c>
      <c r="B8" s="64">
        <v>0</v>
      </c>
      <c r="C8" s="71" t="s">
        <v>207</v>
      </c>
      <c r="D8" s="64" t="s">
        <v>130</v>
      </c>
      <c r="E8" s="64">
        <f>A9</f>
        <v>16</v>
      </c>
      <c r="F8" s="157">
        <v>5</v>
      </c>
      <c r="G8" s="71">
        <f t="shared" si="0"/>
        <v>25</v>
      </c>
      <c r="H8" s="71">
        <v>19</v>
      </c>
      <c r="I8" s="71">
        <v>19</v>
      </c>
      <c r="J8" s="71">
        <v>19</v>
      </c>
      <c r="K8" s="71">
        <v>250</v>
      </c>
      <c r="L8" s="71">
        <v>500</v>
      </c>
      <c r="M8" s="71">
        <v>750</v>
      </c>
      <c r="N8" s="79" t="s">
        <v>208</v>
      </c>
      <c r="O8" s="79" t="s">
        <v>209</v>
      </c>
      <c r="P8" s="79" t="s">
        <v>210</v>
      </c>
      <c r="Q8" s="79" t="s">
        <v>211</v>
      </c>
      <c r="R8" s="79" t="s">
        <v>212</v>
      </c>
      <c r="S8" s="79" t="s">
        <v>213</v>
      </c>
      <c r="T8" s="83" t="s">
        <v>137</v>
      </c>
      <c r="U8" s="64">
        <v>3</v>
      </c>
      <c r="V8" s="64" t="s">
        <v>214</v>
      </c>
      <c r="W8" s="83" t="s">
        <v>139</v>
      </c>
      <c r="X8" s="83" t="s">
        <v>215</v>
      </c>
      <c r="Y8" s="70" t="s">
        <v>141</v>
      </c>
      <c r="Z8" s="70">
        <v>1</v>
      </c>
      <c r="AA8" s="92" t="s">
        <v>160</v>
      </c>
      <c r="AB8" s="75">
        <f>F8+AA8+Z8</f>
        <v>5</v>
      </c>
      <c r="AC8" s="75">
        <f>AB8+15</f>
        <v>20</v>
      </c>
      <c r="AD8" s="75">
        <v>250</v>
      </c>
      <c r="AE8" s="76">
        <f t="shared" si="1"/>
        <v>15</v>
      </c>
      <c r="AF8" s="76">
        <f t="shared" si="2"/>
        <v>15000</v>
      </c>
      <c r="AG8" s="76">
        <f t="shared" si="3"/>
        <v>28000</v>
      </c>
      <c r="AH8" s="76">
        <f>出怪成长!C6</f>
        <v>8</v>
      </c>
      <c r="AI8" s="76" t="str">
        <f>出怪成长!D6</f>
        <v>3#30001#1|6#30002#1|8#30003,30004#1</v>
      </c>
      <c r="AJ8" s="85" t="str">
        <f>出怪数量!Z7</f>
        <v>1:3:1|1:5:1|2:9:1|2:13:1|1:18:1|2:23:1|1:28:1|2:33:1</v>
      </c>
      <c r="AK8" s="76" t="str">
        <f>出怪成长!E6</f>
        <v>1:10004,10005|2:10006,10007,10010|3:10006,10008,10010</v>
      </c>
      <c r="AL8" s="76" t="str">
        <f>出怪成长!F6</f>
        <v>3#1#0.5|6#2#1|8#3#1.3</v>
      </c>
      <c r="AM8" s="85" t="str">
        <f>每波成长!G9</f>
        <v>28#7#4</v>
      </c>
      <c r="AN8" s="75" t="s">
        <v>216</v>
      </c>
      <c r="AO8" s="86">
        <v>0</v>
      </c>
      <c r="AP8" s="75" t="s">
        <v>179</v>
      </c>
      <c r="AQ8" s="75">
        <v>2</v>
      </c>
      <c r="AR8" s="70" t="s">
        <v>217</v>
      </c>
      <c r="AS8" s="75" t="s">
        <v>218</v>
      </c>
      <c r="AT8" s="75" t="s">
        <v>219</v>
      </c>
      <c r="AU8" s="70" t="s">
        <v>220</v>
      </c>
      <c r="AV8" s="75" t="s">
        <v>221</v>
      </c>
      <c r="AW8" s="86" t="s">
        <v>202</v>
      </c>
      <c r="AX8" s="70" t="s">
        <v>149</v>
      </c>
      <c r="AY8" s="75" t="s">
        <v>150</v>
      </c>
      <c r="AZ8" s="87" t="s">
        <v>151</v>
      </c>
      <c r="BA8" s="75" t="s">
        <v>222</v>
      </c>
      <c r="BB8" s="75">
        <v>0</v>
      </c>
      <c r="BC8" s="85">
        <v>1</v>
      </c>
      <c r="BD8" s="75">
        <v>10</v>
      </c>
      <c r="BE8" s="76" t="s">
        <v>223</v>
      </c>
      <c r="BF8" s="88" t="s">
        <v>224</v>
      </c>
      <c r="BG8" s="76">
        <v>0</v>
      </c>
      <c r="BH8" s="75">
        <v>3</v>
      </c>
      <c r="BI8" s="70" t="s">
        <v>225</v>
      </c>
      <c r="BJ8" s="70" t="s">
        <v>141</v>
      </c>
      <c r="BL8" s="53">
        <v>5</v>
      </c>
      <c r="BM8" s="95">
        <v>6102</v>
      </c>
      <c r="BN8" s="90">
        <v>6002</v>
      </c>
      <c r="BO8" s="53">
        <v>0</v>
      </c>
      <c r="BR8" s="53" t="s">
        <v>226</v>
      </c>
    </row>
    <row r="9" s="53" customFormat="1" ht="15" customHeight="1" spans="1:70">
      <c r="A9" s="156">
        <v>16</v>
      </c>
      <c r="B9" s="64">
        <v>0</v>
      </c>
      <c r="C9" s="71" t="s">
        <v>227</v>
      </c>
      <c r="D9" s="91" t="s">
        <v>156</v>
      </c>
      <c r="E9" s="91">
        <f t="shared" ref="E9:E33" si="4">A10</f>
        <v>17</v>
      </c>
      <c r="F9" s="157">
        <v>6</v>
      </c>
      <c r="G9" s="71">
        <f t="shared" si="0"/>
        <v>26</v>
      </c>
      <c r="H9" s="71">
        <v>19</v>
      </c>
      <c r="I9" s="71">
        <v>19</v>
      </c>
      <c r="J9" s="71">
        <v>19</v>
      </c>
      <c r="K9" s="71">
        <v>290</v>
      </c>
      <c r="L9" s="71">
        <v>580</v>
      </c>
      <c r="M9" s="71">
        <v>870</v>
      </c>
      <c r="N9" s="79" t="s">
        <v>228</v>
      </c>
      <c r="O9" s="79" t="s">
        <v>229</v>
      </c>
      <c r="P9" s="79" t="s">
        <v>230</v>
      </c>
      <c r="Q9" s="79" t="s">
        <v>211</v>
      </c>
      <c r="R9" s="79" t="s">
        <v>212</v>
      </c>
      <c r="S9" s="79" t="s">
        <v>213</v>
      </c>
      <c r="T9" s="83" t="s">
        <v>137</v>
      </c>
      <c r="U9" s="64">
        <v>3</v>
      </c>
      <c r="V9" s="64" t="s">
        <v>214</v>
      </c>
      <c r="W9" s="83" t="s">
        <v>139</v>
      </c>
      <c r="X9" s="83" t="s">
        <v>215</v>
      </c>
      <c r="Y9" s="70" t="s">
        <v>141</v>
      </c>
      <c r="Z9" s="70">
        <v>1</v>
      </c>
      <c r="AA9" s="92" t="s">
        <v>137</v>
      </c>
      <c r="AB9" s="75">
        <f t="shared" ref="AB9:AB26" si="5">F9+AA9+Z9</f>
        <v>7</v>
      </c>
      <c r="AC9" s="75">
        <f t="shared" ref="AC9:AC25" si="6">AB9+15</f>
        <v>22</v>
      </c>
      <c r="AD9" s="75">
        <v>250</v>
      </c>
      <c r="AE9" s="76">
        <f t="shared" si="1"/>
        <v>15</v>
      </c>
      <c r="AF9" s="76">
        <f t="shared" si="2"/>
        <v>15000</v>
      </c>
      <c r="AG9" s="76">
        <f t="shared" si="3"/>
        <v>28000</v>
      </c>
      <c r="AH9" s="76">
        <f>出怪成长!C7</f>
        <v>9</v>
      </c>
      <c r="AI9" s="76" t="str">
        <f>出怪成长!D7</f>
        <v>3#30001#1|7#30002#1|9#30001,30004#1</v>
      </c>
      <c r="AJ9" s="85" t="str">
        <f>出怪数量!Z8</f>
        <v>1:3:1|1:5:1|2:9:1|2:13:1|1:18:1|2:23:1|1:28:1|2:33:1|1:38:1</v>
      </c>
      <c r="AK9" s="76" t="str">
        <f>出怪成长!E7</f>
        <v>1:10006,10007|2:10006,10008,10010|3:10006,10007,10010</v>
      </c>
      <c r="AL9" s="76" t="str">
        <f>出怪成长!F7</f>
        <v>4#1#0.8|7#2#1.2|9#3#1.4</v>
      </c>
      <c r="AM9" s="85" t="str">
        <f>每波成长!G10</f>
        <v>30#7#4</v>
      </c>
      <c r="AN9" s="75" t="s">
        <v>196</v>
      </c>
      <c r="AO9" s="86">
        <v>0</v>
      </c>
      <c r="AP9" s="75" t="s">
        <v>179</v>
      </c>
      <c r="AQ9" s="75">
        <v>2</v>
      </c>
      <c r="AR9" s="70" t="s">
        <v>231</v>
      </c>
      <c r="AS9" s="75" t="s">
        <v>232</v>
      </c>
      <c r="AT9" s="75" t="s">
        <v>199</v>
      </c>
      <c r="AU9" s="70" t="s">
        <v>233</v>
      </c>
      <c r="AV9" s="75" t="s">
        <v>234</v>
      </c>
      <c r="AW9" s="86" t="s">
        <v>235</v>
      </c>
      <c r="AX9" s="70" t="s">
        <v>149</v>
      </c>
      <c r="AY9" s="75" t="s">
        <v>150</v>
      </c>
      <c r="AZ9" s="87" t="s">
        <v>151</v>
      </c>
      <c r="BA9" s="75" t="s">
        <v>236</v>
      </c>
      <c r="BB9" s="75">
        <v>0</v>
      </c>
      <c r="BC9" s="76">
        <v>1.2</v>
      </c>
      <c r="BD9" s="75">
        <v>12</v>
      </c>
      <c r="BE9" s="76">
        <v>0</v>
      </c>
      <c r="BF9" s="88" t="s">
        <v>237</v>
      </c>
      <c r="BG9" s="76">
        <v>0</v>
      </c>
      <c r="BH9" s="75">
        <v>3</v>
      </c>
      <c r="BI9" s="70" t="s">
        <v>238</v>
      </c>
      <c r="BJ9" s="70" t="s">
        <v>141</v>
      </c>
      <c r="BL9" s="53">
        <v>6</v>
      </c>
      <c r="BM9" s="95">
        <v>1102</v>
      </c>
      <c r="BN9" s="90">
        <v>1002</v>
      </c>
      <c r="BO9" s="53">
        <v>0</v>
      </c>
      <c r="BR9" s="53" t="s">
        <v>239</v>
      </c>
    </row>
    <row r="10" s="53" customFormat="1" ht="15" customHeight="1" spans="1:70">
      <c r="A10" s="156">
        <v>17</v>
      </c>
      <c r="B10" s="64">
        <v>0</v>
      </c>
      <c r="C10" s="71" t="s">
        <v>240</v>
      </c>
      <c r="D10" s="64" t="s">
        <v>174</v>
      </c>
      <c r="E10" s="64">
        <f t="shared" si="4"/>
        <v>18</v>
      </c>
      <c r="F10" s="157">
        <v>7</v>
      </c>
      <c r="G10" s="71">
        <f t="shared" si="0"/>
        <v>27</v>
      </c>
      <c r="H10" s="71">
        <v>19</v>
      </c>
      <c r="I10" s="71">
        <v>19</v>
      </c>
      <c r="J10" s="71">
        <v>19</v>
      </c>
      <c r="K10" s="71">
        <v>340</v>
      </c>
      <c r="L10" s="71">
        <v>680</v>
      </c>
      <c r="M10" s="71">
        <v>1020</v>
      </c>
      <c r="N10" s="79" t="s">
        <v>241</v>
      </c>
      <c r="O10" s="79" t="s">
        <v>242</v>
      </c>
      <c r="P10" s="79" t="s">
        <v>243</v>
      </c>
      <c r="Q10" s="79" t="s">
        <v>244</v>
      </c>
      <c r="R10" s="79" t="s">
        <v>212</v>
      </c>
      <c r="S10" s="79" t="s">
        <v>245</v>
      </c>
      <c r="T10" s="83" t="s">
        <v>137</v>
      </c>
      <c r="U10" s="64">
        <v>3</v>
      </c>
      <c r="V10" s="64" t="s">
        <v>246</v>
      </c>
      <c r="W10" s="83" t="s">
        <v>139</v>
      </c>
      <c r="X10" s="83" t="s">
        <v>247</v>
      </c>
      <c r="Y10" s="70" t="s">
        <v>141</v>
      </c>
      <c r="Z10" s="70">
        <v>1</v>
      </c>
      <c r="AA10" s="92" t="s">
        <v>145</v>
      </c>
      <c r="AB10" s="75">
        <f t="shared" si="5"/>
        <v>9</v>
      </c>
      <c r="AC10" s="75">
        <f t="shared" si="6"/>
        <v>24</v>
      </c>
      <c r="AD10" s="75">
        <v>250</v>
      </c>
      <c r="AE10" s="76">
        <f t="shared" si="1"/>
        <v>15</v>
      </c>
      <c r="AF10" s="76">
        <f t="shared" si="2"/>
        <v>15000</v>
      </c>
      <c r="AG10" s="76">
        <f t="shared" si="3"/>
        <v>28000</v>
      </c>
      <c r="AH10" s="76">
        <f>出怪成长!C8</f>
        <v>9</v>
      </c>
      <c r="AI10" s="76" t="str">
        <f>出怪成长!D8</f>
        <v>3#30001#1|7#30002#1|9#30001,30004#1</v>
      </c>
      <c r="AJ10" s="85" t="str">
        <f>出怪数量!Z9</f>
        <v>1:3:1|1:5:1|2:9:1|2:13:1|1:18:1|2:23:1|1:28:1|2:33:1|1:38:1</v>
      </c>
      <c r="AK10" s="76" t="str">
        <f>出怪成长!E8</f>
        <v>1:10006,10008|2:10006,10007,10010|3:10006,10010,10009</v>
      </c>
      <c r="AL10" s="76" t="str">
        <f>出怪成长!F8</f>
        <v>4#1#0.8|7#2#1.2|9#3#1.4</v>
      </c>
      <c r="AM10" s="85" t="str">
        <f>每波成长!G11</f>
        <v>31#8#5</v>
      </c>
      <c r="AN10" s="75" t="s">
        <v>216</v>
      </c>
      <c r="AO10" s="86">
        <v>0</v>
      </c>
      <c r="AP10" s="75" t="s">
        <v>179</v>
      </c>
      <c r="AQ10" s="75">
        <v>2</v>
      </c>
      <c r="AR10" s="70" t="s">
        <v>248</v>
      </c>
      <c r="AS10" s="75" t="s">
        <v>232</v>
      </c>
      <c r="AT10" s="75" t="s">
        <v>219</v>
      </c>
      <c r="AU10" s="70" t="s">
        <v>249</v>
      </c>
      <c r="AV10" s="75" t="s">
        <v>221</v>
      </c>
      <c r="AW10" s="86" t="s">
        <v>202</v>
      </c>
      <c r="AX10" s="70" t="s">
        <v>149</v>
      </c>
      <c r="AY10" s="75" t="s">
        <v>150</v>
      </c>
      <c r="AZ10" s="87" t="s">
        <v>151</v>
      </c>
      <c r="BA10" s="75" t="s">
        <v>222</v>
      </c>
      <c r="BB10" s="75">
        <v>0</v>
      </c>
      <c r="BC10" s="76">
        <v>1</v>
      </c>
      <c r="BD10" s="75">
        <v>14</v>
      </c>
      <c r="BE10" s="76">
        <v>0</v>
      </c>
      <c r="BF10" s="88" t="s">
        <v>237</v>
      </c>
      <c r="BG10" s="76">
        <v>0</v>
      </c>
      <c r="BH10" s="75">
        <v>3</v>
      </c>
      <c r="BI10" s="70" t="s">
        <v>250</v>
      </c>
      <c r="BJ10" s="75" t="s">
        <v>141</v>
      </c>
      <c r="BM10" s="95"/>
      <c r="BN10" s="90"/>
    </row>
    <row r="11" s="53" customFormat="1" ht="15" customHeight="1" spans="1:70">
      <c r="A11" s="156">
        <v>18</v>
      </c>
      <c r="B11" s="64">
        <v>0</v>
      </c>
      <c r="C11" s="71" t="s">
        <v>251</v>
      </c>
      <c r="D11" s="91" t="s">
        <v>189</v>
      </c>
      <c r="E11" s="91">
        <f t="shared" si="4"/>
        <v>19</v>
      </c>
      <c r="F11" s="157">
        <v>8</v>
      </c>
      <c r="G11" s="71">
        <f t="shared" si="0"/>
        <v>28</v>
      </c>
      <c r="H11" s="71">
        <v>19</v>
      </c>
      <c r="I11" s="71">
        <v>19</v>
      </c>
      <c r="J11" s="71">
        <v>19</v>
      </c>
      <c r="K11" s="71">
        <v>400</v>
      </c>
      <c r="L11" s="71">
        <v>800</v>
      </c>
      <c r="M11" s="71">
        <v>1200</v>
      </c>
      <c r="N11" s="79" t="s">
        <v>252</v>
      </c>
      <c r="O11" s="79" t="s">
        <v>253</v>
      </c>
      <c r="P11" s="79" t="s">
        <v>254</v>
      </c>
      <c r="Q11" s="79" t="s">
        <v>244</v>
      </c>
      <c r="R11" s="79" t="s">
        <v>212</v>
      </c>
      <c r="S11" s="79" t="s">
        <v>245</v>
      </c>
      <c r="T11" s="83" t="s">
        <v>137</v>
      </c>
      <c r="U11" s="64">
        <v>3</v>
      </c>
      <c r="V11" s="64" t="s">
        <v>246</v>
      </c>
      <c r="W11" s="83" t="s">
        <v>139</v>
      </c>
      <c r="X11" s="83" t="s">
        <v>247</v>
      </c>
      <c r="Y11" s="70" t="s">
        <v>141</v>
      </c>
      <c r="Z11" s="70">
        <v>1</v>
      </c>
      <c r="AA11" s="92" t="s">
        <v>163</v>
      </c>
      <c r="AB11" s="75">
        <f t="shared" si="5"/>
        <v>11</v>
      </c>
      <c r="AC11" s="75">
        <f t="shared" si="6"/>
        <v>26</v>
      </c>
      <c r="AD11" s="75">
        <v>250</v>
      </c>
      <c r="AE11" s="76">
        <f t="shared" si="1"/>
        <v>15</v>
      </c>
      <c r="AF11" s="76">
        <f t="shared" si="2"/>
        <v>15000</v>
      </c>
      <c r="AG11" s="76">
        <f t="shared" si="3"/>
        <v>28000</v>
      </c>
      <c r="AH11" s="76">
        <f>出怪成长!C9</f>
        <v>10</v>
      </c>
      <c r="AI11" s="76" t="str">
        <f>出怪成长!D9</f>
        <v>4#30001#1|8#30002#1|10#30001,30004#1</v>
      </c>
      <c r="AJ11" s="85" t="s">
        <v>255</v>
      </c>
      <c r="AK11" s="76" t="str">
        <f>出怪成长!E9</f>
        <v>1:10006,10007|2:10006,10010,10009|3:10020,10021,10023</v>
      </c>
      <c r="AL11" s="76" t="str">
        <f>出怪成长!F9</f>
        <v>5#1#0.9|8#2#1.4|10#3#1.7</v>
      </c>
      <c r="AM11" s="85" t="str">
        <f>每波成长!G12</f>
        <v>33#9#6</v>
      </c>
      <c r="AN11" s="75" t="s">
        <v>196</v>
      </c>
      <c r="AO11" s="86">
        <v>0</v>
      </c>
      <c r="AP11" s="75" t="s">
        <v>179</v>
      </c>
      <c r="AQ11" s="75">
        <v>2</v>
      </c>
      <c r="AR11" s="70" t="s">
        <v>256</v>
      </c>
      <c r="AS11" s="75" t="s">
        <v>232</v>
      </c>
      <c r="AT11" s="75" t="s">
        <v>199</v>
      </c>
      <c r="AU11" s="70" t="s">
        <v>257</v>
      </c>
      <c r="AV11" s="75" t="s">
        <v>234</v>
      </c>
      <c r="AW11" s="86" t="s">
        <v>235</v>
      </c>
      <c r="AX11" s="70" t="s">
        <v>149</v>
      </c>
      <c r="AY11" s="75" t="s">
        <v>150</v>
      </c>
      <c r="AZ11" s="87" t="s">
        <v>151</v>
      </c>
      <c r="BA11" s="75" t="s">
        <v>236</v>
      </c>
      <c r="BB11" s="75">
        <v>0</v>
      </c>
      <c r="BC11" s="76">
        <v>1.2</v>
      </c>
      <c r="BD11" s="75">
        <v>16</v>
      </c>
      <c r="BE11" s="76">
        <v>0</v>
      </c>
      <c r="BF11" s="88" t="s">
        <v>237</v>
      </c>
      <c r="BG11" s="76">
        <v>0</v>
      </c>
      <c r="BH11" s="75">
        <v>3</v>
      </c>
      <c r="BI11" s="70" t="s">
        <v>258</v>
      </c>
      <c r="BJ11" s="75" t="s">
        <v>141</v>
      </c>
      <c r="BM11" s="95"/>
      <c r="BN11" s="90"/>
    </row>
    <row r="12" s="53" customFormat="1" ht="15" customHeight="1" spans="1:70">
      <c r="A12" s="156">
        <v>19</v>
      </c>
      <c r="B12" s="64">
        <v>0</v>
      </c>
      <c r="C12" s="71" t="s">
        <v>259</v>
      </c>
      <c r="D12" s="64" t="s">
        <v>130</v>
      </c>
      <c r="E12" s="64">
        <f t="shared" si="4"/>
        <v>20</v>
      </c>
      <c r="F12" s="157">
        <v>9</v>
      </c>
      <c r="G12" s="71">
        <f t="shared" si="0"/>
        <v>29</v>
      </c>
      <c r="H12" s="71">
        <v>20</v>
      </c>
      <c r="I12" s="71">
        <v>20</v>
      </c>
      <c r="J12" s="71">
        <v>20</v>
      </c>
      <c r="K12" s="71">
        <v>460</v>
      </c>
      <c r="L12" s="71">
        <v>920</v>
      </c>
      <c r="M12" s="71">
        <v>1380</v>
      </c>
      <c r="N12" s="79" t="s">
        <v>260</v>
      </c>
      <c r="O12" s="79" t="s">
        <v>261</v>
      </c>
      <c r="P12" s="79" t="s">
        <v>262</v>
      </c>
      <c r="Q12" s="79" t="s">
        <v>135</v>
      </c>
      <c r="R12" s="79" t="s">
        <v>263</v>
      </c>
      <c r="S12" s="79" t="s">
        <v>264</v>
      </c>
      <c r="T12" s="83" t="s">
        <v>137</v>
      </c>
      <c r="U12" s="64">
        <v>3</v>
      </c>
      <c r="V12" s="64" t="s">
        <v>265</v>
      </c>
      <c r="W12" s="83" t="s">
        <v>139</v>
      </c>
      <c r="X12" s="83" t="s">
        <v>266</v>
      </c>
      <c r="Y12" s="70" t="s">
        <v>141</v>
      </c>
      <c r="Z12" s="70">
        <v>2</v>
      </c>
      <c r="AA12" s="75">
        <f t="shared" ref="AA12:AA53" si="7">AA4+2</f>
        <v>2</v>
      </c>
      <c r="AB12" s="75">
        <f t="shared" si="5"/>
        <v>13</v>
      </c>
      <c r="AC12" s="75">
        <f t="shared" si="6"/>
        <v>28</v>
      </c>
      <c r="AD12" s="75">
        <v>250</v>
      </c>
      <c r="AE12" s="76">
        <f t="shared" ref="AE12:AE53" si="8">AE4+1</f>
        <v>16</v>
      </c>
      <c r="AF12" s="76">
        <f t="shared" si="2"/>
        <v>15000</v>
      </c>
      <c r="AG12" s="76">
        <f t="shared" si="3"/>
        <v>28000</v>
      </c>
      <c r="AH12" s="76">
        <f>出怪成长!C10</f>
        <v>8</v>
      </c>
      <c r="AI12" s="76" t="str">
        <f>出怪成长!D10</f>
        <v>3#30001#1|6#30002#1|8#30001,30004#1</v>
      </c>
      <c r="AJ12" s="85" t="str">
        <f>出怪数量!Z11</f>
        <v>1:2:1|1:4:1|2:8:1|2:13:1|1:19:1|2:25:1|1:31:1|2:37:1</v>
      </c>
      <c r="AK12" s="76" t="str">
        <f>出怪成长!E10</f>
        <v>1:10006,10010|2:10020,10021,10023|3:10020,10021,10023</v>
      </c>
      <c r="AL12" s="76" t="str">
        <f>出怪成长!F10</f>
        <v>3#1#0.9|6#2#1.4|8#3#1.7</v>
      </c>
      <c r="AM12" s="85" t="str">
        <f>每波成长!G13</f>
        <v>33#9#6</v>
      </c>
      <c r="AN12" s="75" t="s">
        <v>216</v>
      </c>
      <c r="AO12" s="86">
        <v>0</v>
      </c>
      <c r="AP12" s="75" t="s">
        <v>179</v>
      </c>
      <c r="AQ12" s="75">
        <v>2</v>
      </c>
      <c r="AR12" s="70" t="s">
        <v>267</v>
      </c>
      <c r="AS12" s="75" t="s">
        <v>232</v>
      </c>
      <c r="AT12" s="75" t="s">
        <v>219</v>
      </c>
      <c r="AU12" s="70" t="s">
        <v>268</v>
      </c>
      <c r="AV12" s="75" t="s">
        <v>269</v>
      </c>
      <c r="AW12" s="86">
        <v>0</v>
      </c>
      <c r="AX12" s="70" t="s">
        <v>149</v>
      </c>
      <c r="AY12" s="75" t="s">
        <v>270</v>
      </c>
      <c r="AZ12" s="87" t="s">
        <v>271</v>
      </c>
      <c r="BA12" s="75" t="s">
        <v>272</v>
      </c>
      <c r="BB12" s="75">
        <v>0</v>
      </c>
      <c r="BC12" s="85">
        <v>2</v>
      </c>
      <c r="BD12" s="75">
        <v>20</v>
      </c>
      <c r="BE12" s="76">
        <v>0</v>
      </c>
      <c r="BF12" s="88" t="s">
        <v>273</v>
      </c>
      <c r="BG12" s="76">
        <v>0</v>
      </c>
      <c r="BH12" s="75">
        <v>3</v>
      </c>
      <c r="BI12" s="70" t="s">
        <v>274</v>
      </c>
      <c r="BJ12" s="70" t="s">
        <v>275</v>
      </c>
      <c r="BL12" s="53">
        <v>7</v>
      </c>
      <c r="BM12" s="95">
        <v>3102</v>
      </c>
      <c r="BN12" s="90">
        <v>3002</v>
      </c>
      <c r="BO12" s="53">
        <v>0</v>
      </c>
    </row>
    <row r="13" s="54" customFormat="1" ht="15" customHeight="1" spans="1:70">
      <c r="A13" s="156">
        <v>20</v>
      </c>
      <c r="B13" s="64">
        <v>0</v>
      </c>
      <c r="C13" s="71" t="s">
        <v>276</v>
      </c>
      <c r="D13" s="91" t="s">
        <v>156</v>
      </c>
      <c r="E13" s="91">
        <f t="shared" si="4"/>
        <v>21</v>
      </c>
      <c r="F13" s="157">
        <v>10</v>
      </c>
      <c r="G13" s="71">
        <f t="shared" si="0"/>
        <v>30</v>
      </c>
      <c r="H13" s="71">
        <v>20</v>
      </c>
      <c r="I13" s="71">
        <v>20</v>
      </c>
      <c r="J13" s="71">
        <v>20</v>
      </c>
      <c r="K13" s="71">
        <v>520</v>
      </c>
      <c r="L13" s="71">
        <v>1040</v>
      </c>
      <c r="M13" s="71">
        <v>1560</v>
      </c>
      <c r="N13" s="79" t="s">
        <v>277</v>
      </c>
      <c r="O13" s="79" t="s">
        <v>278</v>
      </c>
      <c r="P13" s="79" t="s">
        <v>279</v>
      </c>
      <c r="Q13" s="79" t="s">
        <v>135</v>
      </c>
      <c r="R13" s="79" t="s">
        <v>263</v>
      </c>
      <c r="S13" s="79" t="s">
        <v>264</v>
      </c>
      <c r="T13" s="83" t="s">
        <v>137</v>
      </c>
      <c r="U13" s="64">
        <v>3</v>
      </c>
      <c r="V13" s="64" t="s">
        <v>265</v>
      </c>
      <c r="W13" s="83" t="s">
        <v>139</v>
      </c>
      <c r="X13" s="83" t="s">
        <v>266</v>
      </c>
      <c r="Y13" s="70" t="s">
        <v>141</v>
      </c>
      <c r="Z13" s="70">
        <v>2</v>
      </c>
      <c r="AA13" s="75">
        <f t="shared" si="7"/>
        <v>1</v>
      </c>
      <c r="AB13" s="75">
        <f t="shared" si="5"/>
        <v>13</v>
      </c>
      <c r="AC13" s="75">
        <f t="shared" si="6"/>
        <v>28</v>
      </c>
      <c r="AD13" s="75">
        <v>250</v>
      </c>
      <c r="AE13" s="76">
        <f t="shared" si="8"/>
        <v>16</v>
      </c>
      <c r="AF13" s="76">
        <f t="shared" si="2"/>
        <v>15000</v>
      </c>
      <c r="AG13" s="76">
        <f t="shared" si="3"/>
        <v>28000</v>
      </c>
      <c r="AH13" s="76">
        <f>出怪成长!C11</f>
        <v>8</v>
      </c>
      <c r="AI13" s="76" t="str">
        <f>出怪成长!D11</f>
        <v>3#30001#1|6#30002#1|8#30001,30004#1</v>
      </c>
      <c r="AJ13" s="85" t="str">
        <f>出怪数量!Z12</f>
        <v>1:2:1|1:4:1|2:8:1|2:13:1|3:19:1|3:25:1|1:31:1|2:37:1</v>
      </c>
      <c r="AK13" s="76" t="str">
        <f>出怪成长!E11</f>
        <v>1:10020,10021|2:10020,10021,10023|3:10020,10021,10023</v>
      </c>
      <c r="AL13" s="76" t="str">
        <f>出怪成长!F11</f>
        <v>3#1#0.9|6#2#1.4|8#3#1.7</v>
      </c>
      <c r="AM13" s="85" t="str">
        <f>每波成长!G14</f>
        <v>31#8#5</v>
      </c>
      <c r="AN13" s="75" t="s">
        <v>196</v>
      </c>
      <c r="AO13" s="86">
        <v>0</v>
      </c>
      <c r="AP13" s="75" t="s">
        <v>179</v>
      </c>
      <c r="AQ13" s="75">
        <v>2</v>
      </c>
      <c r="AR13" s="70" t="s">
        <v>280</v>
      </c>
      <c r="AS13" s="75" t="s">
        <v>232</v>
      </c>
      <c r="AT13" s="75" t="s">
        <v>199</v>
      </c>
      <c r="AU13" s="70" t="s">
        <v>281</v>
      </c>
      <c r="AV13" s="75" t="s">
        <v>282</v>
      </c>
      <c r="AW13" s="86">
        <v>0</v>
      </c>
      <c r="AX13" s="70" t="s">
        <v>149</v>
      </c>
      <c r="AY13" s="75" t="s">
        <v>270</v>
      </c>
      <c r="AZ13" s="87" t="s">
        <v>271</v>
      </c>
      <c r="BA13" s="75" t="s">
        <v>283</v>
      </c>
      <c r="BB13" s="75">
        <v>0</v>
      </c>
      <c r="BC13" s="76">
        <v>2.2</v>
      </c>
      <c r="BD13" s="75">
        <v>22</v>
      </c>
      <c r="BE13" s="76" t="s">
        <v>284</v>
      </c>
      <c r="BF13" s="88" t="s">
        <v>285</v>
      </c>
      <c r="BG13" s="76">
        <v>0</v>
      </c>
      <c r="BH13" s="75">
        <v>3</v>
      </c>
      <c r="BI13" s="70" t="s">
        <v>286</v>
      </c>
      <c r="BJ13" s="70" t="str">
        <f t="shared" ref="BJ13:BJ19" si="9">BJ12</f>
        <v>MapCandy</v>
      </c>
      <c r="BL13" s="54">
        <v>8</v>
      </c>
      <c r="BM13" s="93">
        <v>3103</v>
      </c>
      <c r="BN13" s="94">
        <v>3002</v>
      </c>
      <c r="BO13" s="54">
        <v>3003</v>
      </c>
      <c r="BR13" s="54" t="s">
        <v>287</v>
      </c>
    </row>
    <row r="14" s="55" customFormat="1" ht="15" customHeight="1" spans="1:70">
      <c r="A14" s="156">
        <v>21</v>
      </c>
      <c r="B14" s="64">
        <v>0</v>
      </c>
      <c r="C14" s="71" t="s">
        <v>288</v>
      </c>
      <c r="D14" s="64" t="s">
        <v>174</v>
      </c>
      <c r="E14" s="91">
        <f t="shared" si="4"/>
        <v>22</v>
      </c>
      <c r="F14" s="157">
        <v>11</v>
      </c>
      <c r="G14" s="71">
        <f t="shared" si="0"/>
        <v>31</v>
      </c>
      <c r="H14" s="71">
        <v>20</v>
      </c>
      <c r="I14" s="71">
        <v>20</v>
      </c>
      <c r="J14" s="71">
        <v>20</v>
      </c>
      <c r="K14" s="71">
        <v>580</v>
      </c>
      <c r="L14" s="71">
        <v>1160</v>
      </c>
      <c r="M14" s="71">
        <v>1740</v>
      </c>
      <c r="N14" s="79" t="s">
        <v>289</v>
      </c>
      <c r="O14" s="79" t="s">
        <v>290</v>
      </c>
      <c r="P14" s="79" t="s">
        <v>291</v>
      </c>
      <c r="Q14" s="79" t="s">
        <v>135</v>
      </c>
      <c r="R14" s="79" t="s">
        <v>263</v>
      </c>
      <c r="S14" s="79" t="s">
        <v>264</v>
      </c>
      <c r="T14" s="83" t="s">
        <v>137</v>
      </c>
      <c r="U14" s="64">
        <v>3</v>
      </c>
      <c r="V14" s="64" t="s">
        <v>265</v>
      </c>
      <c r="W14" s="83" t="s">
        <v>139</v>
      </c>
      <c r="X14" s="83" t="s">
        <v>292</v>
      </c>
      <c r="Y14" s="70" t="s">
        <v>141</v>
      </c>
      <c r="Z14" s="70">
        <v>2</v>
      </c>
      <c r="AA14" s="75">
        <f t="shared" si="7"/>
        <v>2</v>
      </c>
      <c r="AB14" s="75">
        <f t="shared" si="5"/>
        <v>15</v>
      </c>
      <c r="AC14" s="75">
        <f t="shared" si="6"/>
        <v>30</v>
      </c>
      <c r="AD14" s="75">
        <v>250</v>
      </c>
      <c r="AE14" s="76">
        <f t="shared" si="8"/>
        <v>16</v>
      </c>
      <c r="AF14" s="76">
        <f t="shared" si="2"/>
        <v>15000</v>
      </c>
      <c r="AG14" s="76">
        <f t="shared" si="3"/>
        <v>28000</v>
      </c>
      <c r="AH14" s="76">
        <f>出怪成长!C12</f>
        <v>9</v>
      </c>
      <c r="AI14" s="76" t="str">
        <f>出怪成长!D12</f>
        <v>3#30001#1|7#30002#1|9#30001,30004#1</v>
      </c>
      <c r="AJ14" s="85" t="str">
        <f>出怪数量!Z13</f>
        <v>1:2:1|1:4:1|2:8:1|2:13:1|3:19:1|3:25:1|1:31:1|2:37:1|3:43:1</v>
      </c>
      <c r="AK14" s="76" t="str">
        <f>出怪成长!E12</f>
        <v>1:10020,10021|2:10020,10021,10023|3:10020,10021,10023</v>
      </c>
      <c r="AL14" s="76" t="str">
        <f>出怪成长!F12</f>
        <v>4#1#0.9|7#2#1.4|9#3#1.7</v>
      </c>
      <c r="AM14" s="85" t="str">
        <f>每波成长!G15</f>
        <v>33#9#6</v>
      </c>
      <c r="AN14" s="75" t="s">
        <v>216</v>
      </c>
      <c r="AO14" s="86">
        <v>0</v>
      </c>
      <c r="AP14" s="75" t="s">
        <v>179</v>
      </c>
      <c r="AQ14" s="75">
        <v>2</v>
      </c>
      <c r="AR14" s="70" t="s">
        <v>293</v>
      </c>
      <c r="AS14" s="75" t="s">
        <v>232</v>
      </c>
      <c r="AT14" s="75" t="s">
        <v>219</v>
      </c>
      <c r="AU14" s="70" t="s">
        <v>294</v>
      </c>
      <c r="AV14" s="75" t="s">
        <v>295</v>
      </c>
      <c r="AW14" s="86">
        <v>0</v>
      </c>
      <c r="AX14" s="70" t="s">
        <v>149</v>
      </c>
      <c r="AY14" s="75" t="s">
        <v>270</v>
      </c>
      <c r="AZ14" s="87" t="s">
        <v>271</v>
      </c>
      <c r="BA14" s="75" t="s">
        <v>296</v>
      </c>
      <c r="BB14" s="75">
        <v>0</v>
      </c>
      <c r="BC14" s="85">
        <v>2.4</v>
      </c>
      <c r="BD14" s="75">
        <v>24</v>
      </c>
      <c r="BE14" s="76" t="s">
        <v>297</v>
      </c>
      <c r="BF14" s="88" t="s">
        <v>298</v>
      </c>
      <c r="BG14" s="76">
        <v>0</v>
      </c>
      <c r="BH14" s="75">
        <v>3</v>
      </c>
      <c r="BI14" s="70" t="s">
        <v>299</v>
      </c>
      <c r="BJ14" s="70" t="str">
        <f t="shared" si="9"/>
        <v>MapCandy</v>
      </c>
      <c r="BL14" s="55">
        <v>9</v>
      </c>
      <c r="BM14" s="97">
        <v>3104</v>
      </c>
      <c r="BN14" s="98">
        <v>3002</v>
      </c>
      <c r="BO14" s="55">
        <v>0</v>
      </c>
    </row>
    <row r="15" s="54" customFormat="1" ht="15" customHeight="1" spans="1:70">
      <c r="A15" s="156">
        <v>22</v>
      </c>
      <c r="B15" s="64">
        <v>0</v>
      </c>
      <c r="C15" s="71" t="s">
        <v>300</v>
      </c>
      <c r="D15" s="91" t="s">
        <v>189</v>
      </c>
      <c r="E15" s="91">
        <f t="shared" si="4"/>
        <v>23</v>
      </c>
      <c r="F15" s="157">
        <v>12</v>
      </c>
      <c r="G15" s="71">
        <f t="shared" si="0"/>
        <v>32</v>
      </c>
      <c r="H15" s="71">
        <v>20</v>
      </c>
      <c r="I15" s="71">
        <v>20</v>
      </c>
      <c r="J15" s="71">
        <v>20</v>
      </c>
      <c r="K15" s="71">
        <v>640</v>
      </c>
      <c r="L15" s="71">
        <v>1280</v>
      </c>
      <c r="M15" s="71">
        <v>1920</v>
      </c>
      <c r="N15" s="79" t="s">
        <v>301</v>
      </c>
      <c r="O15" s="79" t="s">
        <v>302</v>
      </c>
      <c r="P15" s="79" t="s">
        <v>303</v>
      </c>
      <c r="Q15" s="79" t="s">
        <v>135</v>
      </c>
      <c r="R15" s="79" t="s">
        <v>263</v>
      </c>
      <c r="S15" s="79" t="s">
        <v>264</v>
      </c>
      <c r="T15" s="83" t="s">
        <v>137</v>
      </c>
      <c r="U15" s="64">
        <v>3</v>
      </c>
      <c r="V15" s="64" t="s">
        <v>265</v>
      </c>
      <c r="W15" s="83" t="s">
        <v>139</v>
      </c>
      <c r="X15" s="83" t="s">
        <v>292</v>
      </c>
      <c r="Y15" s="70" t="s">
        <v>141</v>
      </c>
      <c r="Z15" s="70">
        <v>2</v>
      </c>
      <c r="AA15" s="75">
        <f t="shared" si="7"/>
        <v>3</v>
      </c>
      <c r="AB15" s="75">
        <f t="shared" si="5"/>
        <v>17</v>
      </c>
      <c r="AC15" s="75">
        <f t="shared" si="6"/>
        <v>32</v>
      </c>
      <c r="AD15" s="75">
        <v>250</v>
      </c>
      <c r="AE15" s="76">
        <f t="shared" si="8"/>
        <v>16</v>
      </c>
      <c r="AF15" s="76">
        <f t="shared" si="2"/>
        <v>15000</v>
      </c>
      <c r="AG15" s="76">
        <f t="shared" si="3"/>
        <v>28000</v>
      </c>
      <c r="AH15" s="76">
        <f>出怪成长!C13</f>
        <v>10</v>
      </c>
      <c r="AI15" s="76" t="str">
        <f>出怪成长!D13</f>
        <v>4#30001#1|8#30002#1|10#30001,30004#1</v>
      </c>
      <c r="AJ15" s="85" t="str">
        <f>出怪数量!Z14</f>
        <v>1:2:1|1:4:1|2:8:1|2:13:1|3:19:1|3:25:1|1:31:1|2:37:1|3:43:1|3:49:1</v>
      </c>
      <c r="AK15" s="76" t="str">
        <f>出怪成长!E13</f>
        <v>1:10020,10021|2:10020,10021,10023|3:10025,10026,10028</v>
      </c>
      <c r="AL15" s="76" t="str">
        <f>出怪成长!F13</f>
        <v>5#1#1|8#2#1.6|10#3#2</v>
      </c>
      <c r="AM15" s="85" t="str">
        <f>每波成长!G16</f>
        <v>34#9#6</v>
      </c>
      <c r="AN15" s="75" t="s">
        <v>196</v>
      </c>
      <c r="AO15" s="86">
        <v>0</v>
      </c>
      <c r="AP15" s="75" t="s">
        <v>179</v>
      </c>
      <c r="AQ15" s="75">
        <v>2</v>
      </c>
      <c r="AR15" s="70" t="s">
        <v>304</v>
      </c>
      <c r="AS15" s="75" t="s">
        <v>232</v>
      </c>
      <c r="AT15" s="75" t="s">
        <v>199</v>
      </c>
      <c r="AU15" s="70" t="s">
        <v>305</v>
      </c>
      <c r="AV15" s="75" t="s">
        <v>306</v>
      </c>
      <c r="AW15" s="86">
        <v>0</v>
      </c>
      <c r="AX15" s="70" t="s">
        <v>149</v>
      </c>
      <c r="AY15" s="75" t="s">
        <v>270</v>
      </c>
      <c r="AZ15" s="87" t="s">
        <v>271</v>
      </c>
      <c r="BA15" s="75" t="s">
        <v>307</v>
      </c>
      <c r="BB15" s="75">
        <v>0</v>
      </c>
      <c r="BC15" s="76">
        <v>2.6</v>
      </c>
      <c r="BD15" s="75">
        <v>26</v>
      </c>
      <c r="BE15" s="76" t="s">
        <v>308</v>
      </c>
      <c r="BF15" s="88" t="s">
        <v>309</v>
      </c>
      <c r="BG15" s="76">
        <v>0</v>
      </c>
      <c r="BH15" s="75">
        <v>3</v>
      </c>
      <c r="BI15" s="70" t="s">
        <v>310</v>
      </c>
      <c r="BJ15" s="70" t="str">
        <f t="shared" si="9"/>
        <v>MapCandy</v>
      </c>
      <c r="BL15" s="54">
        <v>10</v>
      </c>
      <c r="BM15" s="93">
        <v>3105</v>
      </c>
      <c r="BN15" s="94">
        <v>3003</v>
      </c>
      <c r="BO15" s="54">
        <v>0</v>
      </c>
      <c r="BR15" s="54" t="s">
        <v>311</v>
      </c>
    </row>
    <row r="16" s="53" customFormat="1" ht="15" customHeight="1" spans="1:70">
      <c r="A16" s="156">
        <v>23</v>
      </c>
      <c r="B16" s="64">
        <v>0</v>
      </c>
      <c r="C16" s="71" t="s">
        <v>312</v>
      </c>
      <c r="D16" s="64" t="s">
        <v>130</v>
      </c>
      <c r="E16" s="91">
        <f t="shared" si="4"/>
        <v>24</v>
      </c>
      <c r="F16" s="157">
        <v>13</v>
      </c>
      <c r="G16" s="71">
        <f t="shared" si="0"/>
        <v>33</v>
      </c>
      <c r="H16" s="71">
        <v>24</v>
      </c>
      <c r="I16" s="71">
        <v>24</v>
      </c>
      <c r="J16" s="71">
        <v>24</v>
      </c>
      <c r="K16" s="71">
        <v>700</v>
      </c>
      <c r="L16" s="71">
        <v>1400</v>
      </c>
      <c r="M16" s="71">
        <v>2100</v>
      </c>
      <c r="N16" s="79" t="s">
        <v>313</v>
      </c>
      <c r="O16" s="79" t="s">
        <v>314</v>
      </c>
      <c r="P16" s="79" t="s">
        <v>315</v>
      </c>
      <c r="Q16" s="79" t="s">
        <v>316</v>
      </c>
      <c r="R16" s="79" t="s">
        <v>317</v>
      </c>
      <c r="S16" s="79" t="s">
        <v>318</v>
      </c>
      <c r="T16" s="83" t="s">
        <v>137</v>
      </c>
      <c r="U16" s="64">
        <v>3</v>
      </c>
      <c r="V16" s="64" t="s">
        <v>319</v>
      </c>
      <c r="W16" s="83" t="s">
        <v>139</v>
      </c>
      <c r="X16" s="83" t="s">
        <v>320</v>
      </c>
      <c r="Y16" s="70" t="s">
        <v>141</v>
      </c>
      <c r="Z16" s="70">
        <v>2</v>
      </c>
      <c r="AA16" s="75">
        <f t="shared" si="7"/>
        <v>1</v>
      </c>
      <c r="AB16" s="75">
        <f t="shared" si="5"/>
        <v>16</v>
      </c>
      <c r="AC16" s="75">
        <f t="shared" si="6"/>
        <v>31</v>
      </c>
      <c r="AD16" s="75">
        <v>250</v>
      </c>
      <c r="AE16" s="76">
        <f t="shared" si="8"/>
        <v>16</v>
      </c>
      <c r="AF16" s="76">
        <f t="shared" si="2"/>
        <v>15000</v>
      </c>
      <c r="AG16" s="76">
        <f t="shared" si="3"/>
        <v>28000</v>
      </c>
      <c r="AH16" s="76">
        <f>出怪成长!C14</f>
        <v>9</v>
      </c>
      <c r="AI16" s="76" t="str">
        <f>出怪成长!D14</f>
        <v>3#30001#1|7#30002#1|9#30001,30004#1</v>
      </c>
      <c r="AJ16" s="85" t="str">
        <f>出怪数量!Z15</f>
        <v>1:3:1|1:5:1|2:9:1|2:14:1|3:20:1|3:26:1|1:32:1|2:38:1|3:44:1</v>
      </c>
      <c r="AK16" s="76" t="str">
        <f>出怪成长!E14</f>
        <v>1:10020,10021|2:10025,10026,10028|3:10025,10026,10028</v>
      </c>
      <c r="AL16" s="76" t="str">
        <f>出怪成长!F14</f>
        <v>4#1#1|7#2#1.6|9#3#2</v>
      </c>
      <c r="AM16" s="85" t="str">
        <f>每波成长!G17</f>
        <v>31#8#5</v>
      </c>
      <c r="AN16" s="75" t="s">
        <v>216</v>
      </c>
      <c r="AO16" s="86">
        <v>0</v>
      </c>
      <c r="AP16" s="75" t="s">
        <v>179</v>
      </c>
      <c r="AQ16" s="75">
        <v>2</v>
      </c>
      <c r="AR16" s="70" t="s">
        <v>321</v>
      </c>
      <c r="AS16" s="75" t="s">
        <v>232</v>
      </c>
      <c r="AT16" s="75" t="s">
        <v>219</v>
      </c>
      <c r="AU16" s="70" t="s">
        <v>322</v>
      </c>
      <c r="AV16" s="75" t="s">
        <v>323</v>
      </c>
      <c r="AW16" s="86">
        <v>0</v>
      </c>
      <c r="AX16" s="70" t="s">
        <v>149</v>
      </c>
      <c r="AY16" s="75" t="s">
        <v>270</v>
      </c>
      <c r="AZ16" s="87" t="s">
        <v>271</v>
      </c>
      <c r="BA16" s="75" t="s">
        <v>324</v>
      </c>
      <c r="BB16" s="75">
        <v>0</v>
      </c>
      <c r="BC16" s="85">
        <v>2.7</v>
      </c>
      <c r="BD16" s="75">
        <v>27</v>
      </c>
      <c r="BE16" s="76">
        <v>0</v>
      </c>
      <c r="BF16" s="88" t="s">
        <v>325</v>
      </c>
      <c r="BG16" s="76">
        <v>0</v>
      </c>
      <c r="BH16" s="75">
        <v>3</v>
      </c>
      <c r="BI16" s="70" t="s">
        <v>326</v>
      </c>
      <c r="BJ16" s="70" t="str">
        <f t="shared" si="9"/>
        <v>MapCandy</v>
      </c>
      <c r="BL16" s="53">
        <v>11</v>
      </c>
      <c r="BM16" s="95">
        <v>3106</v>
      </c>
      <c r="BN16" s="90">
        <v>3003</v>
      </c>
      <c r="BO16" s="53">
        <v>0</v>
      </c>
    </row>
    <row r="17" s="54" customFormat="1" ht="15" customHeight="1" spans="1:70">
      <c r="A17" s="156">
        <v>24</v>
      </c>
      <c r="B17" s="64">
        <v>0</v>
      </c>
      <c r="C17" s="71" t="s">
        <v>327</v>
      </c>
      <c r="D17" s="91" t="s">
        <v>156</v>
      </c>
      <c r="E17" s="91">
        <f t="shared" si="4"/>
        <v>25</v>
      </c>
      <c r="F17" s="157">
        <v>14</v>
      </c>
      <c r="G17" s="71">
        <f t="shared" si="0"/>
        <v>34</v>
      </c>
      <c r="H17" s="71">
        <v>24</v>
      </c>
      <c r="I17" s="71">
        <v>24</v>
      </c>
      <c r="J17" s="71">
        <v>24</v>
      </c>
      <c r="K17" s="71">
        <v>760</v>
      </c>
      <c r="L17" s="71">
        <v>1520</v>
      </c>
      <c r="M17" s="71">
        <v>2280</v>
      </c>
      <c r="N17" s="79" t="s">
        <v>328</v>
      </c>
      <c r="O17" s="79" t="s">
        <v>329</v>
      </c>
      <c r="P17" s="79" t="s">
        <v>330</v>
      </c>
      <c r="Q17" s="79" t="s">
        <v>331</v>
      </c>
      <c r="R17" s="79" t="s">
        <v>332</v>
      </c>
      <c r="S17" s="79" t="s">
        <v>333</v>
      </c>
      <c r="T17" s="83" t="s">
        <v>137</v>
      </c>
      <c r="U17" s="64">
        <v>3</v>
      </c>
      <c r="V17" s="64" t="s">
        <v>319</v>
      </c>
      <c r="W17" s="83" t="s">
        <v>139</v>
      </c>
      <c r="X17" s="83" t="s">
        <v>320</v>
      </c>
      <c r="Y17" s="70" t="s">
        <v>141</v>
      </c>
      <c r="Z17" s="70">
        <v>2</v>
      </c>
      <c r="AA17" s="75">
        <f t="shared" si="7"/>
        <v>2</v>
      </c>
      <c r="AB17" s="75">
        <f t="shared" si="5"/>
        <v>18</v>
      </c>
      <c r="AC17" s="75">
        <f t="shared" si="6"/>
        <v>33</v>
      </c>
      <c r="AD17" s="75">
        <v>250</v>
      </c>
      <c r="AE17" s="76">
        <f t="shared" si="8"/>
        <v>16</v>
      </c>
      <c r="AF17" s="76">
        <f t="shared" si="2"/>
        <v>15000</v>
      </c>
      <c r="AG17" s="76">
        <f t="shared" si="3"/>
        <v>28000</v>
      </c>
      <c r="AH17" s="76">
        <f>出怪成长!C15</f>
        <v>9</v>
      </c>
      <c r="AI17" s="76" t="str">
        <f>出怪成长!D15</f>
        <v>3#30001#1|7#30002#1|9#30001,30004#1</v>
      </c>
      <c r="AJ17" s="85" t="str">
        <f>出怪数量!Z16</f>
        <v>1:3:1|1:5:1|2:9:1|2:14:1|1:20:1|2:26:1|1:32:1|2:38:1|2:44:1</v>
      </c>
      <c r="AK17" s="76" t="str">
        <f>出怪成长!E15</f>
        <v>1:10025,10026|2:10025,10026,10028|3:10025,10026,10028</v>
      </c>
      <c r="AL17" s="76" t="str">
        <f>出怪成长!F15</f>
        <v>4#1#1|7#2#1.6|9#3#2</v>
      </c>
      <c r="AM17" s="85" t="str">
        <f>每波成长!G18</f>
        <v>33#9#6</v>
      </c>
      <c r="AN17" s="75" t="s">
        <v>196</v>
      </c>
      <c r="AO17" s="86">
        <v>0</v>
      </c>
      <c r="AP17" s="75" t="s">
        <v>179</v>
      </c>
      <c r="AQ17" s="75">
        <v>2</v>
      </c>
      <c r="AR17" s="70" t="s">
        <v>334</v>
      </c>
      <c r="AS17" s="75" t="s">
        <v>232</v>
      </c>
      <c r="AT17" s="75" t="s">
        <v>199</v>
      </c>
      <c r="AU17" s="70" t="s">
        <v>335</v>
      </c>
      <c r="AV17" s="75" t="s">
        <v>336</v>
      </c>
      <c r="AW17" s="86">
        <v>0</v>
      </c>
      <c r="AX17" s="70" t="s">
        <v>149</v>
      </c>
      <c r="AY17" s="75" t="s">
        <v>270</v>
      </c>
      <c r="AZ17" s="87" t="s">
        <v>271</v>
      </c>
      <c r="BA17" s="75" t="s">
        <v>337</v>
      </c>
      <c r="BB17" s="75">
        <v>0</v>
      </c>
      <c r="BC17" s="76">
        <v>3</v>
      </c>
      <c r="BD17" s="75">
        <v>30</v>
      </c>
      <c r="BE17" s="76" t="s">
        <v>338</v>
      </c>
      <c r="BF17" s="88" t="s">
        <v>339</v>
      </c>
      <c r="BG17" s="76">
        <v>0</v>
      </c>
      <c r="BH17" s="75">
        <v>3</v>
      </c>
      <c r="BI17" s="70" t="s">
        <v>340</v>
      </c>
      <c r="BJ17" s="70" t="str">
        <f t="shared" si="9"/>
        <v>MapCandy</v>
      </c>
      <c r="BL17" s="54">
        <v>12</v>
      </c>
      <c r="BM17" s="93">
        <v>3107</v>
      </c>
      <c r="BN17" s="94">
        <v>3003</v>
      </c>
      <c r="BO17" s="54">
        <v>3004</v>
      </c>
      <c r="BR17" s="54" t="s">
        <v>341</v>
      </c>
    </row>
    <row r="18" s="53" customFormat="1" ht="15" customHeight="1" spans="1:70">
      <c r="A18" s="156">
        <v>25</v>
      </c>
      <c r="B18" s="64">
        <v>0</v>
      </c>
      <c r="C18" s="71" t="s">
        <v>342</v>
      </c>
      <c r="D18" s="64" t="s">
        <v>174</v>
      </c>
      <c r="E18" s="91">
        <f t="shared" si="4"/>
        <v>26</v>
      </c>
      <c r="F18" s="157">
        <v>15</v>
      </c>
      <c r="G18" s="71">
        <f t="shared" si="0"/>
        <v>35</v>
      </c>
      <c r="H18" s="71">
        <v>24</v>
      </c>
      <c r="I18" s="71">
        <v>24</v>
      </c>
      <c r="J18" s="71">
        <v>24</v>
      </c>
      <c r="K18" s="71">
        <v>820</v>
      </c>
      <c r="L18" s="71">
        <v>1640</v>
      </c>
      <c r="M18" s="71">
        <v>2460</v>
      </c>
      <c r="N18" s="79" t="s">
        <v>343</v>
      </c>
      <c r="O18" s="79" t="s">
        <v>344</v>
      </c>
      <c r="P18" s="79" t="s">
        <v>345</v>
      </c>
      <c r="Q18" s="79" t="s">
        <v>331</v>
      </c>
      <c r="R18" s="79" t="s">
        <v>332</v>
      </c>
      <c r="S18" s="79" t="s">
        <v>333</v>
      </c>
      <c r="T18" s="83" t="s">
        <v>137</v>
      </c>
      <c r="U18" s="64">
        <v>3</v>
      </c>
      <c r="V18" s="64" t="s">
        <v>319</v>
      </c>
      <c r="W18" s="83" t="s">
        <v>139</v>
      </c>
      <c r="X18" s="83" t="s">
        <v>346</v>
      </c>
      <c r="Y18" s="75" t="s">
        <v>141</v>
      </c>
      <c r="Z18" s="75">
        <v>2</v>
      </c>
      <c r="AA18" s="75">
        <f t="shared" si="7"/>
        <v>3</v>
      </c>
      <c r="AB18" s="75">
        <f t="shared" si="5"/>
        <v>20</v>
      </c>
      <c r="AC18" s="75">
        <f t="shared" si="6"/>
        <v>35</v>
      </c>
      <c r="AD18" s="75">
        <v>250</v>
      </c>
      <c r="AE18" s="76">
        <f t="shared" si="8"/>
        <v>16</v>
      </c>
      <c r="AF18" s="76">
        <f t="shared" si="2"/>
        <v>15000</v>
      </c>
      <c r="AG18" s="76">
        <f t="shared" si="3"/>
        <v>28000</v>
      </c>
      <c r="AH18" s="76">
        <f>出怪成长!C16</f>
        <v>9</v>
      </c>
      <c r="AI18" s="76" t="str">
        <f>出怪成长!D16</f>
        <v>3#30001#1|7#30002#1|9#30001,30004#1</v>
      </c>
      <c r="AJ18" s="85" t="str">
        <f>出怪数量!Z17</f>
        <v>1:3:1|1:5:1|2:9:1|2:14:1|3:20:1|3:26:1|1:32:1|2:38:1|1:44:1</v>
      </c>
      <c r="AK18" s="76" t="str">
        <f>出怪成长!E16</f>
        <v>1:10025,10026|2:10025,10026,10028|3:10030,10031,10032</v>
      </c>
      <c r="AL18" s="76" t="str">
        <f>出怪成长!F16</f>
        <v>4#1#1|7#2#1.6|9#3#2</v>
      </c>
      <c r="AM18" s="85" t="str">
        <f>每波成长!G19</f>
        <v>34#9#6</v>
      </c>
      <c r="AN18" s="75" t="s">
        <v>196</v>
      </c>
      <c r="AO18" s="86">
        <v>0</v>
      </c>
      <c r="AP18" s="75" t="s">
        <v>179</v>
      </c>
      <c r="AQ18" s="75">
        <v>2</v>
      </c>
      <c r="AR18" s="70" t="s">
        <v>347</v>
      </c>
      <c r="AS18" s="75" t="s">
        <v>232</v>
      </c>
      <c r="AT18" s="75" t="s">
        <v>199</v>
      </c>
      <c r="AU18" s="70" t="s">
        <v>348</v>
      </c>
      <c r="AV18" s="75" t="s">
        <v>323</v>
      </c>
      <c r="AW18" s="86">
        <v>0</v>
      </c>
      <c r="AX18" s="70" t="s">
        <v>149</v>
      </c>
      <c r="AY18" s="75" t="s">
        <v>270</v>
      </c>
      <c r="AZ18" s="87" t="s">
        <v>271</v>
      </c>
      <c r="BA18" s="75" t="s">
        <v>324</v>
      </c>
      <c r="BB18" s="75">
        <v>0</v>
      </c>
      <c r="BC18" s="85">
        <v>2.7</v>
      </c>
      <c r="BD18" s="75">
        <v>27</v>
      </c>
      <c r="BE18" s="76">
        <v>0</v>
      </c>
      <c r="BF18" s="88" t="s">
        <v>325</v>
      </c>
      <c r="BG18" s="76">
        <v>0</v>
      </c>
      <c r="BH18" s="75">
        <v>3</v>
      </c>
      <c r="BI18" s="70" t="s">
        <v>349</v>
      </c>
      <c r="BJ18" s="70" t="str">
        <f t="shared" si="9"/>
        <v>MapCandy</v>
      </c>
      <c r="BL18" s="53">
        <v>11</v>
      </c>
      <c r="BM18" s="95">
        <v>3106</v>
      </c>
      <c r="BN18" s="90">
        <v>3003</v>
      </c>
      <c r="BO18" s="53">
        <v>0</v>
      </c>
    </row>
    <row r="19" s="54" customFormat="1" ht="15" customHeight="1" spans="1:70">
      <c r="A19" s="156">
        <v>26</v>
      </c>
      <c r="B19" s="64">
        <v>0</v>
      </c>
      <c r="C19" s="71" t="s">
        <v>350</v>
      </c>
      <c r="D19" s="91" t="s">
        <v>189</v>
      </c>
      <c r="E19" s="91">
        <f t="shared" si="4"/>
        <v>27</v>
      </c>
      <c r="F19" s="157">
        <v>16</v>
      </c>
      <c r="G19" s="71">
        <f t="shared" si="0"/>
        <v>36</v>
      </c>
      <c r="H19" s="71">
        <v>24</v>
      </c>
      <c r="I19" s="71">
        <v>24</v>
      </c>
      <c r="J19" s="71">
        <v>24</v>
      </c>
      <c r="K19" s="71">
        <v>1100</v>
      </c>
      <c r="L19" s="71">
        <v>2200</v>
      </c>
      <c r="M19" s="71">
        <v>3300</v>
      </c>
      <c r="N19" s="79" t="s">
        <v>351</v>
      </c>
      <c r="O19" s="79" t="s">
        <v>352</v>
      </c>
      <c r="P19" s="79" t="s">
        <v>353</v>
      </c>
      <c r="Q19" s="79" t="s">
        <v>331</v>
      </c>
      <c r="R19" s="79" t="s">
        <v>332</v>
      </c>
      <c r="S19" s="79" t="s">
        <v>333</v>
      </c>
      <c r="T19" s="83" t="s">
        <v>137</v>
      </c>
      <c r="U19" s="64">
        <v>3</v>
      </c>
      <c r="V19" s="64" t="s">
        <v>319</v>
      </c>
      <c r="W19" s="83" t="s">
        <v>139</v>
      </c>
      <c r="X19" s="83" t="s">
        <v>346</v>
      </c>
      <c r="Y19" s="75" t="s">
        <v>141</v>
      </c>
      <c r="Z19" s="75">
        <v>2</v>
      </c>
      <c r="AA19" s="75">
        <f t="shared" si="7"/>
        <v>4</v>
      </c>
      <c r="AB19" s="75">
        <f t="shared" si="5"/>
        <v>22</v>
      </c>
      <c r="AC19" s="75">
        <f t="shared" si="6"/>
        <v>37</v>
      </c>
      <c r="AD19" s="75">
        <v>250</v>
      </c>
      <c r="AE19" s="76">
        <f t="shared" si="8"/>
        <v>16</v>
      </c>
      <c r="AF19" s="76">
        <f t="shared" si="2"/>
        <v>15000</v>
      </c>
      <c r="AG19" s="76">
        <f t="shared" si="3"/>
        <v>28000</v>
      </c>
      <c r="AH19" s="76">
        <f>出怪成长!C17</f>
        <v>10</v>
      </c>
      <c r="AI19" s="76" t="str">
        <f>出怪成长!D17</f>
        <v>4#30001#1|8#30002#1|10#30001,30004#1</v>
      </c>
      <c r="AJ19" s="85" t="str">
        <f>出怪数量!Z18</f>
        <v>1:3:1|1:5:1|2:9:1|2:14:1|3:20:1|3:26:1|1:32:1|2:38:1|1:44:1|2:50:1</v>
      </c>
      <c r="AK19" s="76" t="str">
        <f>出怪成长!E17</f>
        <v>1:10025,10026|2:10030,10031,10032|3:10031,10028,10034</v>
      </c>
      <c r="AL19" s="76" t="str">
        <f>出怪成长!F17</f>
        <v>5#1#1.1|8#2#1.8|10#3#2.3</v>
      </c>
      <c r="AM19" s="85" t="str">
        <f>每波成长!G20</f>
        <v>36#10#7</v>
      </c>
      <c r="AN19" s="75" t="s">
        <v>196</v>
      </c>
      <c r="AO19" s="86">
        <v>0</v>
      </c>
      <c r="AP19" s="75" t="s">
        <v>179</v>
      </c>
      <c r="AQ19" s="75">
        <v>2</v>
      </c>
      <c r="AR19" s="70" t="s">
        <v>354</v>
      </c>
      <c r="AS19" s="75" t="s">
        <v>232</v>
      </c>
      <c r="AT19" s="75" t="s">
        <v>199</v>
      </c>
      <c r="AU19" s="70" t="s">
        <v>355</v>
      </c>
      <c r="AV19" s="75" t="s">
        <v>336</v>
      </c>
      <c r="AW19" s="86">
        <v>0</v>
      </c>
      <c r="AX19" s="70" t="s">
        <v>149</v>
      </c>
      <c r="AY19" s="75" t="s">
        <v>270</v>
      </c>
      <c r="AZ19" s="87" t="s">
        <v>271</v>
      </c>
      <c r="BA19" s="75" t="s">
        <v>337</v>
      </c>
      <c r="BB19" s="75">
        <v>0</v>
      </c>
      <c r="BC19" s="76">
        <v>3</v>
      </c>
      <c r="BD19" s="75">
        <v>30</v>
      </c>
      <c r="BE19" s="76" t="s">
        <v>338</v>
      </c>
      <c r="BF19" s="88" t="s">
        <v>339</v>
      </c>
      <c r="BG19" s="76">
        <v>0</v>
      </c>
      <c r="BH19" s="75">
        <v>3</v>
      </c>
      <c r="BI19" s="70" t="s">
        <v>356</v>
      </c>
      <c r="BJ19" s="70" t="str">
        <f t="shared" si="9"/>
        <v>MapCandy</v>
      </c>
      <c r="BL19" s="54">
        <v>12</v>
      </c>
      <c r="BM19" s="93">
        <v>3107</v>
      </c>
      <c r="BN19" s="94">
        <v>3003</v>
      </c>
      <c r="BO19" s="54">
        <v>3004</v>
      </c>
      <c r="BR19" s="54" t="s">
        <v>341</v>
      </c>
    </row>
    <row r="20" s="53" customFormat="1" ht="15" customHeight="1" spans="1:70">
      <c r="A20" s="156">
        <v>27</v>
      </c>
      <c r="B20" s="64">
        <v>0</v>
      </c>
      <c r="C20" s="71" t="s">
        <v>357</v>
      </c>
      <c r="D20" s="64" t="s">
        <v>130</v>
      </c>
      <c r="E20" s="91">
        <f t="shared" si="4"/>
        <v>28</v>
      </c>
      <c r="F20" s="157">
        <v>17</v>
      </c>
      <c r="G20" s="71">
        <f t="shared" si="0"/>
        <v>37</v>
      </c>
      <c r="H20" s="71">
        <v>28</v>
      </c>
      <c r="I20" s="71">
        <v>28</v>
      </c>
      <c r="J20" s="71">
        <v>28</v>
      </c>
      <c r="K20" s="71">
        <v>1300</v>
      </c>
      <c r="L20" s="71">
        <v>2600</v>
      </c>
      <c r="M20" s="71">
        <v>3900</v>
      </c>
      <c r="N20" s="79" t="s">
        <v>358</v>
      </c>
      <c r="O20" s="79" t="s">
        <v>359</v>
      </c>
      <c r="P20" s="79" t="s">
        <v>360</v>
      </c>
      <c r="Q20" s="79" t="s">
        <v>361</v>
      </c>
      <c r="R20" s="79" t="s">
        <v>362</v>
      </c>
      <c r="S20" s="79" t="s">
        <v>363</v>
      </c>
      <c r="T20" s="83" t="s">
        <v>137</v>
      </c>
      <c r="U20" s="64">
        <v>3</v>
      </c>
      <c r="V20" s="64" t="s">
        <v>364</v>
      </c>
      <c r="W20" s="83" t="s">
        <v>139</v>
      </c>
      <c r="X20" s="83" t="s">
        <v>365</v>
      </c>
      <c r="Y20" s="75" t="s">
        <v>141</v>
      </c>
      <c r="Z20" s="75">
        <v>3</v>
      </c>
      <c r="AA20" s="75">
        <f t="shared" si="7"/>
        <v>4</v>
      </c>
      <c r="AB20" s="75">
        <f t="shared" si="5"/>
        <v>24</v>
      </c>
      <c r="AC20" s="75">
        <f t="shared" si="6"/>
        <v>39</v>
      </c>
      <c r="AD20" s="75">
        <v>250</v>
      </c>
      <c r="AE20" s="76">
        <f t="shared" si="8"/>
        <v>17</v>
      </c>
      <c r="AF20" s="76">
        <f t="shared" si="2"/>
        <v>15000</v>
      </c>
      <c r="AG20" s="76">
        <f t="shared" si="3"/>
        <v>28000</v>
      </c>
      <c r="AH20" s="76">
        <f>出怪成长!C18</f>
        <v>8</v>
      </c>
      <c r="AI20" s="76" t="str">
        <f>出怪成长!D18</f>
        <v>3#30001#1|6#30002#1|8#30001,30004#1</v>
      </c>
      <c r="AJ20" s="85" t="str">
        <f>出怪数量!Z19</f>
        <v>1:2:1|1:5:1|2:10:1|2:5:1#2:5:1#3:5:1|3:4:1#2:4:1#3:4:1|3:5:1#2:5:1#3:5:1|1:6:1#2:6:1#3:6:1|2:7:1#2:7:1#3:7:1</v>
      </c>
      <c r="AK20" s="76" t="str">
        <f>出怪成长!E18</f>
        <v>1:10030,10031|2:10031,10028,10034|3:10031,10028,10027</v>
      </c>
      <c r="AL20" s="76" t="str">
        <f>出怪成长!F18</f>
        <v>3#1#1.1|6#2#1.8|8#3#2.3</v>
      </c>
      <c r="AM20" s="85" t="str">
        <f>每波成长!G21</f>
        <v>36#10#7</v>
      </c>
      <c r="AN20" s="75" t="s">
        <v>216</v>
      </c>
      <c r="AO20" s="86">
        <v>0</v>
      </c>
      <c r="AP20" s="75" t="s">
        <v>179</v>
      </c>
      <c r="AQ20" s="75">
        <v>2</v>
      </c>
      <c r="AR20" s="70" t="s">
        <v>366</v>
      </c>
      <c r="AS20" s="75" t="s">
        <v>232</v>
      </c>
      <c r="AT20" s="75" t="s">
        <v>219</v>
      </c>
      <c r="AU20" s="70" t="s">
        <v>367</v>
      </c>
      <c r="AV20" s="75" t="s">
        <v>368</v>
      </c>
      <c r="AW20" s="86">
        <v>0</v>
      </c>
      <c r="AX20" s="70" t="s">
        <v>149</v>
      </c>
      <c r="AY20" s="75" t="s">
        <v>369</v>
      </c>
      <c r="AZ20" s="87" t="s">
        <v>370</v>
      </c>
      <c r="BA20" s="75" t="s">
        <v>371</v>
      </c>
      <c r="BB20" s="75">
        <v>0</v>
      </c>
      <c r="BC20" s="85">
        <v>4</v>
      </c>
      <c r="BD20" s="75">
        <v>40</v>
      </c>
      <c r="BE20" s="76">
        <v>0</v>
      </c>
      <c r="BF20" s="88" t="s">
        <v>372</v>
      </c>
      <c r="BG20" s="76">
        <v>0</v>
      </c>
      <c r="BH20" s="75">
        <v>3</v>
      </c>
      <c r="BI20" s="70" t="s">
        <v>373</v>
      </c>
      <c r="BJ20" s="75" t="s">
        <v>374</v>
      </c>
      <c r="BL20" s="53">
        <v>13</v>
      </c>
      <c r="BM20" s="95">
        <v>2102</v>
      </c>
      <c r="BN20" s="90">
        <v>2003</v>
      </c>
      <c r="BO20" s="53">
        <v>0</v>
      </c>
    </row>
    <row r="21" s="54" customFormat="1" ht="15" customHeight="1" spans="1:70">
      <c r="A21" s="156">
        <v>28</v>
      </c>
      <c r="B21" s="64">
        <v>0</v>
      </c>
      <c r="C21" s="71" t="s">
        <v>375</v>
      </c>
      <c r="D21" s="91" t="s">
        <v>156</v>
      </c>
      <c r="E21" s="91">
        <f t="shared" si="4"/>
        <v>29</v>
      </c>
      <c r="F21" s="157">
        <v>18</v>
      </c>
      <c r="G21" s="71">
        <f t="shared" si="0"/>
        <v>38</v>
      </c>
      <c r="H21" s="71">
        <v>28</v>
      </c>
      <c r="I21" s="71">
        <v>28</v>
      </c>
      <c r="J21" s="71">
        <v>28</v>
      </c>
      <c r="K21" s="71">
        <v>1450</v>
      </c>
      <c r="L21" s="71">
        <v>2900</v>
      </c>
      <c r="M21" s="71">
        <v>4350</v>
      </c>
      <c r="N21" s="79" t="s">
        <v>376</v>
      </c>
      <c r="O21" s="79" t="s">
        <v>377</v>
      </c>
      <c r="P21" s="79" t="s">
        <v>378</v>
      </c>
      <c r="Q21" s="79" t="s">
        <v>361</v>
      </c>
      <c r="R21" s="79" t="s">
        <v>362</v>
      </c>
      <c r="S21" s="79" t="s">
        <v>363</v>
      </c>
      <c r="T21" s="83" t="s">
        <v>137</v>
      </c>
      <c r="U21" s="64">
        <v>3</v>
      </c>
      <c r="V21" s="64" t="s">
        <v>364</v>
      </c>
      <c r="W21" s="83" t="s">
        <v>139</v>
      </c>
      <c r="X21" s="83" t="s">
        <v>365</v>
      </c>
      <c r="Y21" s="75" t="s">
        <v>141</v>
      </c>
      <c r="Z21" s="75">
        <v>3</v>
      </c>
      <c r="AA21" s="75">
        <f t="shared" si="7"/>
        <v>3</v>
      </c>
      <c r="AB21" s="75">
        <f t="shared" si="5"/>
        <v>24</v>
      </c>
      <c r="AC21" s="75">
        <f t="shared" si="6"/>
        <v>39</v>
      </c>
      <c r="AD21" s="75">
        <v>250</v>
      </c>
      <c r="AE21" s="76">
        <f t="shared" si="8"/>
        <v>17</v>
      </c>
      <c r="AF21" s="76">
        <f t="shared" si="2"/>
        <v>15000</v>
      </c>
      <c r="AG21" s="76">
        <f t="shared" si="3"/>
        <v>28000</v>
      </c>
      <c r="AH21" s="76">
        <f>出怪成长!C19</f>
        <v>8</v>
      </c>
      <c r="AI21" s="76" t="str">
        <f>出怪成长!D19</f>
        <v>3#30001#1|6#30002#1|8#30001,30004#1</v>
      </c>
      <c r="AJ21" s="85" t="str">
        <f>出怪数量!Z20</f>
        <v>1:2:1|1:5:1|2:10:1|2:5:1#2:5:1#3:5:1|3:4:1#2:4:1#3:4:1|3:5:1#2:5:1#3:5:1|1:6:1#2:6:1#3:6:1|2:7:1#2:7:1#3:7:1</v>
      </c>
      <c r="AK21" s="76" t="str">
        <f>出怪成长!E19</f>
        <v>1:10031,10028|2:10031,10028,10027|3:10031,10028,10027</v>
      </c>
      <c r="AL21" s="76" t="str">
        <f>出怪成长!F19</f>
        <v>3#1#1.1|6#2#1.8|8#3#2.3</v>
      </c>
      <c r="AM21" s="85" t="str">
        <f>每波成长!G22</f>
        <v>34#9#6</v>
      </c>
      <c r="AN21" s="75" t="s">
        <v>196</v>
      </c>
      <c r="AO21" s="86">
        <v>0</v>
      </c>
      <c r="AP21" s="75" t="s">
        <v>179</v>
      </c>
      <c r="AQ21" s="75">
        <v>2</v>
      </c>
      <c r="AR21" s="70" t="s">
        <v>379</v>
      </c>
      <c r="AS21" s="75" t="s">
        <v>232</v>
      </c>
      <c r="AT21" s="75" t="s">
        <v>199</v>
      </c>
      <c r="AU21" s="70" t="s">
        <v>380</v>
      </c>
      <c r="AV21" s="75" t="s">
        <v>381</v>
      </c>
      <c r="AW21" s="86">
        <v>0</v>
      </c>
      <c r="AX21" s="70" t="s">
        <v>149</v>
      </c>
      <c r="AY21" s="75" t="s">
        <v>369</v>
      </c>
      <c r="AZ21" s="87" t="s">
        <v>370</v>
      </c>
      <c r="BA21" s="75" t="s">
        <v>382</v>
      </c>
      <c r="BB21" s="75">
        <v>0</v>
      </c>
      <c r="BC21" s="76">
        <v>5</v>
      </c>
      <c r="BD21" s="75">
        <v>50</v>
      </c>
      <c r="BE21" s="76" t="s">
        <v>383</v>
      </c>
      <c r="BF21" s="88" t="s">
        <v>384</v>
      </c>
      <c r="BG21" s="76">
        <v>0</v>
      </c>
      <c r="BH21" s="75">
        <v>3</v>
      </c>
      <c r="BI21" s="70" t="s">
        <v>385</v>
      </c>
      <c r="BJ21" s="99" t="str">
        <f t="shared" ref="BJ21:BJ27" si="10">BJ20</f>
        <v>MapSenLin</v>
      </c>
      <c r="BL21" s="54">
        <v>14</v>
      </c>
      <c r="BM21" s="93">
        <v>2103</v>
      </c>
      <c r="BN21" s="94">
        <v>2003</v>
      </c>
      <c r="BO21" s="54">
        <v>2004</v>
      </c>
      <c r="BR21" s="54" t="s">
        <v>386</v>
      </c>
    </row>
    <row r="22" s="55" customFormat="1" ht="15" customHeight="1" spans="1:70">
      <c r="A22" s="156">
        <v>29</v>
      </c>
      <c r="B22" s="64">
        <v>0</v>
      </c>
      <c r="C22" s="71" t="s">
        <v>387</v>
      </c>
      <c r="D22" s="64" t="s">
        <v>174</v>
      </c>
      <c r="E22" s="91">
        <f t="shared" si="4"/>
        <v>30</v>
      </c>
      <c r="F22" s="157">
        <v>19</v>
      </c>
      <c r="G22" s="71">
        <f t="shared" si="0"/>
        <v>39</v>
      </c>
      <c r="H22" s="71">
        <v>28</v>
      </c>
      <c r="I22" s="71">
        <v>28</v>
      </c>
      <c r="J22" s="71">
        <v>28</v>
      </c>
      <c r="K22" s="71">
        <v>1570</v>
      </c>
      <c r="L22" s="71">
        <v>3140</v>
      </c>
      <c r="M22" s="71">
        <v>4710</v>
      </c>
      <c r="N22" s="79" t="s">
        <v>388</v>
      </c>
      <c r="O22" s="79" t="s">
        <v>389</v>
      </c>
      <c r="P22" s="79" t="s">
        <v>390</v>
      </c>
      <c r="Q22" s="79" t="s">
        <v>391</v>
      </c>
      <c r="R22" s="79" t="s">
        <v>392</v>
      </c>
      <c r="S22" s="79" t="s">
        <v>393</v>
      </c>
      <c r="T22" s="83" t="s">
        <v>137</v>
      </c>
      <c r="U22" s="64">
        <v>3</v>
      </c>
      <c r="V22" s="64" t="s">
        <v>394</v>
      </c>
      <c r="W22" s="83" t="s">
        <v>139</v>
      </c>
      <c r="X22" s="83" t="s">
        <v>395</v>
      </c>
      <c r="Y22" s="75" t="s">
        <v>141</v>
      </c>
      <c r="Z22" s="75">
        <v>3</v>
      </c>
      <c r="AA22" s="75">
        <f t="shared" si="7"/>
        <v>4</v>
      </c>
      <c r="AB22" s="75">
        <f t="shared" si="5"/>
        <v>26</v>
      </c>
      <c r="AC22" s="75">
        <f t="shared" si="6"/>
        <v>41</v>
      </c>
      <c r="AD22" s="75">
        <v>250</v>
      </c>
      <c r="AE22" s="76">
        <f t="shared" si="8"/>
        <v>17</v>
      </c>
      <c r="AF22" s="76">
        <f t="shared" si="2"/>
        <v>15000</v>
      </c>
      <c r="AG22" s="76">
        <f t="shared" si="3"/>
        <v>28000</v>
      </c>
      <c r="AH22" s="76">
        <f>出怪成长!C20</f>
        <v>8</v>
      </c>
      <c r="AI22" s="76" t="str">
        <f>出怪成长!D20</f>
        <v>3#30001#1|6#30002#1|8#30001,30004#1</v>
      </c>
      <c r="AJ22" s="85" t="str">
        <f>出怪数量!Z21</f>
        <v>1:2:1|1:5:1|2:10:1|2:5:1#2:5:1#3:5:1|3:4:1#2:4:1#3:4:1|3:5:1#2:5:1#3:5:1|1:6:1#2:6:1#3:6:1|2:7:1#2:7:1#3:7:1</v>
      </c>
      <c r="AK22" s="76" t="str">
        <f>出怪成长!E20</f>
        <v>1:10031,10028|2:10031,10028,10027|3:10037,10038,10029</v>
      </c>
      <c r="AL22" s="76" t="str">
        <f>出怪成长!F20</f>
        <v>3#1#1.1|6#2#1.8|8#3#2.3</v>
      </c>
      <c r="AM22" s="85" t="str">
        <f>每波成长!G23</f>
        <v>36#10#7</v>
      </c>
      <c r="AN22" s="75" t="s">
        <v>216</v>
      </c>
      <c r="AO22" s="86">
        <v>0</v>
      </c>
      <c r="AP22" s="75" t="s">
        <v>179</v>
      </c>
      <c r="AQ22" s="75">
        <v>2</v>
      </c>
      <c r="AR22" s="70" t="s">
        <v>396</v>
      </c>
      <c r="AS22" s="75" t="s">
        <v>232</v>
      </c>
      <c r="AT22" s="75" t="s">
        <v>219</v>
      </c>
      <c r="AU22" s="70" t="s">
        <v>397</v>
      </c>
      <c r="AV22" s="75" t="s">
        <v>398</v>
      </c>
      <c r="AW22" s="86">
        <v>0</v>
      </c>
      <c r="AX22" s="70" t="s">
        <v>149</v>
      </c>
      <c r="AY22" s="75" t="s">
        <v>369</v>
      </c>
      <c r="AZ22" s="87" t="s">
        <v>370</v>
      </c>
      <c r="BA22" s="75" t="s">
        <v>399</v>
      </c>
      <c r="BB22" s="75">
        <v>0</v>
      </c>
      <c r="BC22" s="85">
        <v>6</v>
      </c>
      <c r="BD22" s="75">
        <v>60</v>
      </c>
      <c r="BE22" s="76" t="s">
        <v>400</v>
      </c>
      <c r="BF22" s="88" t="s">
        <v>401</v>
      </c>
      <c r="BG22" s="76">
        <v>0</v>
      </c>
      <c r="BH22" s="75">
        <v>3</v>
      </c>
      <c r="BI22" s="70" t="s">
        <v>402</v>
      </c>
      <c r="BJ22" s="99" t="str">
        <f t="shared" si="10"/>
        <v>MapSenLin</v>
      </c>
      <c r="BL22" s="55">
        <v>15</v>
      </c>
      <c r="BM22" s="97">
        <v>2104</v>
      </c>
      <c r="BN22" s="98">
        <v>2003</v>
      </c>
      <c r="BO22" s="55">
        <v>0</v>
      </c>
    </row>
    <row r="23" s="54" customFormat="1" ht="15" customHeight="1" spans="1:70">
      <c r="A23" s="156">
        <v>30</v>
      </c>
      <c r="B23" s="64">
        <v>0</v>
      </c>
      <c r="C23" s="71" t="s">
        <v>403</v>
      </c>
      <c r="D23" s="91" t="s">
        <v>189</v>
      </c>
      <c r="E23" s="91">
        <f t="shared" si="4"/>
        <v>31</v>
      </c>
      <c r="F23" s="157">
        <v>20</v>
      </c>
      <c r="G23" s="71">
        <f t="shared" si="0"/>
        <v>40</v>
      </c>
      <c r="H23" s="71">
        <v>28</v>
      </c>
      <c r="I23" s="71">
        <v>28</v>
      </c>
      <c r="J23" s="71">
        <v>28</v>
      </c>
      <c r="K23" s="71">
        <v>1780</v>
      </c>
      <c r="L23" s="71">
        <v>3560</v>
      </c>
      <c r="M23" s="71">
        <v>5340</v>
      </c>
      <c r="N23" s="79" t="s">
        <v>404</v>
      </c>
      <c r="O23" s="79" t="s">
        <v>405</v>
      </c>
      <c r="P23" s="79" t="s">
        <v>406</v>
      </c>
      <c r="Q23" s="79" t="s">
        <v>391</v>
      </c>
      <c r="R23" s="79" t="s">
        <v>392</v>
      </c>
      <c r="S23" s="79" t="s">
        <v>393</v>
      </c>
      <c r="T23" s="83" t="s">
        <v>137</v>
      </c>
      <c r="U23" s="64">
        <v>3</v>
      </c>
      <c r="V23" s="64" t="s">
        <v>394</v>
      </c>
      <c r="W23" s="83" t="s">
        <v>139</v>
      </c>
      <c r="X23" s="83" t="s">
        <v>395</v>
      </c>
      <c r="Y23" s="75" t="s">
        <v>141</v>
      </c>
      <c r="Z23" s="75">
        <v>3</v>
      </c>
      <c r="AA23" s="75">
        <f t="shared" si="7"/>
        <v>5</v>
      </c>
      <c r="AB23" s="75">
        <f t="shared" si="5"/>
        <v>28</v>
      </c>
      <c r="AC23" s="75">
        <f t="shared" si="6"/>
        <v>43</v>
      </c>
      <c r="AD23" s="75">
        <v>250</v>
      </c>
      <c r="AE23" s="76">
        <f t="shared" si="8"/>
        <v>17</v>
      </c>
      <c r="AF23" s="76">
        <f t="shared" si="2"/>
        <v>15000</v>
      </c>
      <c r="AG23" s="76">
        <f t="shared" si="3"/>
        <v>28000</v>
      </c>
      <c r="AH23" s="76">
        <f>出怪成长!C21</f>
        <v>9</v>
      </c>
      <c r="AI23" s="76" t="str">
        <f>出怪成长!D21</f>
        <v>3#30001#1|7#30002#1|9#30001,30004#1</v>
      </c>
      <c r="AJ23" s="85" t="str">
        <f>出怪数量!Z22</f>
        <v>1:2:1|1:5:1|2:10:1|2:5:1#2:5:1#3:5:2|3:4:2#2:4:1#3:4:2|3:5:2#2:5:1#3:5:2|1:6:1#2:6:1#3:6:2|2:7:1#2:7:1#3:7:2|1:10:1#2:10:1#3:10:2</v>
      </c>
      <c r="AK23" s="76" t="str">
        <f>出怪成长!E21</f>
        <v>1:10031,10028|2:10037,10038,10029|3:10037,10038,10029</v>
      </c>
      <c r="AL23" s="76" t="str">
        <f>出怪成长!F21</f>
        <v>4#1#1.2|7#2#2|9#3#2.6</v>
      </c>
      <c r="AM23" s="85" t="str">
        <f>每波成长!G24</f>
        <v>37#10#7</v>
      </c>
      <c r="AN23" s="75" t="s">
        <v>196</v>
      </c>
      <c r="AO23" s="86">
        <v>0</v>
      </c>
      <c r="AP23" s="75" t="s">
        <v>179</v>
      </c>
      <c r="AQ23" s="75">
        <v>2</v>
      </c>
      <c r="AR23" s="70" t="s">
        <v>407</v>
      </c>
      <c r="AS23" s="75" t="s">
        <v>232</v>
      </c>
      <c r="AT23" s="75" t="s">
        <v>199</v>
      </c>
      <c r="AU23" s="70" t="s">
        <v>408</v>
      </c>
      <c r="AV23" s="75" t="s">
        <v>409</v>
      </c>
      <c r="AW23" s="86">
        <v>0</v>
      </c>
      <c r="AX23" s="70" t="s">
        <v>149</v>
      </c>
      <c r="AY23" s="75" t="s">
        <v>369</v>
      </c>
      <c r="AZ23" s="87" t="s">
        <v>370</v>
      </c>
      <c r="BA23" s="75" t="s">
        <v>410</v>
      </c>
      <c r="BB23" s="75">
        <v>0</v>
      </c>
      <c r="BC23" s="76">
        <v>7</v>
      </c>
      <c r="BD23" s="75">
        <v>70</v>
      </c>
      <c r="BE23" s="76" t="s">
        <v>411</v>
      </c>
      <c r="BF23" s="88" t="s">
        <v>412</v>
      </c>
      <c r="BG23" s="76">
        <v>0</v>
      </c>
      <c r="BH23" s="75">
        <v>3</v>
      </c>
      <c r="BI23" s="70" t="s">
        <v>413</v>
      </c>
      <c r="BJ23" s="99" t="str">
        <f t="shared" si="10"/>
        <v>MapSenLin</v>
      </c>
      <c r="BL23" s="54">
        <v>16</v>
      </c>
      <c r="BM23" s="93">
        <v>2105</v>
      </c>
      <c r="BN23" s="94">
        <v>2003</v>
      </c>
      <c r="BO23" s="54">
        <v>0</v>
      </c>
      <c r="BR23" s="54" t="s">
        <v>414</v>
      </c>
    </row>
    <row r="24" s="53" customFormat="1" ht="15" customHeight="1" spans="1:70">
      <c r="A24" s="156">
        <v>31</v>
      </c>
      <c r="B24" s="64">
        <v>0</v>
      </c>
      <c r="C24" s="71" t="s">
        <v>415</v>
      </c>
      <c r="D24" s="64" t="s">
        <v>130</v>
      </c>
      <c r="E24" s="91">
        <f t="shared" si="4"/>
        <v>32</v>
      </c>
      <c r="F24" s="157">
        <v>21</v>
      </c>
      <c r="G24" s="71">
        <f t="shared" si="0"/>
        <v>41</v>
      </c>
      <c r="H24" s="71">
        <v>32</v>
      </c>
      <c r="I24" s="71">
        <v>32</v>
      </c>
      <c r="J24" s="71">
        <v>32</v>
      </c>
      <c r="K24" s="71">
        <v>1980</v>
      </c>
      <c r="L24" s="71">
        <v>3960</v>
      </c>
      <c r="M24" s="71">
        <v>5940</v>
      </c>
      <c r="N24" s="79" t="s">
        <v>416</v>
      </c>
      <c r="O24" s="79" t="s">
        <v>417</v>
      </c>
      <c r="P24" s="79" t="s">
        <v>418</v>
      </c>
      <c r="Q24" s="79" t="s">
        <v>419</v>
      </c>
      <c r="R24" s="79" t="s">
        <v>420</v>
      </c>
      <c r="S24" s="79" t="s">
        <v>421</v>
      </c>
      <c r="T24" s="83" t="s">
        <v>137</v>
      </c>
      <c r="U24" s="64">
        <v>3</v>
      </c>
      <c r="V24" s="64" t="s">
        <v>422</v>
      </c>
      <c r="W24" s="83" t="s">
        <v>139</v>
      </c>
      <c r="X24" s="83" t="s">
        <v>423</v>
      </c>
      <c r="Y24" s="75" t="s">
        <v>141</v>
      </c>
      <c r="Z24" s="75">
        <v>3</v>
      </c>
      <c r="AA24" s="75">
        <f t="shared" si="7"/>
        <v>3</v>
      </c>
      <c r="AB24" s="75">
        <f t="shared" si="5"/>
        <v>27</v>
      </c>
      <c r="AC24" s="75">
        <f t="shared" si="6"/>
        <v>42</v>
      </c>
      <c r="AD24" s="75">
        <v>250</v>
      </c>
      <c r="AE24" s="76">
        <f t="shared" si="8"/>
        <v>17</v>
      </c>
      <c r="AF24" s="76">
        <f t="shared" si="2"/>
        <v>15000</v>
      </c>
      <c r="AG24" s="76">
        <f t="shared" si="3"/>
        <v>28000</v>
      </c>
      <c r="AH24" s="76">
        <f>出怪成长!C22</f>
        <v>8</v>
      </c>
      <c r="AI24" s="76" t="str">
        <f>出怪成长!D22</f>
        <v>3#30001#1|6#30002#1|8#30001,30004#1</v>
      </c>
      <c r="AJ24" s="85" t="str">
        <f>出怪数量!Z23</f>
        <v>1:3:1|1:6:1|2:11:1|2:5:1#2:5:1#3:5:2|3:4:2#2:4:1#3:4:2|3:5:2#2:5:1#3:5:2|1:6:1#2:6:1#3:6:2|2:7:1#2:7:1#3:7:2</v>
      </c>
      <c r="AK24" s="76" t="str">
        <f>出怪成长!E22</f>
        <v>1:10037,10038|2:10037,10038,10029|3:10037,10038,10036</v>
      </c>
      <c r="AL24" s="76" t="str">
        <f>出怪成长!F22</f>
        <v>3#1#1.2|6#2#2|8#3#2.6</v>
      </c>
      <c r="AM24" s="85" t="str">
        <f>每波成长!G25</f>
        <v>34#9#6</v>
      </c>
      <c r="AN24" s="75" t="s">
        <v>216</v>
      </c>
      <c r="AO24" s="86">
        <v>0</v>
      </c>
      <c r="AP24" s="75" t="s">
        <v>179</v>
      </c>
      <c r="AQ24" s="75">
        <v>2</v>
      </c>
      <c r="AR24" s="70" t="s">
        <v>424</v>
      </c>
      <c r="AS24" s="75" t="s">
        <v>232</v>
      </c>
      <c r="AT24" s="75" t="s">
        <v>219</v>
      </c>
      <c r="AU24" s="70" t="s">
        <v>425</v>
      </c>
      <c r="AV24" s="75" t="s">
        <v>426</v>
      </c>
      <c r="AW24" s="86">
        <v>0</v>
      </c>
      <c r="AX24" s="70" t="s">
        <v>149</v>
      </c>
      <c r="AY24" s="75" t="s">
        <v>369</v>
      </c>
      <c r="AZ24" s="87" t="s">
        <v>370</v>
      </c>
      <c r="BA24" s="75" t="s">
        <v>427</v>
      </c>
      <c r="BB24" s="75">
        <v>0</v>
      </c>
      <c r="BC24" s="85">
        <v>8</v>
      </c>
      <c r="BD24" s="75">
        <v>80</v>
      </c>
      <c r="BE24" s="76" t="s">
        <v>428</v>
      </c>
      <c r="BF24" s="88" t="s">
        <v>429</v>
      </c>
      <c r="BG24" s="76">
        <v>0</v>
      </c>
      <c r="BH24" s="75">
        <v>3</v>
      </c>
      <c r="BI24" s="70" t="s">
        <v>430</v>
      </c>
      <c r="BJ24" s="99" t="str">
        <f t="shared" si="10"/>
        <v>MapSenLin</v>
      </c>
      <c r="BL24" s="53">
        <v>17</v>
      </c>
      <c r="BM24" s="95">
        <v>2106</v>
      </c>
      <c r="BN24" s="90">
        <v>2004</v>
      </c>
      <c r="BO24" s="53">
        <v>0</v>
      </c>
    </row>
    <row r="25" s="54" customFormat="1" ht="15" customHeight="1" spans="1:70">
      <c r="A25" s="156">
        <v>32</v>
      </c>
      <c r="B25" s="64">
        <v>0</v>
      </c>
      <c r="C25" s="71" t="s">
        <v>431</v>
      </c>
      <c r="D25" s="91" t="s">
        <v>156</v>
      </c>
      <c r="E25" s="91">
        <f t="shared" si="4"/>
        <v>33</v>
      </c>
      <c r="F25" s="157">
        <v>22</v>
      </c>
      <c r="G25" s="71">
        <f t="shared" si="0"/>
        <v>42</v>
      </c>
      <c r="H25" s="71">
        <v>32</v>
      </c>
      <c r="I25" s="71">
        <v>32</v>
      </c>
      <c r="J25" s="71">
        <v>32</v>
      </c>
      <c r="K25" s="71">
        <v>2200</v>
      </c>
      <c r="L25" s="71">
        <v>4400</v>
      </c>
      <c r="M25" s="71">
        <v>6600</v>
      </c>
      <c r="N25" s="79" t="s">
        <v>432</v>
      </c>
      <c r="O25" s="79" t="s">
        <v>433</v>
      </c>
      <c r="P25" s="79" t="s">
        <v>434</v>
      </c>
      <c r="Q25" s="79" t="s">
        <v>419</v>
      </c>
      <c r="R25" s="79" t="s">
        <v>420</v>
      </c>
      <c r="S25" s="79" t="s">
        <v>421</v>
      </c>
      <c r="T25" s="83" t="s">
        <v>137</v>
      </c>
      <c r="U25" s="64">
        <v>3</v>
      </c>
      <c r="V25" s="64" t="s">
        <v>422</v>
      </c>
      <c r="W25" s="83" t="s">
        <v>139</v>
      </c>
      <c r="X25" s="83" t="s">
        <v>423</v>
      </c>
      <c r="Y25" s="75" t="s">
        <v>141</v>
      </c>
      <c r="Z25" s="75">
        <v>3</v>
      </c>
      <c r="AA25" s="75">
        <f t="shared" si="7"/>
        <v>4</v>
      </c>
      <c r="AB25" s="75">
        <f t="shared" si="5"/>
        <v>29</v>
      </c>
      <c r="AC25" s="75">
        <f t="shared" si="6"/>
        <v>44</v>
      </c>
      <c r="AD25" s="75">
        <v>250</v>
      </c>
      <c r="AE25" s="76">
        <f t="shared" si="8"/>
        <v>17</v>
      </c>
      <c r="AF25" s="76">
        <f t="shared" si="2"/>
        <v>15000</v>
      </c>
      <c r="AG25" s="76">
        <f t="shared" si="3"/>
        <v>28000</v>
      </c>
      <c r="AH25" s="76">
        <f>出怪成长!C23</f>
        <v>8</v>
      </c>
      <c r="AI25" s="76" t="str">
        <f>出怪成长!D23</f>
        <v>3#30001#1|6#30002#1|8#30001,30004#1</v>
      </c>
      <c r="AJ25" s="85" t="str">
        <f>出怪数量!Z24</f>
        <v>1:3:1|1:6:1|2:11:1|2:5:1#2:5:1#3:5:2|3:4:2#2:4:1#3:4:2|3:5:2#2:5:1#3:5:2|1:6:1#2:6:1#3:6:2|2:7:1#2:7:1#3:7:2</v>
      </c>
      <c r="AK25" s="76" t="str">
        <f>出怪成长!E23</f>
        <v>1:10037,10038|2:10037,10038,10036|3:10040,10041,10036</v>
      </c>
      <c r="AL25" s="76" t="str">
        <f>出怪成长!F23</f>
        <v>3#1#1.2|6#2#2|8#3#2.6</v>
      </c>
      <c r="AM25" s="85" t="str">
        <f>每波成长!G26</f>
        <v>36#10#7</v>
      </c>
      <c r="AN25" s="75" t="s">
        <v>196</v>
      </c>
      <c r="AO25" s="86">
        <v>0</v>
      </c>
      <c r="AP25" s="75" t="s">
        <v>179</v>
      </c>
      <c r="AQ25" s="75">
        <v>2</v>
      </c>
      <c r="AR25" s="70" t="s">
        <v>435</v>
      </c>
      <c r="AS25" s="75" t="s">
        <v>232</v>
      </c>
      <c r="AT25" s="75" t="s">
        <v>199</v>
      </c>
      <c r="AU25" s="70" t="s">
        <v>436</v>
      </c>
      <c r="AV25" s="75" t="s">
        <v>437</v>
      </c>
      <c r="AW25" s="86">
        <v>0</v>
      </c>
      <c r="AX25" s="70" t="s">
        <v>149</v>
      </c>
      <c r="AY25" s="75" t="s">
        <v>369</v>
      </c>
      <c r="AZ25" s="87" t="s">
        <v>370</v>
      </c>
      <c r="BA25" s="75" t="s">
        <v>438</v>
      </c>
      <c r="BB25" s="75">
        <v>0</v>
      </c>
      <c r="BC25" s="76">
        <v>9</v>
      </c>
      <c r="BD25" s="75">
        <v>90</v>
      </c>
      <c r="BE25" s="76" t="s">
        <v>439</v>
      </c>
      <c r="BF25" s="88" t="s">
        <v>440</v>
      </c>
      <c r="BG25" s="76">
        <v>0</v>
      </c>
      <c r="BH25" s="75">
        <v>3</v>
      </c>
      <c r="BI25" s="70" t="s">
        <v>441</v>
      </c>
      <c r="BJ25" s="99" t="str">
        <f t="shared" si="10"/>
        <v>MapSenLin</v>
      </c>
      <c r="BL25" s="54">
        <v>18</v>
      </c>
      <c r="BM25" s="93">
        <v>2107</v>
      </c>
      <c r="BN25" s="94">
        <v>2004</v>
      </c>
      <c r="BO25" s="54">
        <v>2005</v>
      </c>
      <c r="BR25" s="54" t="s">
        <v>442</v>
      </c>
    </row>
    <row r="26" s="53" customFormat="1" ht="15" customHeight="1" spans="1:70">
      <c r="A26" s="156">
        <v>33</v>
      </c>
      <c r="B26" s="64">
        <v>0</v>
      </c>
      <c r="C26" s="71" t="s">
        <v>443</v>
      </c>
      <c r="D26" s="64" t="s">
        <v>174</v>
      </c>
      <c r="E26" s="91">
        <f t="shared" si="4"/>
        <v>34</v>
      </c>
      <c r="F26" s="157">
        <v>23</v>
      </c>
      <c r="G26" s="71">
        <f t="shared" si="0"/>
        <v>43</v>
      </c>
      <c r="H26" s="71">
        <v>32</v>
      </c>
      <c r="I26" s="71">
        <v>32</v>
      </c>
      <c r="J26" s="71">
        <v>32</v>
      </c>
      <c r="K26" s="71">
        <v>2380</v>
      </c>
      <c r="L26" s="71">
        <v>4760</v>
      </c>
      <c r="M26" s="71">
        <v>7140</v>
      </c>
      <c r="N26" s="79" t="s">
        <v>444</v>
      </c>
      <c r="O26" s="79" t="s">
        <v>445</v>
      </c>
      <c r="P26" s="79" t="s">
        <v>446</v>
      </c>
      <c r="Q26" s="79" t="s">
        <v>419</v>
      </c>
      <c r="R26" s="79" t="s">
        <v>420</v>
      </c>
      <c r="S26" s="79" t="s">
        <v>421</v>
      </c>
      <c r="T26" s="83" t="s">
        <v>137</v>
      </c>
      <c r="U26" s="64">
        <v>3</v>
      </c>
      <c r="V26" s="64" t="s">
        <v>422</v>
      </c>
      <c r="W26" s="83" t="s">
        <v>139</v>
      </c>
      <c r="X26" s="83" t="s">
        <v>447</v>
      </c>
      <c r="Y26" s="75" t="s">
        <v>141</v>
      </c>
      <c r="Z26" s="75">
        <v>3</v>
      </c>
      <c r="AA26" s="75">
        <f t="shared" si="7"/>
        <v>5</v>
      </c>
      <c r="AB26" s="75">
        <f t="shared" si="5"/>
        <v>31</v>
      </c>
      <c r="AC26" s="75">
        <v>55</v>
      </c>
      <c r="AD26" s="75">
        <v>250</v>
      </c>
      <c r="AE26" s="76">
        <f t="shared" si="8"/>
        <v>17</v>
      </c>
      <c r="AF26" s="76">
        <f t="shared" si="2"/>
        <v>15000</v>
      </c>
      <c r="AG26" s="76">
        <f t="shared" si="3"/>
        <v>28000</v>
      </c>
      <c r="AH26" s="76">
        <f>出怪成长!C24</f>
        <v>9</v>
      </c>
      <c r="AI26" s="76" t="str">
        <f>出怪成长!D24</f>
        <v>3#30001#1|7#30002#1|9#30001,30004#1</v>
      </c>
      <c r="AJ26" s="85" t="str">
        <f>出怪数量!Z25</f>
        <v>1:3:1|1:6:1|2:11:1|2:5:1#2:5:1#3:5:2|3:4:2#2:4:1#3:4:2|3:5:2#2:5:1#3:5:2|4:6:2#2:6:1#3:6:2|4:7:2#2:7:1#3:7:2|1:10:1#2:10:1#3:10:2</v>
      </c>
      <c r="AK26" s="76" t="str">
        <f>出怪成长!E24</f>
        <v>1:10037,10038|2:10040,10041,10036|3:10040,10041,10036</v>
      </c>
      <c r="AL26" s="76" t="str">
        <f>出怪成长!F24</f>
        <v>4#1#1.2|7#2#2|9#3#2.6</v>
      </c>
      <c r="AM26" s="85" t="str">
        <f>每波成长!G27</f>
        <v>37#10#7</v>
      </c>
      <c r="AN26" s="75" t="s">
        <v>196</v>
      </c>
      <c r="AO26" s="86">
        <v>0</v>
      </c>
      <c r="AP26" s="75" t="s">
        <v>179</v>
      </c>
      <c r="AQ26" s="75">
        <v>2</v>
      </c>
      <c r="AR26" s="70" t="s">
        <v>448</v>
      </c>
      <c r="AS26" s="75" t="s">
        <v>232</v>
      </c>
      <c r="AT26" s="75" t="s">
        <v>199</v>
      </c>
      <c r="AU26" s="70" t="s">
        <v>449</v>
      </c>
      <c r="AV26" s="75" t="s">
        <v>426</v>
      </c>
      <c r="AW26" s="86">
        <v>0</v>
      </c>
      <c r="AX26" s="70" t="s">
        <v>149</v>
      </c>
      <c r="AY26" s="75" t="s">
        <v>369</v>
      </c>
      <c r="AZ26" s="87" t="s">
        <v>370</v>
      </c>
      <c r="BA26" s="75" t="s">
        <v>427</v>
      </c>
      <c r="BB26" s="75">
        <v>0</v>
      </c>
      <c r="BC26" s="85">
        <v>8</v>
      </c>
      <c r="BD26" s="75">
        <v>80</v>
      </c>
      <c r="BE26" s="76" t="s">
        <v>428</v>
      </c>
      <c r="BF26" s="88" t="s">
        <v>429</v>
      </c>
      <c r="BG26" s="76">
        <v>0</v>
      </c>
      <c r="BH26" s="75">
        <v>3</v>
      </c>
      <c r="BI26" s="70" t="s">
        <v>450</v>
      </c>
      <c r="BJ26" s="99" t="str">
        <f t="shared" si="10"/>
        <v>MapSenLin</v>
      </c>
      <c r="BL26" s="53">
        <v>17</v>
      </c>
      <c r="BM26" s="95">
        <v>2106</v>
      </c>
      <c r="BN26" s="90">
        <v>2004</v>
      </c>
      <c r="BO26" s="53">
        <v>0</v>
      </c>
    </row>
    <row r="27" s="54" customFormat="1" ht="15" customHeight="1" spans="1:70">
      <c r="A27" s="156">
        <v>34</v>
      </c>
      <c r="B27" s="64">
        <v>0</v>
      </c>
      <c r="C27" s="71" t="s">
        <v>451</v>
      </c>
      <c r="D27" s="91" t="s">
        <v>189</v>
      </c>
      <c r="E27" s="91">
        <f t="shared" si="4"/>
        <v>35</v>
      </c>
      <c r="F27" s="157">
        <v>24</v>
      </c>
      <c r="G27" s="71">
        <f t="shared" si="0"/>
        <v>44</v>
      </c>
      <c r="H27" s="71">
        <v>32</v>
      </c>
      <c r="I27" s="71">
        <v>32</v>
      </c>
      <c r="J27" s="71">
        <v>32</v>
      </c>
      <c r="K27" s="71">
        <v>2560</v>
      </c>
      <c r="L27" s="71">
        <v>5120</v>
      </c>
      <c r="M27" s="71">
        <v>7680</v>
      </c>
      <c r="N27" s="79" t="s">
        <v>452</v>
      </c>
      <c r="O27" s="79" t="s">
        <v>453</v>
      </c>
      <c r="P27" s="79" t="s">
        <v>454</v>
      </c>
      <c r="Q27" s="79" t="s">
        <v>455</v>
      </c>
      <c r="R27" s="79" t="s">
        <v>456</v>
      </c>
      <c r="S27" s="79" t="s">
        <v>457</v>
      </c>
      <c r="T27" s="83" t="s">
        <v>137</v>
      </c>
      <c r="U27" s="64">
        <v>3</v>
      </c>
      <c r="V27" s="64" t="s">
        <v>458</v>
      </c>
      <c r="W27" s="83" t="s">
        <v>139</v>
      </c>
      <c r="X27" s="83" t="s">
        <v>447</v>
      </c>
      <c r="Y27" s="75" t="s">
        <v>141</v>
      </c>
      <c r="Z27" s="75">
        <v>3</v>
      </c>
      <c r="AA27" s="75">
        <f t="shared" si="7"/>
        <v>6</v>
      </c>
      <c r="AB27" s="75">
        <v>40</v>
      </c>
      <c r="AC27" s="75">
        <v>65</v>
      </c>
      <c r="AD27" s="75">
        <v>250</v>
      </c>
      <c r="AE27" s="76">
        <f t="shared" si="8"/>
        <v>17</v>
      </c>
      <c r="AF27" s="76">
        <f t="shared" si="2"/>
        <v>15000</v>
      </c>
      <c r="AG27" s="76">
        <f t="shared" si="3"/>
        <v>28000</v>
      </c>
      <c r="AH27" s="76">
        <f>出怪成长!C25</f>
        <v>10</v>
      </c>
      <c r="AI27" s="76" t="str">
        <f>出怪成长!D25</f>
        <v>4#30001#1|8#30002#1|10#30001,30004#1</v>
      </c>
      <c r="AJ27" s="85" t="str">
        <f>出怪数量!Z26</f>
        <v>1:3:1|1:6:1|2:11:1|2:5:1#2:5:1#3:5:2|3:4:2#2:4:1#3:4:2|3:5:2#2:5:1#3:5:2|4:6:2#2:6:1#3:6:2|4:7:2#2:7:1#3:7:2|1:10:1#2:10:1#3:10:2|2:18:1#2:12:1#3:18:2</v>
      </c>
      <c r="AK27" s="76" t="str">
        <f>出怪成长!E25</f>
        <v>1:10040,10041|2:10040,10041,10036|3:10043,10044,10036</v>
      </c>
      <c r="AL27" s="76" t="str">
        <f>出怪成长!F25</f>
        <v>5#1#1.3|8#2#2.2|10#3#2.9</v>
      </c>
      <c r="AM27" s="85" t="str">
        <f>每波成长!G28</f>
        <v>39#11#8</v>
      </c>
      <c r="AN27" s="75" t="s">
        <v>196</v>
      </c>
      <c r="AO27" s="86">
        <v>0</v>
      </c>
      <c r="AP27" s="75" t="s">
        <v>179</v>
      </c>
      <c r="AQ27" s="75">
        <v>2</v>
      </c>
      <c r="AR27" s="70" t="s">
        <v>459</v>
      </c>
      <c r="AS27" s="75" t="s">
        <v>232</v>
      </c>
      <c r="AT27" s="75" t="s">
        <v>199</v>
      </c>
      <c r="AU27" s="70" t="s">
        <v>460</v>
      </c>
      <c r="AV27" s="75" t="s">
        <v>437</v>
      </c>
      <c r="AW27" s="86">
        <v>0</v>
      </c>
      <c r="AX27" s="70" t="s">
        <v>149</v>
      </c>
      <c r="AY27" s="75" t="s">
        <v>369</v>
      </c>
      <c r="AZ27" s="87" t="s">
        <v>370</v>
      </c>
      <c r="BA27" s="75" t="s">
        <v>438</v>
      </c>
      <c r="BB27" s="75">
        <v>0</v>
      </c>
      <c r="BC27" s="76">
        <v>9</v>
      </c>
      <c r="BD27" s="75">
        <v>90</v>
      </c>
      <c r="BE27" s="76" t="s">
        <v>439</v>
      </c>
      <c r="BF27" s="88" t="s">
        <v>440</v>
      </c>
      <c r="BG27" s="76">
        <v>0</v>
      </c>
      <c r="BH27" s="75">
        <v>3</v>
      </c>
      <c r="BI27" s="70" t="s">
        <v>461</v>
      </c>
      <c r="BJ27" s="99" t="str">
        <f t="shared" si="10"/>
        <v>MapSenLin</v>
      </c>
      <c r="BL27" s="54">
        <v>18</v>
      </c>
      <c r="BM27" s="93">
        <v>2107</v>
      </c>
      <c r="BN27" s="94">
        <v>2004</v>
      </c>
      <c r="BO27" s="54">
        <v>2005</v>
      </c>
      <c r="BR27" s="54" t="s">
        <v>442</v>
      </c>
    </row>
    <row r="28" s="53" customFormat="1" ht="15" customHeight="1" spans="1:70">
      <c r="A28" s="156">
        <v>35</v>
      </c>
      <c r="B28" s="64">
        <v>0</v>
      </c>
      <c r="C28" s="71" t="s">
        <v>462</v>
      </c>
      <c r="D28" s="64" t="s">
        <v>130</v>
      </c>
      <c r="E28" s="91">
        <f t="shared" si="4"/>
        <v>36</v>
      </c>
      <c r="F28" s="157">
        <v>25</v>
      </c>
      <c r="G28" s="71">
        <f t="shared" si="0"/>
        <v>45</v>
      </c>
      <c r="H28" s="71">
        <v>33</v>
      </c>
      <c r="I28" s="71">
        <v>33</v>
      </c>
      <c r="J28" s="71">
        <v>33</v>
      </c>
      <c r="K28" s="71">
        <v>2760</v>
      </c>
      <c r="L28" s="71">
        <v>5520</v>
      </c>
      <c r="M28" s="71">
        <v>8280</v>
      </c>
      <c r="N28" s="79" t="s">
        <v>463</v>
      </c>
      <c r="O28" s="79" t="s">
        <v>464</v>
      </c>
      <c r="P28" s="79" t="s">
        <v>465</v>
      </c>
      <c r="Q28" s="79" t="s">
        <v>466</v>
      </c>
      <c r="R28" s="79" t="s">
        <v>467</v>
      </c>
      <c r="S28" s="79" t="s">
        <v>468</v>
      </c>
      <c r="T28" s="83" t="s">
        <v>137</v>
      </c>
      <c r="U28" s="64">
        <v>3</v>
      </c>
      <c r="V28" s="64" t="s">
        <v>469</v>
      </c>
      <c r="W28" s="83" t="s">
        <v>139</v>
      </c>
      <c r="X28" s="83" t="s">
        <v>470</v>
      </c>
      <c r="Y28" s="75" t="s">
        <v>141</v>
      </c>
      <c r="Z28" s="75">
        <v>4</v>
      </c>
      <c r="AA28" s="75">
        <f t="shared" si="7"/>
        <v>6</v>
      </c>
      <c r="AB28" s="75">
        <f t="shared" ref="AB28:AB53" si="11">F28+AA28+Z28</f>
        <v>35</v>
      </c>
      <c r="AC28" s="75">
        <f t="shared" ref="AC28:AC53" si="12">AB28+15</f>
        <v>50</v>
      </c>
      <c r="AD28" s="75">
        <v>250</v>
      </c>
      <c r="AE28" s="76">
        <f t="shared" si="8"/>
        <v>18</v>
      </c>
      <c r="AF28" s="76">
        <f t="shared" si="2"/>
        <v>15000</v>
      </c>
      <c r="AG28" s="76">
        <f t="shared" si="3"/>
        <v>28000</v>
      </c>
      <c r="AH28" s="76">
        <f>出怪成长!C26</f>
        <v>15</v>
      </c>
      <c r="AI28" s="76" t="str">
        <f>出怪成长!D26</f>
        <v>6#30001#1|12#30002#1|15#30001,30004#1</v>
      </c>
      <c r="AJ28" s="85" t="str">
        <f>出怪数量!Z27</f>
        <v>1:2:1|1:5:1|2:10:1|2:5:1#2:5:1#3:5:2|3:5:2#2:5:1#3:5:2|3:6:2#2:6:1#3:6:2|4:7:2#2:7:1#3:7:2|4:9:2#2:9:1#3:9:2|1:12:1#2:12:1#3:12:2|2:21:1#2:14:1#3:21:2</v>
      </c>
      <c r="AK28" s="76" t="s">
        <v>471</v>
      </c>
      <c r="AL28" s="76" t="s">
        <v>472</v>
      </c>
      <c r="AM28" s="85" t="str">
        <f>每波成长!G29</f>
        <v>39#11#8</v>
      </c>
      <c r="AN28" s="75" t="s">
        <v>473</v>
      </c>
      <c r="AO28" s="86">
        <v>0</v>
      </c>
      <c r="AP28" s="75" t="s">
        <v>179</v>
      </c>
      <c r="AQ28" s="75">
        <v>2</v>
      </c>
      <c r="AR28" s="70" t="s">
        <v>474</v>
      </c>
      <c r="AS28" s="75">
        <v>0</v>
      </c>
      <c r="AT28" s="75">
        <v>0</v>
      </c>
      <c r="AU28" s="70" t="s">
        <v>475</v>
      </c>
      <c r="AV28" s="75" t="s">
        <v>476</v>
      </c>
      <c r="AW28" s="86">
        <v>0</v>
      </c>
      <c r="AX28" s="70" t="s">
        <v>149</v>
      </c>
      <c r="AY28" s="75" t="s">
        <v>477</v>
      </c>
      <c r="AZ28" s="87" t="s">
        <v>478</v>
      </c>
      <c r="BA28" s="75" t="s">
        <v>479</v>
      </c>
      <c r="BB28" s="75">
        <v>0</v>
      </c>
      <c r="BC28" s="85">
        <v>11</v>
      </c>
      <c r="BD28" s="75">
        <v>110</v>
      </c>
      <c r="BE28" s="76">
        <v>0</v>
      </c>
      <c r="BF28" s="88" t="s">
        <v>480</v>
      </c>
      <c r="BG28" s="76">
        <v>0</v>
      </c>
      <c r="BH28" s="75">
        <v>3</v>
      </c>
      <c r="BI28" s="70" t="s">
        <v>481</v>
      </c>
      <c r="BJ28" s="70" t="s">
        <v>481</v>
      </c>
      <c r="BL28" s="53">
        <v>19</v>
      </c>
      <c r="BM28" s="95">
        <v>5102</v>
      </c>
      <c r="BN28" s="90">
        <v>5004</v>
      </c>
      <c r="BO28" s="53">
        <v>0</v>
      </c>
    </row>
    <row r="29" s="53" customFormat="1" ht="15" customHeight="1" spans="1:70">
      <c r="A29" s="156">
        <v>36</v>
      </c>
      <c r="B29" s="64">
        <v>0</v>
      </c>
      <c r="C29" s="71" t="s">
        <v>482</v>
      </c>
      <c r="D29" s="91" t="s">
        <v>156</v>
      </c>
      <c r="E29" s="91">
        <f t="shared" si="4"/>
        <v>37</v>
      </c>
      <c r="F29" s="157">
        <v>26</v>
      </c>
      <c r="G29" s="71">
        <f t="shared" si="0"/>
        <v>46</v>
      </c>
      <c r="H29" s="71">
        <v>33</v>
      </c>
      <c r="I29" s="71">
        <v>33</v>
      </c>
      <c r="J29" s="71">
        <v>33</v>
      </c>
      <c r="K29" s="71">
        <v>2990</v>
      </c>
      <c r="L29" s="71">
        <v>5980</v>
      </c>
      <c r="M29" s="71">
        <v>8970</v>
      </c>
      <c r="N29" s="79" t="s">
        <v>483</v>
      </c>
      <c r="O29" s="79" t="s">
        <v>484</v>
      </c>
      <c r="P29" s="79" t="s">
        <v>485</v>
      </c>
      <c r="Q29" s="79" t="s">
        <v>466</v>
      </c>
      <c r="R29" s="79" t="s">
        <v>467</v>
      </c>
      <c r="S29" s="79" t="s">
        <v>468</v>
      </c>
      <c r="T29" s="83" t="s">
        <v>137</v>
      </c>
      <c r="U29" s="64">
        <v>3</v>
      </c>
      <c r="V29" s="64" t="s">
        <v>469</v>
      </c>
      <c r="W29" s="83" t="s">
        <v>139</v>
      </c>
      <c r="X29" s="83" t="s">
        <v>470</v>
      </c>
      <c r="Y29" s="75" t="s">
        <v>141</v>
      </c>
      <c r="Z29" s="75">
        <v>4</v>
      </c>
      <c r="AA29" s="75">
        <f t="shared" si="7"/>
        <v>5</v>
      </c>
      <c r="AB29" s="75">
        <f t="shared" si="11"/>
        <v>35</v>
      </c>
      <c r="AC29" s="75">
        <f t="shared" si="12"/>
        <v>50</v>
      </c>
      <c r="AD29" s="75">
        <v>250</v>
      </c>
      <c r="AE29" s="76">
        <f t="shared" si="8"/>
        <v>18</v>
      </c>
      <c r="AF29" s="76">
        <f t="shared" si="2"/>
        <v>15000</v>
      </c>
      <c r="AG29" s="76">
        <f t="shared" si="3"/>
        <v>28000</v>
      </c>
      <c r="AH29" s="76">
        <f>出怪成长!C27</f>
        <v>15</v>
      </c>
      <c r="AI29" s="76" t="str">
        <f>出怪成长!D27</f>
        <v>6#30001#1|12#30002#1|15#30001,30004#1</v>
      </c>
      <c r="AJ29" s="85" t="str">
        <f>出怪数量!Z28</f>
        <v>1:2:1|1:5:1|2:10:1|2:5:1#2:5:1#3:5:2|3:5:2#2:5:1#3:5:2|3:6:2#2:6:1#3:6:2|4:7:2#2:7:1#3:7:2|4:9:2#2:9:1#3:9:2|1:12:1#2:12:1#3:12:2|2:21:1#2:14:1#3:21:2</v>
      </c>
      <c r="AK29" s="76" t="s">
        <v>471</v>
      </c>
      <c r="AL29" s="76" t="s">
        <v>472</v>
      </c>
      <c r="AM29" s="85" t="str">
        <f>每波成长!G30</f>
        <v>37#10#7</v>
      </c>
      <c r="AN29" s="75" t="s">
        <v>473</v>
      </c>
      <c r="AO29" s="86">
        <v>0</v>
      </c>
      <c r="AP29" s="75" t="s">
        <v>179</v>
      </c>
      <c r="AQ29" s="75">
        <v>2</v>
      </c>
      <c r="AR29" s="70" t="s">
        <v>486</v>
      </c>
      <c r="AS29" s="75">
        <v>0</v>
      </c>
      <c r="AT29" s="75">
        <v>0</v>
      </c>
      <c r="AU29" s="70" t="s">
        <v>487</v>
      </c>
      <c r="AV29" s="75" t="s">
        <v>488</v>
      </c>
      <c r="AW29" s="86">
        <v>0</v>
      </c>
      <c r="AX29" s="70" t="s">
        <v>149</v>
      </c>
      <c r="AY29" s="75" t="s">
        <v>477</v>
      </c>
      <c r="AZ29" s="87" t="s">
        <v>478</v>
      </c>
      <c r="BA29" s="75" t="s">
        <v>489</v>
      </c>
      <c r="BB29" s="75">
        <v>0</v>
      </c>
      <c r="BC29" s="76">
        <v>12</v>
      </c>
      <c r="BD29" s="75">
        <v>120</v>
      </c>
      <c r="BE29" s="76" t="s">
        <v>490</v>
      </c>
      <c r="BF29" s="88" t="s">
        <v>491</v>
      </c>
      <c r="BG29" s="76">
        <v>0</v>
      </c>
      <c r="BH29" s="75">
        <v>3</v>
      </c>
      <c r="BI29" s="99" t="str">
        <f t="shared" ref="BI29:BI53" si="13">BI28</f>
        <v>MapDead</v>
      </c>
      <c r="BJ29" s="99" t="str">
        <f t="shared" ref="BJ29:BJ53" si="14">BJ28</f>
        <v>MapDead</v>
      </c>
      <c r="BL29" s="53">
        <v>20</v>
      </c>
      <c r="BM29" s="95">
        <v>5103</v>
      </c>
      <c r="BN29" s="90">
        <v>5004</v>
      </c>
      <c r="BO29" s="53">
        <v>0</v>
      </c>
      <c r="BR29" s="53" t="s">
        <v>492</v>
      </c>
    </row>
    <row r="30" s="55" customFormat="1" ht="15" customHeight="1" spans="1:70">
      <c r="A30" s="156">
        <v>37</v>
      </c>
      <c r="B30" s="64">
        <v>0</v>
      </c>
      <c r="C30" s="71" t="s">
        <v>493</v>
      </c>
      <c r="D30" s="64" t="s">
        <v>174</v>
      </c>
      <c r="E30" s="91">
        <f t="shared" si="4"/>
        <v>38</v>
      </c>
      <c r="F30" s="157">
        <v>27</v>
      </c>
      <c r="G30" s="71">
        <f t="shared" si="0"/>
        <v>47</v>
      </c>
      <c r="H30" s="71">
        <v>33</v>
      </c>
      <c r="I30" s="71">
        <v>33</v>
      </c>
      <c r="J30" s="71">
        <v>33</v>
      </c>
      <c r="K30" s="71">
        <v>3200</v>
      </c>
      <c r="L30" s="71">
        <v>6400</v>
      </c>
      <c r="M30" s="71">
        <v>9600</v>
      </c>
      <c r="N30" s="79" t="s">
        <v>494</v>
      </c>
      <c r="O30" s="79" t="s">
        <v>495</v>
      </c>
      <c r="P30" s="79" t="s">
        <v>496</v>
      </c>
      <c r="Q30" s="79" t="s">
        <v>466</v>
      </c>
      <c r="R30" s="79" t="s">
        <v>467</v>
      </c>
      <c r="S30" s="79" t="s">
        <v>468</v>
      </c>
      <c r="T30" s="83" t="s">
        <v>137</v>
      </c>
      <c r="U30" s="64">
        <v>3</v>
      </c>
      <c r="V30" s="64" t="s">
        <v>469</v>
      </c>
      <c r="W30" s="83" t="s">
        <v>139</v>
      </c>
      <c r="X30" s="83" t="s">
        <v>497</v>
      </c>
      <c r="Y30" s="75" t="s">
        <v>141</v>
      </c>
      <c r="Z30" s="75">
        <v>4</v>
      </c>
      <c r="AA30" s="75">
        <f t="shared" si="7"/>
        <v>6</v>
      </c>
      <c r="AB30" s="75">
        <f t="shared" si="11"/>
        <v>37</v>
      </c>
      <c r="AC30" s="75">
        <f t="shared" si="12"/>
        <v>52</v>
      </c>
      <c r="AD30" s="75">
        <v>250</v>
      </c>
      <c r="AE30" s="76">
        <f t="shared" si="8"/>
        <v>18</v>
      </c>
      <c r="AF30" s="76">
        <f t="shared" si="2"/>
        <v>15000</v>
      </c>
      <c r="AG30" s="76">
        <f t="shared" si="3"/>
        <v>28000</v>
      </c>
      <c r="AH30" s="76">
        <f>出怪成长!C28</f>
        <v>15</v>
      </c>
      <c r="AI30" s="76" t="str">
        <f>出怪成长!D28</f>
        <v>6#30001#1|12#30002#1|15#30001,30004#1</v>
      </c>
      <c r="AJ30" s="85" t="str">
        <f>出怪数量!Z29</f>
        <v>1:2:1|1:5:1|2:10:1|2:5:1#2:5:1#3:5:2|3:5:2#2:5:1#3:5:2|3:6:2#2:6:1#3:6:2|4:7:2#2:7:1#3:7:2|4:9:2#2:9:1#3:9:2|1:12:1#2:12:1#3:12:2|2:21:1#2:14:1#3:21:2</v>
      </c>
      <c r="AK30" s="76" t="s">
        <v>471</v>
      </c>
      <c r="AL30" s="76" t="s">
        <v>472</v>
      </c>
      <c r="AM30" s="85" t="str">
        <f>每波成长!G31</f>
        <v>39#11#8</v>
      </c>
      <c r="AN30" s="75" t="s">
        <v>473</v>
      </c>
      <c r="AO30" s="86">
        <v>0</v>
      </c>
      <c r="AP30" s="75" t="s">
        <v>179</v>
      </c>
      <c r="AQ30" s="75">
        <v>2</v>
      </c>
      <c r="AR30" s="70" t="s">
        <v>498</v>
      </c>
      <c r="AS30" s="75">
        <v>0</v>
      </c>
      <c r="AT30" s="75">
        <v>0</v>
      </c>
      <c r="AU30" s="70" t="s">
        <v>499</v>
      </c>
      <c r="AV30" s="75" t="s">
        <v>500</v>
      </c>
      <c r="AW30" s="86">
        <v>0</v>
      </c>
      <c r="AX30" s="70" t="s">
        <v>149</v>
      </c>
      <c r="AY30" s="75" t="s">
        <v>477</v>
      </c>
      <c r="AZ30" s="87" t="s">
        <v>478</v>
      </c>
      <c r="BA30" s="75" t="s">
        <v>501</v>
      </c>
      <c r="BB30" s="75">
        <v>0</v>
      </c>
      <c r="BC30" s="85">
        <v>13</v>
      </c>
      <c r="BD30" s="75">
        <v>130</v>
      </c>
      <c r="BE30" s="76" t="s">
        <v>502</v>
      </c>
      <c r="BF30" s="88" t="s">
        <v>503</v>
      </c>
      <c r="BG30" s="76">
        <v>0</v>
      </c>
      <c r="BH30" s="75">
        <v>3</v>
      </c>
      <c r="BI30" s="99" t="str">
        <f t="shared" si="13"/>
        <v>MapDead</v>
      </c>
      <c r="BJ30" s="99" t="str">
        <f t="shared" si="14"/>
        <v>MapDead</v>
      </c>
      <c r="BL30" s="55">
        <v>21</v>
      </c>
      <c r="BM30" s="97">
        <v>5104</v>
      </c>
      <c r="BN30" s="98">
        <v>5004</v>
      </c>
      <c r="BO30" s="55">
        <v>0</v>
      </c>
    </row>
    <row r="31" s="54" customFormat="1" ht="15" customHeight="1" spans="1:70">
      <c r="A31" s="156">
        <v>38</v>
      </c>
      <c r="B31" s="64">
        <v>0</v>
      </c>
      <c r="C31" s="71" t="s">
        <v>504</v>
      </c>
      <c r="D31" s="91" t="s">
        <v>189</v>
      </c>
      <c r="E31" s="91">
        <f t="shared" si="4"/>
        <v>39</v>
      </c>
      <c r="F31" s="157">
        <v>28</v>
      </c>
      <c r="G31" s="71">
        <f t="shared" si="0"/>
        <v>48</v>
      </c>
      <c r="H31" s="71">
        <v>33</v>
      </c>
      <c r="I31" s="71">
        <v>33</v>
      </c>
      <c r="J31" s="71">
        <v>33</v>
      </c>
      <c r="K31" s="71">
        <v>3450</v>
      </c>
      <c r="L31" s="71">
        <v>6900</v>
      </c>
      <c r="M31" s="71">
        <v>10350</v>
      </c>
      <c r="N31" s="79" t="s">
        <v>505</v>
      </c>
      <c r="O31" s="79" t="s">
        <v>506</v>
      </c>
      <c r="P31" s="79" t="s">
        <v>507</v>
      </c>
      <c r="Q31" s="79" t="s">
        <v>466</v>
      </c>
      <c r="R31" s="79" t="s">
        <v>467</v>
      </c>
      <c r="S31" s="79" t="s">
        <v>468</v>
      </c>
      <c r="T31" s="83" t="s">
        <v>137</v>
      </c>
      <c r="U31" s="64">
        <v>3</v>
      </c>
      <c r="V31" s="64" t="s">
        <v>469</v>
      </c>
      <c r="W31" s="83" t="s">
        <v>139</v>
      </c>
      <c r="X31" s="83" t="s">
        <v>497</v>
      </c>
      <c r="Y31" s="75" t="s">
        <v>141</v>
      </c>
      <c r="Z31" s="75">
        <v>4</v>
      </c>
      <c r="AA31" s="75">
        <f t="shared" si="7"/>
        <v>7</v>
      </c>
      <c r="AB31" s="75">
        <f t="shared" si="11"/>
        <v>39</v>
      </c>
      <c r="AC31" s="75">
        <f t="shared" si="12"/>
        <v>54</v>
      </c>
      <c r="AD31" s="75">
        <v>250</v>
      </c>
      <c r="AE31" s="76">
        <f t="shared" si="8"/>
        <v>18</v>
      </c>
      <c r="AF31" s="76">
        <f t="shared" si="2"/>
        <v>15000</v>
      </c>
      <c r="AG31" s="76">
        <f t="shared" si="3"/>
        <v>28000</v>
      </c>
      <c r="AH31" s="76">
        <f>出怪成长!C29</f>
        <v>15</v>
      </c>
      <c r="AI31" s="76" t="str">
        <f>出怪成长!D29</f>
        <v>6#30001#1|12#30002#1|15#30001,30004#1</v>
      </c>
      <c r="AJ31" s="85" t="str">
        <f>出怪数量!Z30</f>
        <v>1:2:1|1:5:1|2:10:1|2:5:1#2:5:1#3:5:2|3:5:2#2:5:1#3:5:2|3:6:2#2:6:1#3:6:2|4:7:2#2:7:1#3:7:2|4:9:2#2:9:1#3:9:2|1:12:1#2:12:1#3:12:2|2:21:1#2:14:1#3:21:2</v>
      </c>
      <c r="AK31" s="76" t="s">
        <v>471</v>
      </c>
      <c r="AL31" s="76" t="s">
        <v>472</v>
      </c>
      <c r="AM31" s="85" t="str">
        <f>每波成长!G32</f>
        <v>40#12#9</v>
      </c>
      <c r="AN31" s="75" t="s">
        <v>473</v>
      </c>
      <c r="AO31" s="86">
        <v>0</v>
      </c>
      <c r="AP31" s="75" t="s">
        <v>179</v>
      </c>
      <c r="AQ31" s="75">
        <v>2</v>
      </c>
      <c r="AR31" s="70" t="s">
        <v>508</v>
      </c>
      <c r="AS31" s="75">
        <v>0</v>
      </c>
      <c r="AT31" s="75">
        <v>0</v>
      </c>
      <c r="AU31" s="70" t="s">
        <v>509</v>
      </c>
      <c r="AV31" s="75" t="s">
        <v>510</v>
      </c>
      <c r="AW31" s="86">
        <v>0</v>
      </c>
      <c r="AX31" s="70" t="s">
        <v>149</v>
      </c>
      <c r="AY31" s="75" t="s">
        <v>477</v>
      </c>
      <c r="AZ31" s="87" t="s">
        <v>478</v>
      </c>
      <c r="BA31" s="75" t="s">
        <v>511</v>
      </c>
      <c r="BB31" s="75">
        <v>0</v>
      </c>
      <c r="BC31" s="76">
        <v>14</v>
      </c>
      <c r="BD31" s="75">
        <v>140</v>
      </c>
      <c r="BE31" s="76" t="s">
        <v>512</v>
      </c>
      <c r="BF31" s="88" t="s">
        <v>513</v>
      </c>
      <c r="BG31" s="76">
        <v>0</v>
      </c>
      <c r="BH31" s="75">
        <v>3</v>
      </c>
      <c r="BI31" s="99" t="str">
        <f t="shared" si="13"/>
        <v>MapDead</v>
      </c>
      <c r="BJ31" s="99" t="str">
        <f t="shared" si="14"/>
        <v>MapDead</v>
      </c>
      <c r="BL31" s="54">
        <v>22</v>
      </c>
      <c r="BM31" s="93">
        <v>5105</v>
      </c>
      <c r="BN31" s="94">
        <v>5004</v>
      </c>
      <c r="BO31" s="54">
        <v>0</v>
      </c>
      <c r="BR31" s="54" t="s">
        <v>514</v>
      </c>
    </row>
    <row r="32" s="53" customFormat="1" ht="15" customHeight="1" spans="1:70">
      <c r="A32" s="156">
        <v>39</v>
      </c>
      <c r="B32" s="64">
        <v>0</v>
      </c>
      <c r="C32" s="71" t="s">
        <v>515</v>
      </c>
      <c r="D32" s="64" t="s">
        <v>130</v>
      </c>
      <c r="E32" s="91">
        <f t="shared" si="4"/>
        <v>40</v>
      </c>
      <c r="F32" s="157">
        <v>29</v>
      </c>
      <c r="G32" s="71">
        <f t="shared" si="0"/>
        <v>49</v>
      </c>
      <c r="H32" s="71">
        <v>38</v>
      </c>
      <c r="I32" s="71">
        <v>38</v>
      </c>
      <c r="J32" s="71">
        <v>38</v>
      </c>
      <c r="K32" s="71">
        <v>3720</v>
      </c>
      <c r="L32" s="71">
        <v>7440</v>
      </c>
      <c r="M32" s="71">
        <v>11160</v>
      </c>
      <c r="N32" s="79" t="s">
        <v>516</v>
      </c>
      <c r="O32" s="79" t="s">
        <v>517</v>
      </c>
      <c r="P32" s="79" t="s">
        <v>518</v>
      </c>
      <c r="Q32" s="79" t="s">
        <v>466</v>
      </c>
      <c r="R32" s="79" t="s">
        <v>467</v>
      </c>
      <c r="S32" s="79" t="s">
        <v>468</v>
      </c>
      <c r="T32" s="83" t="s">
        <v>137</v>
      </c>
      <c r="U32" s="64">
        <v>3</v>
      </c>
      <c r="V32" s="64" t="s">
        <v>519</v>
      </c>
      <c r="W32" s="83" t="s">
        <v>139</v>
      </c>
      <c r="X32" s="83" t="s">
        <v>520</v>
      </c>
      <c r="Y32" s="75" t="s">
        <v>141</v>
      </c>
      <c r="Z32" s="75">
        <v>4</v>
      </c>
      <c r="AA32" s="75">
        <f t="shared" si="7"/>
        <v>5</v>
      </c>
      <c r="AB32" s="75">
        <f t="shared" si="11"/>
        <v>38</v>
      </c>
      <c r="AC32" s="75">
        <f t="shared" si="12"/>
        <v>53</v>
      </c>
      <c r="AD32" s="75">
        <v>250</v>
      </c>
      <c r="AE32" s="76">
        <f t="shared" si="8"/>
        <v>18</v>
      </c>
      <c r="AF32" s="76">
        <f t="shared" si="2"/>
        <v>15000</v>
      </c>
      <c r="AG32" s="76">
        <f t="shared" si="3"/>
        <v>28000</v>
      </c>
      <c r="AH32" s="76">
        <f>出怪成长!C30</f>
        <v>15</v>
      </c>
      <c r="AI32" s="76" t="str">
        <f>出怪成长!D30</f>
        <v>6#30001#1|12#30002#1|15#30001,30004#1</v>
      </c>
      <c r="AJ32" s="85" t="str">
        <f>出怪数量!Z31</f>
        <v>1:3:1|1:6:1|2:11:1|2:6:1#2:6:1#3:6:1|3:5:1#2:5:1#3:5:1|3:6:1#2:6:1#3:6:1|4:7:1#2:7:1#3:7:1|4:9:1#2:9:1#3:9:1|1:12:1#2:12:1#3:12:1|2:21:1#2:14:1#3:21:1</v>
      </c>
      <c r="AK32" s="76" t="s">
        <v>471</v>
      </c>
      <c r="AL32" s="76" t="s">
        <v>472</v>
      </c>
      <c r="AM32" s="85" t="str">
        <f>每波成长!G33</f>
        <v>37#10#7</v>
      </c>
      <c r="AN32" s="75" t="s">
        <v>473</v>
      </c>
      <c r="AO32" s="86">
        <v>0</v>
      </c>
      <c r="AP32" s="75" t="s">
        <v>179</v>
      </c>
      <c r="AQ32" s="75">
        <v>2</v>
      </c>
      <c r="AR32" s="70" t="s">
        <v>521</v>
      </c>
      <c r="AS32" s="75">
        <v>0</v>
      </c>
      <c r="AT32" s="75">
        <v>0</v>
      </c>
      <c r="AU32" s="70" t="s">
        <v>522</v>
      </c>
      <c r="AV32" s="75" t="s">
        <v>523</v>
      </c>
      <c r="AW32" s="86">
        <v>0</v>
      </c>
      <c r="AX32" s="70" t="s">
        <v>149</v>
      </c>
      <c r="AY32" s="75" t="s">
        <v>477</v>
      </c>
      <c r="AZ32" s="87" t="s">
        <v>478</v>
      </c>
      <c r="BA32" s="75" t="s">
        <v>524</v>
      </c>
      <c r="BB32" s="75">
        <v>0</v>
      </c>
      <c r="BC32" s="85">
        <v>15</v>
      </c>
      <c r="BD32" s="75">
        <v>150</v>
      </c>
      <c r="BE32" s="76">
        <v>0</v>
      </c>
      <c r="BF32" s="88" t="s">
        <v>525</v>
      </c>
      <c r="BG32" s="76">
        <v>0</v>
      </c>
      <c r="BH32" s="75">
        <v>3</v>
      </c>
      <c r="BI32" s="99" t="str">
        <f t="shared" si="13"/>
        <v>MapDead</v>
      </c>
      <c r="BJ32" s="99" t="str">
        <f t="shared" si="14"/>
        <v>MapDead</v>
      </c>
      <c r="BL32" s="53">
        <v>23</v>
      </c>
      <c r="BM32" s="95">
        <v>5106</v>
      </c>
      <c r="BN32" s="90">
        <v>5005</v>
      </c>
      <c r="BO32" s="53">
        <v>0</v>
      </c>
    </row>
    <row r="33" s="53" customFormat="1" ht="15" customHeight="1" spans="1:70">
      <c r="A33" s="156">
        <v>40</v>
      </c>
      <c r="B33" s="64">
        <v>0</v>
      </c>
      <c r="C33" s="71" t="s">
        <v>526</v>
      </c>
      <c r="D33" s="91" t="s">
        <v>156</v>
      </c>
      <c r="E33" s="91">
        <f t="shared" ref="E33:E53" si="15">A34</f>
        <v>41</v>
      </c>
      <c r="F33" s="157">
        <v>30</v>
      </c>
      <c r="G33" s="71">
        <f t="shared" si="0"/>
        <v>50</v>
      </c>
      <c r="H33" s="71">
        <v>38</v>
      </c>
      <c r="I33" s="71">
        <v>38</v>
      </c>
      <c r="J33" s="71">
        <v>38</v>
      </c>
      <c r="K33" s="71">
        <v>4000</v>
      </c>
      <c r="L33" s="71">
        <v>8000</v>
      </c>
      <c r="M33" s="71">
        <v>12000</v>
      </c>
      <c r="N33" s="79" t="s">
        <v>527</v>
      </c>
      <c r="O33" s="79" t="s">
        <v>528</v>
      </c>
      <c r="P33" s="79" t="s">
        <v>529</v>
      </c>
      <c r="Q33" s="79" t="s">
        <v>466</v>
      </c>
      <c r="R33" s="79" t="s">
        <v>467</v>
      </c>
      <c r="S33" s="79" t="s">
        <v>468</v>
      </c>
      <c r="T33" s="83" t="s">
        <v>137</v>
      </c>
      <c r="U33" s="64">
        <v>3</v>
      </c>
      <c r="V33" s="64" t="s">
        <v>519</v>
      </c>
      <c r="W33" s="83" t="s">
        <v>139</v>
      </c>
      <c r="X33" s="83" t="s">
        <v>520</v>
      </c>
      <c r="Y33" s="75" t="s">
        <v>141</v>
      </c>
      <c r="Z33" s="75">
        <v>4</v>
      </c>
      <c r="AA33" s="75">
        <f t="shared" si="7"/>
        <v>6</v>
      </c>
      <c r="AB33" s="75">
        <f t="shared" si="11"/>
        <v>40</v>
      </c>
      <c r="AC33" s="75">
        <f t="shared" si="12"/>
        <v>55</v>
      </c>
      <c r="AD33" s="75">
        <v>250</v>
      </c>
      <c r="AE33" s="76">
        <f t="shared" si="8"/>
        <v>18</v>
      </c>
      <c r="AF33" s="76">
        <f t="shared" si="2"/>
        <v>15000</v>
      </c>
      <c r="AG33" s="76">
        <f t="shared" si="3"/>
        <v>28000</v>
      </c>
      <c r="AH33" s="76">
        <f>出怪成长!C31</f>
        <v>15</v>
      </c>
      <c r="AI33" s="76" t="str">
        <f>出怪成长!D31</f>
        <v>6#30001#1|12#30002#1|15#30001,30004#1</v>
      </c>
      <c r="AJ33" s="85" t="str">
        <f>出怪数量!Z32</f>
        <v>1:3:1|1:6:1|2:11:1|2:6:1#2:6:1#3:6:2|3:5:2#2:5:1#3:5:2|3:6:2#2:6:1#3:6:2|4:7:2#2:7:1#3:7:2|4:9:2#2:9:1#3:9:2|1:12:1#2:12:1#3:12:2|2:21:1#2:14:1#3:21:2</v>
      </c>
      <c r="AK33" s="76" t="s">
        <v>471</v>
      </c>
      <c r="AL33" s="76" t="s">
        <v>472</v>
      </c>
      <c r="AM33" s="85" t="str">
        <f>每波成长!G34</f>
        <v>39#11#8</v>
      </c>
      <c r="AN33" s="75" t="s">
        <v>473</v>
      </c>
      <c r="AO33" s="86">
        <v>0</v>
      </c>
      <c r="AP33" s="75" t="s">
        <v>179</v>
      </c>
      <c r="AQ33" s="75">
        <v>2</v>
      </c>
      <c r="AR33" s="70" t="s">
        <v>530</v>
      </c>
      <c r="AS33" s="75">
        <v>0</v>
      </c>
      <c r="AT33" s="75">
        <v>0</v>
      </c>
      <c r="AU33" s="70" t="s">
        <v>531</v>
      </c>
      <c r="AV33" s="75" t="s">
        <v>532</v>
      </c>
      <c r="AW33" s="86">
        <v>0</v>
      </c>
      <c r="AX33" s="70" t="s">
        <v>149</v>
      </c>
      <c r="AY33" s="75" t="s">
        <v>477</v>
      </c>
      <c r="AZ33" s="87" t="s">
        <v>478</v>
      </c>
      <c r="BA33" s="75" t="s">
        <v>533</v>
      </c>
      <c r="BB33" s="75">
        <v>0</v>
      </c>
      <c r="BC33" s="76">
        <v>16</v>
      </c>
      <c r="BD33" s="75">
        <v>160</v>
      </c>
      <c r="BE33" s="76">
        <v>0</v>
      </c>
      <c r="BF33" s="88" t="s">
        <v>534</v>
      </c>
      <c r="BG33" s="76">
        <v>0</v>
      </c>
      <c r="BH33" s="75">
        <v>3</v>
      </c>
      <c r="BI33" s="99" t="str">
        <f t="shared" si="13"/>
        <v>MapDead</v>
      </c>
      <c r="BJ33" s="99" t="str">
        <f t="shared" si="14"/>
        <v>MapDead</v>
      </c>
      <c r="BL33" s="53">
        <v>24</v>
      </c>
      <c r="BM33" s="95">
        <v>5107</v>
      </c>
      <c r="BN33" s="90">
        <v>5005</v>
      </c>
      <c r="BO33" s="53">
        <v>0</v>
      </c>
      <c r="BR33" s="53" t="s">
        <v>535</v>
      </c>
    </row>
    <row r="34" s="53" customFormat="1" ht="15" customHeight="1" spans="1:70">
      <c r="A34" s="156">
        <v>41</v>
      </c>
      <c r="B34" s="64">
        <v>0</v>
      </c>
      <c r="C34" s="71" t="s">
        <v>536</v>
      </c>
      <c r="D34" s="64" t="s">
        <v>174</v>
      </c>
      <c r="E34" s="91">
        <f t="shared" si="15"/>
        <v>42</v>
      </c>
      <c r="F34" s="157">
        <v>31</v>
      </c>
      <c r="G34" s="71">
        <f t="shared" si="0"/>
        <v>51</v>
      </c>
      <c r="H34" s="71">
        <v>38</v>
      </c>
      <c r="I34" s="71">
        <v>38</v>
      </c>
      <c r="J34" s="71">
        <v>38</v>
      </c>
      <c r="K34" s="71">
        <v>4260</v>
      </c>
      <c r="L34" s="71">
        <v>8520</v>
      </c>
      <c r="M34" s="71">
        <v>12780</v>
      </c>
      <c r="N34" s="79" t="s">
        <v>537</v>
      </c>
      <c r="O34" s="79" t="s">
        <v>538</v>
      </c>
      <c r="P34" s="79" t="s">
        <v>539</v>
      </c>
      <c r="Q34" s="79" t="s">
        <v>466</v>
      </c>
      <c r="R34" s="79" t="s">
        <v>467</v>
      </c>
      <c r="S34" s="79" t="s">
        <v>468</v>
      </c>
      <c r="T34" s="83" t="s">
        <v>137</v>
      </c>
      <c r="U34" s="64">
        <v>3</v>
      </c>
      <c r="V34" s="64" t="s">
        <v>540</v>
      </c>
      <c r="W34" s="83" t="s">
        <v>139</v>
      </c>
      <c r="X34" s="83" t="s">
        <v>541</v>
      </c>
      <c r="Y34" s="75" t="s">
        <v>141</v>
      </c>
      <c r="Z34" s="75">
        <v>4</v>
      </c>
      <c r="AA34" s="75">
        <f t="shared" si="7"/>
        <v>7</v>
      </c>
      <c r="AB34" s="75">
        <f t="shared" si="11"/>
        <v>42</v>
      </c>
      <c r="AC34" s="75">
        <f t="shared" si="12"/>
        <v>57</v>
      </c>
      <c r="AD34" s="75">
        <v>250</v>
      </c>
      <c r="AE34" s="76">
        <f t="shared" si="8"/>
        <v>18</v>
      </c>
      <c r="AF34" s="76">
        <f t="shared" si="2"/>
        <v>15000</v>
      </c>
      <c r="AG34" s="76">
        <f t="shared" si="3"/>
        <v>28000</v>
      </c>
      <c r="AH34" s="76">
        <f>出怪成长!C32</f>
        <v>15</v>
      </c>
      <c r="AI34" s="76" t="str">
        <f>出怪成长!D32</f>
        <v>6#30001#1|12#30002#1|15#30001,30004#1</v>
      </c>
      <c r="AJ34" s="85" t="str">
        <f>出怪数量!Z33</f>
        <v>1:3:1|1:6:1|2:11:1|2:6:1#2:6:1#3:6:2|3:5:2#2:5:1#3:5:2|3:6:2#2:6:1#3:6:2|4:7:2#2:7:1#3:7:2|4:9:2#2:9:1#3:9:2|1:12:1#2:12:1#3:12:2|2:21:1#2:14:1#3:21:2</v>
      </c>
      <c r="AK34" s="76" t="s">
        <v>471</v>
      </c>
      <c r="AL34" s="76" t="s">
        <v>472</v>
      </c>
      <c r="AM34" s="85" t="str">
        <f>每波成长!G35</f>
        <v>31#8#5</v>
      </c>
      <c r="AN34" s="75" t="s">
        <v>473</v>
      </c>
      <c r="AO34" s="86">
        <v>0</v>
      </c>
      <c r="AP34" s="75" t="s">
        <v>179</v>
      </c>
      <c r="AQ34" s="75">
        <v>2</v>
      </c>
      <c r="AR34" s="70" t="s">
        <v>530</v>
      </c>
      <c r="AS34" s="75">
        <v>0</v>
      </c>
      <c r="AT34" s="75">
        <v>0</v>
      </c>
      <c r="AU34" s="70" t="s">
        <v>531</v>
      </c>
      <c r="AV34" s="75" t="s">
        <v>532</v>
      </c>
      <c r="AW34" s="86">
        <v>0</v>
      </c>
      <c r="AX34" s="70" t="s">
        <v>149</v>
      </c>
      <c r="AY34" s="75" t="s">
        <v>477</v>
      </c>
      <c r="AZ34" s="87" t="s">
        <v>478</v>
      </c>
      <c r="BA34" s="75" t="s">
        <v>533</v>
      </c>
      <c r="BB34" s="75">
        <v>0</v>
      </c>
      <c r="BC34" s="76">
        <v>16</v>
      </c>
      <c r="BD34" s="75">
        <v>160</v>
      </c>
      <c r="BE34" s="76">
        <v>0</v>
      </c>
      <c r="BF34" s="88" t="s">
        <v>534</v>
      </c>
      <c r="BG34" s="76">
        <v>0</v>
      </c>
      <c r="BH34" s="75">
        <v>3</v>
      </c>
      <c r="BI34" s="99" t="str">
        <f t="shared" si="13"/>
        <v>MapDead</v>
      </c>
      <c r="BJ34" s="99" t="str">
        <f t="shared" si="14"/>
        <v>MapDead</v>
      </c>
      <c r="BM34" s="95"/>
      <c r="BN34" s="90"/>
    </row>
    <row r="35" s="53" customFormat="1" ht="15" customHeight="1" spans="1:70">
      <c r="A35" s="156">
        <v>42</v>
      </c>
      <c r="B35" s="64">
        <v>0</v>
      </c>
      <c r="C35" s="71" t="s">
        <v>542</v>
      </c>
      <c r="D35" s="91" t="s">
        <v>189</v>
      </c>
      <c r="E35" s="91">
        <f t="shared" si="15"/>
        <v>43</v>
      </c>
      <c r="F35" s="157">
        <v>32</v>
      </c>
      <c r="G35" s="71">
        <f t="shared" si="0"/>
        <v>52</v>
      </c>
      <c r="H35" s="71">
        <v>38</v>
      </c>
      <c r="I35" s="71">
        <v>38</v>
      </c>
      <c r="J35" s="71">
        <v>38</v>
      </c>
      <c r="K35" s="71">
        <v>4520</v>
      </c>
      <c r="L35" s="71">
        <v>9040</v>
      </c>
      <c r="M35" s="71">
        <v>13560</v>
      </c>
      <c r="N35" s="79" t="s">
        <v>543</v>
      </c>
      <c r="O35" s="79" t="s">
        <v>544</v>
      </c>
      <c r="P35" s="79" t="s">
        <v>545</v>
      </c>
      <c r="Q35" s="79" t="s">
        <v>466</v>
      </c>
      <c r="R35" s="79" t="s">
        <v>467</v>
      </c>
      <c r="S35" s="79" t="s">
        <v>468</v>
      </c>
      <c r="T35" s="83" t="s">
        <v>137</v>
      </c>
      <c r="U35" s="64">
        <v>3</v>
      </c>
      <c r="V35" s="64" t="s">
        <v>540</v>
      </c>
      <c r="W35" s="83" t="s">
        <v>139</v>
      </c>
      <c r="X35" s="83" t="s">
        <v>541</v>
      </c>
      <c r="Y35" s="75" t="s">
        <v>141</v>
      </c>
      <c r="Z35" s="75">
        <v>4</v>
      </c>
      <c r="AA35" s="75">
        <f t="shared" si="7"/>
        <v>8</v>
      </c>
      <c r="AB35" s="75">
        <f t="shared" si="11"/>
        <v>44</v>
      </c>
      <c r="AC35" s="75">
        <f t="shared" si="12"/>
        <v>59</v>
      </c>
      <c r="AD35" s="75">
        <v>250</v>
      </c>
      <c r="AE35" s="76">
        <f t="shared" si="8"/>
        <v>18</v>
      </c>
      <c r="AF35" s="76">
        <f t="shared" si="2"/>
        <v>15000</v>
      </c>
      <c r="AG35" s="76">
        <f t="shared" si="3"/>
        <v>28000</v>
      </c>
      <c r="AH35" s="76">
        <f>出怪成长!C33</f>
        <v>15</v>
      </c>
      <c r="AI35" s="76" t="str">
        <f>出怪成长!D33</f>
        <v>6#30001#1|12#30002#1|15#30001,30004#1</v>
      </c>
      <c r="AJ35" s="85" t="str">
        <f>出怪数量!Z34</f>
        <v>1:3:1|1:6:1|2:11:1|2:6:1#2:6:1#3:6:1|3:5:1#2:5:1#3:5:1|3:6:1#2:6:1#3:6:1|4:7:2#2:7:1#3:7:1|4:9:2#2:9:1#3:9:1|1:12:1#2:12:1#3:12:1|2:21:1#2:14:1#3:21:1</v>
      </c>
      <c r="AK35" s="76" t="s">
        <v>471</v>
      </c>
      <c r="AL35" s="76" t="s">
        <v>472</v>
      </c>
      <c r="AM35" s="85" t="str">
        <f>每波成长!G36</f>
        <v>33#9#6</v>
      </c>
      <c r="AN35" s="75" t="s">
        <v>473</v>
      </c>
      <c r="AO35" s="86">
        <v>0</v>
      </c>
      <c r="AP35" s="75" t="s">
        <v>179</v>
      </c>
      <c r="AQ35" s="75">
        <v>2</v>
      </c>
      <c r="AR35" s="70" t="s">
        <v>530</v>
      </c>
      <c r="AS35" s="75">
        <v>0</v>
      </c>
      <c r="AT35" s="75">
        <v>0</v>
      </c>
      <c r="AU35" s="70" t="s">
        <v>531</v>
      </c>
      <c r="AV35" s="75" t="s">
        <v>532</v>
      </c>
      <c r="AW35" s="86">
        <v>0</v>
      </c>
      <c r="AX35" s="70" t="s">
        <v>149</v>
      </c>
      <c r="AY35" s="75" t="s">
        <v>477</v>
      </c>
      <c r="AZ35" s="87" t="s">
        <v>478</v>
      </c>
      <c r="BA35" s="75" t="s">
        <v>533</v>
      </c>
      <c r="BB35" s="75">
        <v>0</v>
      </c>
      <c r="BC35" s="76">
        <v>16</v>
      </c>
      <c r="BD35" s="75">
        <v>160</v>
      </c>
      <c r="BE35" s="76">
        <v>0</v>
      </c>
      <c r="BF35" s="88" t="s">
        <v>534</v>
      </c>
      <c r="BG35" s="76">
        <v>0</v>
      </c>
      <c r="BH35" s="75">
        <v>3</v>
      </c>
      <c r="BI35" s="99" t="str">
        <f t="shared" si="13"/>
        <v>MapDead</v>
      </c>
      <c r="BJ35" s="99" t="str">
        <f t="shared" si="14"/>
        <v>MapDead</v>
      </c>
      <c r="BM35" s="95"/>
      <c r="BN35" s="90"/>
    </row>
    <row r="36" s="53" customFormat="1" ht="15" customHeight="1" spans="1:70">
      <c r="A36" s="156">
        <v>43</v>
      </c>
      <c r="B36" s="64">
        <v>0</v>
      </c>
      <c r="C36" s="71" t="s">
        <v>546</v>
      </c>
      <c r="D36" s="64" t="s">
        <v>130</v>
      </c>
      <c r="E36" s="91">
        <f t="shared" si="15"/>
        <v>44</v>
      </c>
      <c r="F36" s="157">
        <v>33</v>
      </c>
      <c r="G36" s="71">
        <f t="shared" si="0"/>
        <v>53</v>
      </c>
      <c r="H36" s="71">
        <v>44</v>
      </c>
      <c r="I36" s="71">
        <v>44</v>
      </c>
      <c r="J36" s="71">
        <v>44</v>
      </c>
      <c r="K36" s="71">
        <v>4780</v>
      </c>
      <c r="L36" s="71">
        <v>9560</v>
      </c>
      <c r="M36" s="71">
        <v>14340</v>
      </c>
      <c r="N36" s="79" t="s">
        <v>547</v>
      </c>
      <c r="O36" s="79" t="s">
        <v>548</v>
      </c>
      <c r="P36" s="79" t="s">
        <v>549</v>
      </c>
      <c r="Q36" s="79" t="s">
        <v>466</v>
      </c>
      <c r="R36" s="79" t="s">
        <v>467</v>
      </c>
      <c r="S36" s="79" t="s">
        <v>468</v>
      </c>
      <c r="T36" s="83" t="s">
        <v>137</v>
      </c>
      <c r="U36" s="64">
        <v>3</v>
      </c>
      <c r="V36" s="64" t="s">
        <v>550</v>
      </c>
      <c r="W36" s="83" t="s">
        <v>139</v>
      </c>
      <c r="X36" s="83" t="s">
        <v>551</v>
      </c>
      <c r="Y36" s="75" t="s">
        <v>141</v>
      </c>
      <c r="Z36" s="75">
        <v>4</v>
      </c>
      <c r="AA36" s="75">
        <f t="shared" si="7"/>
        <v>8</v>
      </c>
      <c r="AB36" s="75">
        <f t="shared" si="11"/>
        <v>45</v>
      </c>
      <c r="AC36" s="75">
        <f t="shared" si="12"/>
        <v>60</v>
      </c>
      <c r="AD36" s="75">
        <v>250</v>
      </c>
      <c r="AE36" s="76">
        <f t="shared" si="8"/>
        <v>19</v>
      </c>
      <c r="AF36" s="76">
        <f t="shared" si="2"/>
        <v>15000</v>
      </c>
      <c r="AG36" s="76">
        <f t="shared" si="3"/>
        <v>28000</v>
      </c>
      <c r="AH36" s="76">
        <f>出怪成长!C34</f>
        <v>15</v>
      </c>
      <c r="AI36" s="76" t="str">
        <f>出怪成长!D34</f>
        <v>6#30001#1|12#30002#1|15#30001,30004#1</v>
      </c>
      <c r="AJ36" s="85" t="str">
        <f>出怪数量!Z35</f>
        <v>1:2:1|1:6:1|2:12:1|2:6:1#2:6:1#3:6:1|3:6:1#2:6:1#3:6:1|3:7:1#2:7:1#3:7:1|4:9:1#2:9:1#3:9:1|4:11:1#2:11:1#3:11:1|1:14:1#2:14:1#3:14:1|2:25:1#2:16:1#3:25:1</v>
      </c>
      <c r="AK36" s="76" t="s">
        <v>471</v>
      </c>
      <c r="AL36" s="76" t="s">
        <v>472</v>
      </c>
      <c r="AM36" s="85" t="str">
        <f>每波成长!G37</f>
        <v>34#9#6</v>
      </c>
      <c r="AN36" s="75" t="s">
        <v>473</v>
      </c>
      <c r="AO36" s="86">
        <v>0</v>
      </c>
      <c r="AP36" s="75" t="s">
        <v>179</v>
      </c>
      <c r="AQ36" s="75">
        <v>2</v>
      </c>
      <c r="AR36" s="70" t="s">
        <v>530</v>
      </c>
      <c r="AS36" s="75">
        <v>0</v>
      </c>
      <c r="AT36" s="75">
        <v>0</v>
      </c>
      <c r="AU36" s="70" t="s">
        <v>531</v>
      </c>
      <c r="AV36" s="75" t="s">
        <v>532</v>
      </c>
      <c r="AW36" s="86">
        <v>0</v>
      </c>
      <c r="AX36" s="70" t="s">
        <v>149</v>
      </c>
      <c r="AY36" s="75" t="s">
        <v>477</v>
      </c>
      <c r="AZ36" s="87" t="s">
        <v>478</v>
      </c>
      <c r="BA36" s="75" t="s">
        <v>533</v>
      </c>
      <c r="BB36" s="75">
        <v>0</v>
      </c>
      <c r="BC36" s="76">
        <v>16</v>
      </c>
      <c r="BD36" s="75">
        <v>160</v>
      </c>
      <c r="BE36" s="76">
        <v>0</v>
      </c>
      <c r="BF36" s="88" t="s">
        <v>534</v>
      </c>
      <c r="BG36" s="76">
        <v>0</v>
      </c>
      <c r="BH36" s="75">
        <v>3</v>
      </c>
      <c r="BI36" s="99" t="str">
        <f t="shared" si="13"/>
        <v>MapDead</v>
      </c>
      <c r="BJ36" s="99" t="str">
        <f t="shared" si="14"/>
        <v>MapDead</v>
      </c>
      <c r="BM36" s="95"/>
      <c r="BN36" s="90"/>
    </row>
    <row r="37" s="53" customFormat="1" ht="15" customHeight="1" spans="1:70">
      <c r="A37" s="156">
        <v>44</v>
      </c>
      <c r="B37" s="64">
        <v>0</v>
      </c>
      <c r="C37" s="71" t="s">
        <v>552</v>
      </c>
      <c r="D37" s="91" t="s">
        <v>156</v>
      </c>
      <c r="E37" s="91">
        <f t="shared" si="15"/>
        <v>45</v>
      </c>
      <c r="F37" s="157">
        <v>34</v>
      </c>
      <c r="G37" s="71">
        <f t="shared" ref="G37:G53" si="16">F37+20</f>
        <v>54</v>
      </c>
      <c r="H37" s="71">
        <v>44</v>
      </c>
      <c r="I37" s="71">
        <v>44</v>
      </c>
      <c r="J37" s="71">
        <v>44</v>
      </c>
      <c r="K37" s="71">
        <v>5040</v>
      </c>
      <c r="L37" s="71">
        <v>10080</v>
      </c>
      <c r="M37" s="71">
        <v>15120</v>
      </c>
      <c r="N37" s="79" t="s">
        <v>553</v>
      </c>
      <c r="O37" s="79" t="s">
        <v>554</v>
      </c>
      <c r="P37" s="79" t="s">
        <v>555</v>
      </c>
      <c r="Q37" s="79" t="s">
        <v>466</v>
      </c>
      <c r="R37" s="79" t="s">
        <v>467</v>
      </c>
      <c r="S37" s="79" t="s">
        <v>468</v>
      </c>
      <c r="T37" s="83" t="s">
        <v>137</v>
      </c>
      <c r="U37" s="64">
        <v>3</v>
      </c>
      <c r="V37" s="64" t="s">
        <v>550</v>
      </c>
      <c r="W37" s="83" t="s">
        <v>139</v>
      </c>
      <c r="X37" s="83" t="s">
        <v>551</v>
      </c>
      <c r="Y37" s="75" t="s">
        <v>141</v>
      </c>
      <c r="Z37" s="75">
        <v>4</v>
      </c>
      <c r="AA37" s="75">
        <f t="shared" si="7"/>
        <v>7</v>
      </c>
      <c r="AB37" s="75">
        <f t="shared" si="11"/>
        <v>45</v>
      </c>
      <c r="AC37" s="75">
        <f t="shared" si="12"/>
        <v>60</v>
      </c>
      <c r="AD37" s="75">
        <v>250</v>
      </c>
      <c r="AE37" s="76">
        <f t="shared" si="8"/>
        <v>19</v>
      </c>
      <c r="AF37" s="76">
        <f t="shared" si="2"/>
        <v>15000</v>
      </c>
      <c r="AG37" s="76">
        <f t="shared" si="3"/>
        <v>28000</v>
      </c>
      <c r="AH37" s="76">
        <f>出怪成长!C35</f>
        <v>15</v>
      </c>
      <c r="AI37" s="76" t="str">
        <f>出怪成长!D35</f>
        <v>6#30001#1|12#30002#1|15#30001,30004#1</v>
      </c>
      <c r="AJ37" s="85" t="str">
        <f>出怪数量!Z36</f>
        <v>1:2:1|1:6:1|2:12:1|2:6:1#2:6:1#3:6:1|3:6:1#2:6:1#3:6:1|3:7:1#2:7:1#3:7:1|4:9:2#2:9:1#3:9:1|4:11:2#2:11:1#3:11:1|1:14:1#2:14:1#3:14:1|2:25:1#2:16:1#3:25:1</v>
      </c>
      <c r="AK37" s="76" t="s">
        <v>471</v>
      </c>
      <c r="AL37" s="76" t="s">
        <v>472</v>
      </c>
      <c r="AM37" s="85" t="str">
        <f>每波成长!G38</f>
        <v>36#10#7</v>
      </c>
      <c r="AN37" s="75" t="s">
        <v>473</v>
      </c>
      <c r="AO37" s="86">
        <v>0</v>
      </c>
      <c r="AP37" s="75" t="s">
        <v>179</v>
      </c>
      <c r="AQ37" s="75">
        <v>2</v>
      </c>
      <c r="AR37" s="70" t="s">
        <v>530</v>
      </c>
      <c r="AS37" s="75">
        <v>0</v>
      </c>
      <c r="AT37" s="75">
        <v>0</v>
      </c>
      <c r="AU37" s="70" t="s">
        <v>531</v>
      </c>
      <c r="AV37" s="75" t="s">
        <v>532</v>
      </c>
      <c r="AW37" s="86">
        <v>0</v>
      </c>
      <c r="AX37" s="70" t="s">
        <v>149</v>
      </c>
      <c r="AY37" s="75" t="s">
        <v>477</v>
      </c>
      <c r="AZ37" s="87" t="s">
        <v>478</v>
      </c>
      <c r="BA37" s="75" t="s">
        <v>533</v>
      </c>
      <c r="BB37" s="75">
        <v>0</v>
      </c>
      <c r="BC37" s="76">
        <v>16</v>
      </c>
      <c r="BD37" s="75">
        <v>160</v>
      </c>
      <c r="BE37" s="76">
        <v>0</v>
      </c>
      <c r="BF37" s="88" t="s">
        <v>534</v>
      </c>
      <c r="BG37" s="76">
        <v>0</v>
      </c>
      <c r="BH37" s="75">
        <v>3</v>
      </c>
      <c r="BI37" s="99" t="str">
        <f t="shared" si="13"/>
        <v>MapDead</v>
      </c>
      <c r="BJ37" s="99" t="str">
        <f t="shared" si="14"/>
        <v>MapDead</v>
      </c>
      <c r="BM37" s="95"/>
      <c r="BN37" s="90"/>
    </row>
    <row r="38" s="53" customFormat="1" ht="15" customHeight="1" spans="1:70">
      <c r="A38" s="156">
        <v>45</v>
      </c>
      <c r="B38" s="64">
        <v>0</v>
      </c>
      <c r="C38" s="71" t="s">
        <v>556</v>
      </c>
      <c r="D38" s="64" t="s">
        <v>174</v>
      </c>
      <c r="E38" s="91">
        <f t="shared" si="15"/>
        <v>46</v>
      </c>
      <c r="F38" s="157">
        <v>35</v>
      </c>
      <c r="G38" s="71">
        <f t="shared" si="16"/>
        <v>55</v>
      </c>
      <c r="H38" s="71">
        <v>44</v>
      </c>
      <c r="I38" s="71">
        <v>44</v>
      </c>
      <c r="J38" s="71">
        <v>44</v>
      </c>
      <c r="K38" s="71">
        <v>5300</v>
      </c>
      <c r="L38" s="71">
        <v>10600</v>
      </c>
      <c r="M38" s="71">
        <v>15900</v>
      </c>
      <c r="N38" s="79" t="s">
        <v>557</v>
      </c>
      <c r="O38" s="79" t="s">
        <v>558</v>
      </c>
      <c r="P38" s="79" t="s">
        <v>559</v>
      </c>
      <c r="Q38" s="79" t="s">
        <v>466</v>
      </c>
      <c r="R38" s="79" t="s">
        <v>467</v>
      </c>
      <c r="S38" s="79" t="s">
        <v>468</v>
      </c>
      <c r="T38" s="83" t="s">
        <v>137</v>
      </c>
      <c r="U38" s="64">
        <v>3</v>
      </c>
      <c r="V38" s="64" t="s">
        <v>550</v>
      </c>
      <c r="W38" s="83" t="s">
        <v>139</v>
      </c>
      <c r="X38" s="83" t="s">
        <v>560</v>
      </c>
      <c r="Y38" s="75" t="s">
        <v>141</v>
      </c>
      <c r="Z38" s="75">
        <v>4</v>
      </c>
      <c r="AA38" s="75">
        <f t="shared" si="7"/>
        <v>8</v>
      </c>
      <c r="AB38" s="75">
        <f t="shared" si="11"/>
        <v>47</v>
      </c>
      <c r="AC38" s="75">
        <f t="shared" si="12"/>
        <v>62</v>
      </c>
      <c r="AD38" s="75">
        <v>250</v>
      </c>
      <c r="AE38" s="76">
        <f t="shared" si="8"/>
        <v>19</v>
      </c>
      <c r="AF38" s="76">
        <f t="shared" si="2"/>
        <v>15000</v>
      </c>
      <c r="AG38" s="76">
        <f t="shared" si="3"/>
        <v>28000</v>
      </c>
      <c r="AH38" s="76">
        <f>出怪成长!C36</f>
        <v>15</v>
      </c>
      <c r="AI38" s="76" t="str">
        <f>出怪成长!D36</f>
        <v>6#30001#1|12#30002#1|15#30001,30004#1</v>
      </c>
      <c r="AJ38" s="85" t="str">
        <f>出怪数量!Z37</f>
        <v>1:2:1|1:6:1|2:12:1|2:6:1#2:6:1#3:6:1|3:6:1#2:6:1#3:6:1|3:7:1#2:7:1#3:7:1|4:9:2#2:9:1#3:9:1|4:11:2#2:11:1#3:11:1|1:14:1#2:14:1#3:14:1|2:25:1#2:16:1#3:25:1</v>
      </c>
      <c r="AK38" s="76" t="s">
        <v>471</v>
      </c>
      <c r="AL38" s="76" t="s">
        <v>472</v>
      </c>
      <c r="AM38" s="85" t="str">
        <f>每波成长!G39</f>
        <v>37#10#7</v>
      </c>
      <c r="AN38" s="75" t="s">
        <v>473</v>
      </c>
      <c r="AO38" s="86">
        <v>0</v>
      </c>
      <c r="AP38" s="75" t="s">
        <v>179</v>
      </c>
      <c r="AQ38" s="75">
        <v>2</v>
      </c>
      <c r="AR38" s="70" t="s">
        <v>530</v>
      </c>
      <c r="AS38" s="75">
        <v>0</v>
      </c>
      <c r="AT38" s="75">
        <v>0</v>
      </c>
      <c r="AU38" s="70" t="s">
        <v>531</v>
      </c>
      <c r="AV38" s="75" t="s">
        <v>532</v>
      </c>
      <c r="AW38" s="86">
        <v>0</v>
      </c>
      <c r="AX38" s="70" t="s">
        <v>149</v>
      </c>
      <c r="AY38" s="75" t="s">
        <v>477</v>
      </c>
      <c r="AZ38" s="87" t="s">
        <v>478</v>
      </c>
      <c r="BA38" s="75" t="s">
        <v>533</v>
      </c>
      <c r="BB38" s="75">
        <v>0</v>
      </c>
      <c r="BC38" s="76">
        <v>16</v>
      </c>
      <c r="BD38" s="75">
        <v>160</v>
      </c>
      <c r="BE38" s="76">
        <v>0</v>
      </c>
      <c r="BF38" s="88" t="s">
        <v>534</v>
      </c>
      <c r="BG38" s="76">
        <v>0</v>
      </c>
      <c r="BH38" s="75">
        <v>3</v>
      </c>
      <c r="BI38" s="99" t="str">
        <f t="shared" si="13"/>
        <v>MapDead</v>
      </c>
      <c r="BJ38" s="99" t="str">
        <f t="shared" si="14"/>
        <v>MapDead</v>
      </c>
      <c r="BM38" s="95"/>
      <c r="BN38" s="90"/>
    </row>
    <row r="39" s="53" customFormat="1" ht="15" customHeight="1" spans="1:70">
      <c r="A39" s="156">
        <v>46</v>
      </c>
      <c r="B39" s="64">
        <v>0</v>
      </c>
      <c r="C39" s="71" t="s">
        <v>561</v>
      </c>
      <c r="D39" s="91" t="s">
        <v>189</v>
      </c>
      <c r="E39" s="91">
        <f t="shared" si="15"/>
        <v>47</v>
      </c>
      <c r="F39" s="157">
        <v>36</v>
      </c>
      <c r="G39" s="71">
        <f t="shared" si="16"/>
        <v>56</v>
      </c>
      <c r="H39" s="71">
        <v>44</v>
      </c>
      <c r="I39" s="71">
        <v>44</v>
      </c>
      <c r="J39" s="71">
        <v>44</v>
      </c>
      <c r="K39" s="71">
        <v>5560</v>
      </c>
      <c r="L39" s="71">
        <v>11120</v>
      </c>
      <c r="M39" s="71">
        <v>16680</v>
      </c>
      <c r="N39" s="79" t="s">
        <v>562</v>
      </c>
      <c r="O39" s="79" t="s">
        <v>563</v>
      </c>
      <c r="P39" s="79" t="s">
        <v>564</v>
      </c>
      <c r="Q39" s="79" t="s">
        <v>466</v>
      </c>
      <c r="R39" s="79" t="s">
        <v>467</v>
      </c>
      <c r="S39" s="79" t="s">
        <v>468</v>
      </c>
      <c r="T39" s="83" t="s">
        <v>137</v>
      </c>
      <c r="U39" s="64">
        <v>3</v>
      </c>
      <c r="V39" s="64" t="s">
        <v>550</v>
      </c>
      <c r="W39" s="83" t="s">
        <v>139</v>
      </c>
      <c r="X39" s="83" t="s">
        <v>560</v>
      </c>
      <c r="Y39" s="75" t="s">
        <v>141</v>
      </c>
      <c r="Z39" s="75">
        <v>4</v>
      </c>
      <c r="AA39" s="75">
        <f t="shared" si="7"/>
        <v>9</v>
      </c>
      <c r="AB39" s="75">
        <f t="shared" si="11"/>
        <v>49</v>
      </c>
      <c r="AC39" s="75">
        <f t="shared" si="12"/>
        <v>64</v>
      </c>
      <c r="AD39" s="75">
        <v>250</v>
      </c>
      <c r="AE39" s="76">
        <f t="shared" si="8"/>
        <v>19</v>
      </c>
      <c r="AF39" s="76">
        <f t="shared" si="2"/>
        <v>15000</v>
      </c>
      <c r="AG39" s="76">
        <f t="shared" si="3"/>
        <v>28000</v>
      </c>
      <c r="AH39" s="76">
        <f>出怪成长!C37</f>
        <v>15</v>
      </c>
      <c r="AI39" s="76" t="str">
        <f>出怪成长!D37</f>
        <v>6#30001#1|12#30002#1|15#30001,30004#1</v>
      </c>
      <c r="AJ39" s="85" t="str">
        <f>出怪数量!Z38</f>
        <v>1:2:1|1:6:1|2:12:1|2:6:1#2:6:1#3:6:1|3:6:1#2:6:1#3:6:1|3:7:1#2:7:1#3:7:1|4:9:1#2:9:1#3:9:1|4:11:1#2:11:1#3:11:1|1:14:1#2:14:1#3:14:1|2:25:1#2:16:1#3:25:1</v>
      </c>
      <c r="AK39" s="76" t="s">
        <v>471</v>
      </c>
      <c r="AL39" s="76" t="s">
        <v>472</v>
      </c>
      <c r="AM39" s="85" t="str">
        <f>每波成长!G40</f>
        <v>39#11#8</v>
      </c>
      <c r="AN39" s="75" t="s">
        <v>473</v>
      </c>
      <c r="AO39" s="86">
        <v>0</v>
      </c>
      <c r="AP39" s="75" t="s">
        <v>179</v>
      </c>
      <c r="AQ39" s="75">
        <v>2</v>
      </c>
      <c r="AR39" s="70" t="s">
        <v>530</v>
      </c>
      <c r="AS39" s="75">
        <v>0</v>
      </c>
      <c r="AT39" s="75">
        <v>0</v>
      </c>
      <c r="AU39" s="70" t="s">
        <v>531</v>
      </c>
      <c r="AV39" s="75" t="s">
        <v>532</v>
      </c>
      <c r="AW39" s="86">
        <v>0</v>
      </c>
      <c r="AX39" s="70" t="s">
        <v>149</v>
      </c>
      <c r="AY39" s="75" t="s">
        <v>477</v>
      </c>
      <c r="AZ39" s="87" t="s">
        <v>478</v>
      </c>
      <c r="BA39" s="75" t="s">
        <v>533</v>
      </c>
      <c r="BB39" s="75">
        <v>0</v>
      </c>
      <c r="BC39" s="76">
        <v>16</v>
      </c>
      <c r="BD39" s="75">
        <v>160</v>
      </c>
      <c r="BE39" s="76">
        <v>0</v>
      </c>
      <c r="BF39" s="88" t="s">
        <v>534</v>
      </c>
      <c r="BG39" s="76">
        <v>0</v>
      </c>
      <c r="BH39" s="75">
        <v>3</v>
      </c>
      <c r="BI39" s="99" t="str">
        <f t="shared" si="13"/>
        <v>MapDead</v>
      </c>
      <c r="BJ39" s="99" t="str">
        <f t="shared" si="14"/>
        <v>MapDead</v>
      </c>
      <c r="BM39" s="95"/>
      <c r="BN39" s="90"/>
    </row>
    <row r="40" s="53" customFormat="1" ht="15" customHeight="1" spans="1:70">
      <c r="A40" s="156">
        <v>47</v>
      </c>
      <c r="B40" s="64">
        <v>0</v>
      </c>
      <c r="C40" s="71" t="s">
        <v>565</v>
      </c>
      <c r="D40" s="64" t="s">
        <v>130</v>
      </c>
      <c r="E40" s="91">
        <f t="shared" si="15"/>
        <v>48</v>
      </c>
      <c r="F40" s="157">
        <v>37</v>
      </c>
      <c r="G40" s="71">
        <f t="shared" si="16"/>
        <v>57</v>
      </c>
      <c r="H40" s="71">
        <v>50</v>
      </c>
      <c r="I40" s="71">
        <v>50</v>
      </c>
      <c r="J40" s="71">
        <v>50</v>
      </c>
      <c r="K40" s="71">
        <v>5820</v>
      </c>
      <c r="L40" s="71">
        <v>11640</v>
      </c>
      <c r="M40" s="71">
        <v>17460</v>
      </c>
      <c r="N40" s="79" t="s">
        <v>566</v>
      </c>
      <c r="O40" s="79" t="s">
        <v>567</v>
      </c>
      <c r="P40" s="79" t="s">
        <v>568</v>
      </c>
      <c r="Q40" s="79" t="s">
        <v>466</v>
      </c>
      <c r="R40" s="79" t="s">
        <v>467</v>
      </c>
      <c r="S40" s="79" t="s">
        <v>468</v>
      </c>
      <c r="T40" s="83" t="s">
        <v>137</v>
      </c>
      <c r="U40" s="64">
        <v>3</v>
      </c>
      <c r="V40" s="64" t="s">
        <v>569</v>
      </c>
      <c r="W40" s="83" t="s">
        <v>139</v>
      </c>
      <c r="X40" s="83" t="s">
        <v>570</v>
      </c>
      <c r="Y40" s="75" t="s">
        <v>141</v>
      </c>
      <c r="Z40" s="75">
        <v>4</v>
      </c>
      <c r="AA40" s="75">
        <f t="shared" si="7"/>
        <v>7</v>
      </c>
      <c r="AB40" s="75">
        <f t="shared" si="11"/>
        <v>48</v>
      </c>
      <c r="AC40" s="75">
        <f t="shared" si="12"/>
        <v>63</v>
      </c>
      <c r="AD40" s="75">
        <v>250</v>
      </c>
      <c r="AE40" s="76">
        <f t="shared" si="8"/>
        <v>19</v>
      </c>
      <c r="AF40" s="76">
        <f t="shared" si="2"/>
        <v>15000</v>
      </c>
      <c r="AG40" s="76">
        <f t="shared" si="3"/>
        <v>28000</v>
      </c>
      <c r="AH40" s="76">
        <f>出怪成长!C38</f>
        <v>15</v>
      </c>
      <c r="AI40" s="76" t="str">
        <f>出怪成长!D38</f>
        <v>6#30001#1|12#30002#1|15#30001,30004#1</v>
      </c>
      <c r="AJ40" s="85" t="str">
        <f>出怪数量!Z39</f>
        <v>1:3:1|1:7:1|2:13:1|2:7:1#2:7:1#3:7:1|3:6:1#2:6:1#3:6:1|3:7:1#2:7:1#3:7:1|4:9:2#2:9:1#3:9:1|4:11:2#2:11:1#3:11:1|1:14:1#2:14:1#3:14:1|2:25:1#2:16:1#3:25:1</v>
      </c>
      <c r="AK40" s="76" t="s">
        <v>471</v>
      </c>
      <c r="AL40" s="76" t="s">
        <v>472</v>
      </c>
      <c r="AM40" s="85" t="str">
        <f>每波成长!G41</f>
        <v>40#12#9</v>
      </c>
      <c r="AN40" s="75" t="s">
        <v>473</v>
      </c>
      <c r="AO40" s="86">
        <v>0</v>
      </c>
      <c r="AP40" s="75" t="s">
        <v>179</v>
      </c>
      <c r="AQ40" s="75">
        <v>2</v>
      </c>
      <c r="AR40" s="70" t="s">
        <v>530</v>
      </c>
      <c r="AS40" s="75">
        <v>0</v>
      </c>
      <c r="AT40" s="75">
        <v>0</v>
      </c>
      <c r="AU40" s="70" t="s">
        <v>531</v>
      </c>
      <c r="AV40" s="75" t="s">
        <v>532</v>
      </c>
      <c r="AW40" s="86">
        <v>0</v>
      </c>
      <c r="AX40" s="70" t="s">
        <v>149</v>
      </c>
      <c r="AY40" s="75" t="s">
        <v>477</v>
      </c>
      <c r="AZ40" s="87" t="s">
        <v>478</v>
      </c>
      <c r="BA40" s="75" t="s">
        <v>533</v>
      </c>
      <c r="BB40" s="75">
        <v>0</v>
      </c>
      <c r="BC40" s="76">
        <v>16</v>
      </c>
      <c r="BD40" s="75">
        <v>160</v>
      </c>
      <c r="BE40" s="76">
        <v>0</v>
      </c>
      <c r="BF40" s="88" t="s">
        <v>534</v>
      </c>
      <c r="BG40" s="76">
        <v>0</v>
      </c>
      <c r="BH40" s="75">
        <v>3</v>
      </c>
      <c r="BI40" s="99" t="str">
        <f t="shared" si="13"/>
        <v>MapDead</v>
      </c>
      <c r="BJ40" s="99" t="str">
        <f t="shared" si="14"/>
        <v>MapDead</v>
      </c>
      <c r="BM40" s="95"/>
      <c r="BN40" s="90"/>
    </row>
    <row r="41" s="53" customFormat="1" ht="15" customHeight="1" spans="1:70">
      <c r="A41" s="156">
        <v>48</v>
      </c>
      <c r="B41" s="64">
        <v>0</v>
      </c>
      <c r="C41" s="71" t="s">
        <v>571</v>
      </c>
      <c r="D41" s="91" t="s">
        <v>156</v>
      </c>
      <c r="E41" s="91">
        <f t="shared" si="15"/>
        <v>49</v>
      </c>
      <c r="F41" s="157">
        <v>38</v>
      </c>
      <c r="G41" s="71">
        <f t="shared" si="16"/>
        <v>58</v>
      </c>
      <c r="H41" s="71">
        <v>50</v>
      </c>
      <c r="I41" s="71">
        <v>50</v>
      </c>
      <c r="J41" s="71">
        <v>50</v>
      </c>
      <c r="K41" s="71">
        <v>6080</v>
      </c>
      <c r="L41" s="71">
        <v>12160</v>
      </c>
      <c r="M41" s="71">
        <v>18240</v>
      </c>
      <c r="N41" s="79" t="s">
        <v>572</v>
      </c>
      <c r="O41" s="79" t="s">
        <v>573</v>
      </c>
      <c r="P41" s="79" t="s">
        <v>574</v>
      </c>
      <c r="Q41" s="79" t="s">
        <v>466</v>
      </c>
      <c r="R41" s="79" t="s">
        <v>467</v>
      </c>
      <c r="S41" s="79" t="s">
        <v>468</v>
      </c>
      <c r="T41" s="83" t="s">
        <v>137</v>
      </c>
      <c r="U41" s="64">
        <v>3</v>
      </c>
      <c r="V41" s="64" t="s">
        <v>569</v>
      </c>
      <c r="W41" s="83" t="s">
        <v>139</v>
      </c>
      <c r="X41" s="83" t="s">
        <v>570</v>
      </c>
      <c r="Y41" s="75" t="s">
        <v>141</v>
      </c>
      <c r="Z41" s="75">
        <v>4</v>
      </c>
      <c r="AA41" s="75">
        <f t="shared" si="7"/>
        <v>8</v>
      </c>
      <c r="AB41" s="75">
        <f t="shared" si="11"/>
        <v>50</v>
      </c>
      <c r="AC41" s="75">
        <f t="shared" si="12"/>
        <v>65</v>
      </c>
      <c r="AD41" s="75">
        <v>250</v>
      </c>
      <c r="AE41" s="76">
        <f t="shared" si="8"/>
        <v>19</v>
      </c>
      <c r="AF41" s="76">
        <f t="shared" si="2"/>
        <v>15000</v>
      </c>
      <c r="AG41" s="76">
        <f t="shared" si="3"/>
        <v>28000</v>
      </c>
      <c r="AH41" s="76">
        <f>出怪成长!C39</f>
        <v>15</v>
      </c>
      <c r="AI41" s="76" t="str">
        <f>出怪成长!D39</f>
        <v>6#30001#1|12#30002#1|15#30001,30004#1</v>
      </c>
      <c r="AJ41" s="85" t="str">
        <f>出怪数量!Z40</f>
        <v>1:3:1|1:7:1|2:13:1|2:7:1#2:7:1#3:7:1|3:6:1#2:6:1#3:6:1|3:7:1#2:7:1#3:7:1|4:9:2#2:9:1#3:9:1|4:11:2#2:11:1#3:11:1|1:14:1#2:14:1#3:14:1|2:25:1#2:16:1#3:25:1</v>
      </c>
      <c r="AK41" s="76" t="s">
        <v>471</v>
      </c>
      <c r="AL41" s="76" t="s">
        <v>472</v>
      </c>
      <c r="AM41" s="85" t="str">
        <f>每波成长!G42</f>
        <v>42#12#9</v>
      </c>
      <c r="AN41" s="75" t="s">
        <v>473</v>
      </c>
      <c r="AO41" s="86">
        <v>0</v>
      </c>
      <c r="AP41" s="75" t="s">
        <v>179</v>
      </c>
      <c r="AQ41" s="75">
        <v>2</v>
      </c>
      <c r="AR41" s="70" t="s">
        <v>530</v>
      </c>
      <c r="AS41" s="75">
        <v>0</v>
      </c>
      <c r="AT41" s="75">
        <v>0</v>
      </c>
      <c r="AU41" s="70" t="s">
        <v>531</v>
      </c>
      <c r="AV41" s="75" t="s">
        <v>532</v>
      </c>
      <c r="AW41" s="86">
        <v>0</v>
      </c>
      <c r="AX41" s="70" t="s">
        <v>149</v>
      </c>
      <c r="AY41" s="75" t="s">
        <v>477</v>
      </c>
      <c r="AZ41" s="87" t="s">
        <v>478</v>
      </c>
      <c r="BA41" s="75" t="s">
        <v>533</v>
      </c>
      <c r="BB41" s="75">
        <v>0</v>
      </c>
      <c r="BC41" s="76">
        <v>16</v>
      </c>
      <c r="BD41" s="75">
        <v>160</v>
      </c>
      <c r="BE41" s="76">
        <v>0</v>
      </c>
      <c r="BF41" s="88" t="s">
        <v>534</v>
      </c>
      <c r="BG41" s="76">
        <v>0</v>
      </c>
      <c r="BH41" s="75">
        <v>3</v>
      </c>
      <c r="BI41" s="99" t="str">
        <f t="shared" si="13"/>
        <v>MapDead</v>
      </c>
      <c r="BJ41" s="99" t="str">
        <f t="shared" si="14"/>
        <v>MapDead</v>
      </c>
      <c r="BM41" s="95"/>
      <c r="BN41" s="90"/>
    </row>
    <row r="42" s="53" customFormat="1" ht="15" customHeight="1" spans="1:70">
      <c r="A42" s="156">
        <v>49</v>
      </c>
      <c r="B42" s="64">
        <v>0</v>
      </c>
      <c r="C42" s="71" t="s">
        <v>575</v>
      </c>
      <c r="D42" s="64" t="s">
        <v>174</v>
      </c>
      <c r="E42" s="91">
        <f t="shared" si="15"/>
        <v>50</v>
      </c>
      <c r="F42" s="157">
        <v>39</v>
      </c>
      <c r="G42" s="71">
        <f t="shared" si="16"/>
        <v>59</v>
      </c>
      <c r="H42" s="71">
        <v>50</v>
      </c>
      <c r="I42" s="71">
        <v>50</v>
      </c>
      <c r="J42" s="71">
        <v>50</v>
      </c>
      <c r="K42" s="71">
        <v>6340</v>
      </c>
      <c r="L42" s="71">
        <v>12680</v>
      </c>
      <c r="M42" s="71">
        <v>19020</v>
      </c>
      <c r="N42" s="79" t="s">
        <v>576</v>
      </c>
      <c r="O42" s="79" t="s">
        <v>577</v>
      </c>
      <c r="P42" s="79" t="s">
        <v>578</v>
      </c>
      <c r="Q42" s="79" t="s">
        <v>466</v>
      </c>
      <c r="R42" s="79" t="s">
        <v>467</v>
      </c>
      <c r="S42" s="79" t="s">
        <v>468</v>
      </c>
      <c r="T42" s="83" t="s">
        <v>137</v>
      </c>
      <c r="U42" s="64">
        <v>3</v>
      </c>
      <c r="V42" s="64" t="s">
        <v>569</v>
      </c>
      <c r="W42" s="83" t="s">
        <v>139</v>
      </c>
      <c r="X42" s="83" t="s">
        <v>579</v>
      </c>
      <c r="Y42" s="75" t="s">
        <v>141</v>
      </c>
      <c r="Z42" s="75">
        <v>4</v>
      </c>
      <c r="AA42" s="75">
        <f t="shared" si="7"/>
        <v>9</v>
      </c>
      <c r="AB42" s="75">
        <f t="shared" si="11"/>
        <v>52</v>
      </c>
      <c r="AC42" s="75">
        <f t="shared" si="12"/>
        <v>67</v>
      </c>
      <c r="AD42" s="75">
        <v>250</v>
      </c>
      <c r="AE42" s="76">
        <f t="shared" si="8"/>
        <v>19</v>
      </c>
      <c r="AF42" s="76">
        <f t="shared" si="2"/>
        <v>15000</v>
      </c>
      <c r="AG42" s="76">
        <f t="shared" si="3"/>
        <v>28000</v>
      </c>
      <c r="AH42" s="76">
        <f>出怪成长!C40</f>
        <v>15</v>
      </c>
      <c r="AI42" s="76" t="str">
        <f>出怪成长!D40</f>
        <v>6#30001#1|12#30002#1|15#30001,30004#1</v>
      </c>
      <c r="AJ42" s="85" t="str">
        <f>出怪数量!Z41</f>
        <v>1:3:1|1:7:1|2:13:1|2:7:1#2:7:1#3:7:1|3:6:1#2:6:1#3:6:1|3:7:1#2:7:1#3:7:1|4:9:2#2:9:1#3:9:1|4:11:2#2:11:1#3:11:1|1:14:1#2:14:1#3:14:1|2:25:1#2:16:1#3:25:1</v>
      </c>
      <c r="AK42" s="76" t="s">
        <v>471</v>
      </c>
      <c r="AL42" s="76" t="s">
        <v>472</v>
      </c>
      <c r="AM42" s="85" t="str">
        <f>每波成长!G43</f>
        <v>43#13#10</v>
      </c>
      <c r="AN42" s="75" t="s">
        <v>473</v>
      </c>
      <c r="AO42" s="86">
        <v>0</v>
      </c>
      <c r="AP42" s="75" t="s">
        <v>179</v>
      </c>
      <c r="AQ42" s="75">
        <v>2</v>
      </c>
      <c r="AR42" s="70" t="s">
        <v>530</v>
      </c>
      <c r="AS42" s="75">
        <v>0</v>
      </c>
      <c r="AT42" s="75">
        <v>0</v>
      </c>
      <c r="AU42" s="70" t="s">
        <v>531</v>
      </c>
      <c r="AV42" s="75" t="s">
        <v>532</v>
      </c>
      <c r="AW42" s="86">
        <v>0</v>
      </c>
      <c r="AX42" s="70" t="s">
        <v>149</v>
      </c>
      <c r="AY42" s="75" t="s">
        <v>477</v>
      </c>
      <c r="AZ42" s="87" t="s">
        <v>478</v>
      </c>
      <c r="BA42" s="75" t="s">
        <v>533</v>
      </c>
      <c r="BB42" s="75">
        <v>0</v>
      </c>
      <c r="BC42" s="76">
        <v>16</v>
      </c>
      <c r="BD42" s="75">
        <v>160</v>
      </c>
      <c r="BE42" s="76">
        <v>0</v>
      </c>
      <c r="BF42" s="88" t="s">
        <v>534</v>
      </c>
      <c r="BG42" s="76">
        <v>0</v>
      </c>
      <c r="BH42" s="75">
        <v>3</v>
      </c>
      <c r="BI42" s="99" t="str">
        <f t="shared" si="13"/>
        <v>MapDead</v>
      </c>
      <c r="BJ42" s="99" t="str">
        <f t="shared" si="14"/>
        <v>MapDead</v>
      </c>
      <c r="BM42" s="95"/>
      <c r="BN42" s="90"/>
    </row>
    <row r="43" s="53" customFormat="1" ht="15" customHeight="1" spans="1:70">
      <c r="A43" s="156">
        <v>50</v>
      </c>
      <c r="B43" s="64">
        <v>0</v>
      </c>
      <c r="C43" s="71" t="s">
        <v>580</v>
      </c>
      <c r="D43" s="91" t="s">
        <v>189</v>
      </c>
      <c r="E43" s="91">
        <f t="shared" si="15"/>
        <v>51</v>
      </c>
      <c r="F43" s="157">
        <v>40</v>
      </c>
      <c r="G43" s="71">
        <f t="shared" si="16"/>
        <v>60</v>
      </c>
      <c r="H43" s="71">
        <v>50</v>
      </c>
      <c r="I43" s="71">
        <v>50</v>
      </c>
      <c r="J43" s="71">
        <v>50</v>
      </c>
      <c r="K43" s="71">
        <v>6600</v>
      </c>
      <c r="L43" s="71">
        <v>13200</v>
      </c>
      <c r="M43" s="71">
        <v>19800</v>
      </c>
      <c r="N43" s="79" t="s">
        <v>581</v>
      </c>
      <c r="O43" s="79" t="s">
        <v>582</v>
      </c>
      <c r="P43" s="79" t="s">
        <v>583</v>
      </c>
      <c r="Q43" s="79" t="s">
        <v>466</v>
      </c>
      <c r="R43" s="79" t="s">
        <v>467</v>
      </c>
      <c r="S43" s="79" t="s">
        <v>468</v>
      </c>
      <c r="T43" s="83" t="s">
        <v>137</v>
      </c>
      <c r="U43" s="64">
        <v>3</v>
      </c>
      <c r="V43" s="64" t="s">
        <v>569</v>
      </c>
      <c r="W43" s="83" t="s">
        <v>139</v>
      </c>
      <c r="X43" s="83" t="s">
        <v>579</v>
      </c>
      <c r="Y43" s="75" t="s">
        <v>141</v>
      </c>
      <c r="Z43" s="75">
        <v>4</v>
      </c>
      <c r="AA43" s="75">
        <f t="shared" si="7"/>
        <v>10</v>
      </c>
      <c r="AB43" s="75">
        <f t="shared" si="11"/>
        <v>54</v>
      </c>
      <c r="AC43" s="75">
        <f t="shared" si="12"/>
        <v>69</v>
      </c>
      <c r="AD43" s="75">
        <v>250</v>
      </c>
      <c r="AE43" s="76">
        <f t="shared" si="8"/>
        <v>19</v>
      </c>
      <c r="AF43" s="76">
        <f t="shared" si="2"/>
        <v>15000</v>
      </c>
      <c r="AG43" s="76">
        <f t="shared" si="3"/>
        <v>28000</v>
      </c>
      <c r="AH43" s="76">
        <f>出怪成长!C41</f>
        <v>15</v>
      </c>
      <c r="AI43" s="76" t="str">
        <f>出怪成长!D41</f>
        <v>6#30001#1|12#30002#1|15#30001,30004#1</v>
      </c>
      <c r="AJ43" s="85" t="str">
        <f>出怪数量!Z42</f>
        <v>1:3:1|1:7:1|2:13:1|2:7:1#2:7:1#3:7:1|3:6:1#2:6:1#3:6:1|3:7:1#2:7:1#3:7:1|4:9:2#2:9:1#3:9:1|4:11:2#2:11:1#3:11:1|1:14:1#2:14:1#3:14:1|2:25:1#2:16:1#3:25:1</v>
      </c>
      <c r="AK43" s="76" t="s">
        <v>471</v>
      </c>
      <c r="AL43" s="76" t="s">
        <v>472</v>
      </c>
      <c r="AM43" s="85" t="str">
        <f>每波成长!G44</f>
        <v>45#13#10</v>
      </c>
      <c r="AN43" s="75" t="s">
        <v>473</v>
      </c>
      <c r="AO43" s="86">
        <v>0</v>
      </c>
      <c r="AP43" s="75" t="s">
        <v>179</v>
      </c>
      <c r="AQ43" s="75">
        <v>2</v>
      </c>
      <c r="AR43" s="70" t="s">
        <v>530</v>
      </c>
      <c r="AS43" s="75">
        <v>0</v>
      </c>
      <c r="AT43" s="75">
        <v>0</v>
      </c>
      <c r="AU43" s="70" t="s">
        <v>531</v>
      </c>
      <c r="AV43" s="75" t="s">
        <v>532</v>
      </c>
      <c r="AW43" s="86">
        <v>0</v>
      </c>
      <c r="AX43" s="70" t="s">
        <v>149</v>
      </c>
      <c r="AY43" s="75" t="s">
        <v>477</v>
      </c>
      <c r="AZ43" s="87" t="s">
        <v>478</v>
      </c>
      <c r="BA43" s="75" t="s">
        <v>533</v>
      </c>
      <c r="BB43" s="75">
        <v>0</v>
      </c>
      <c r="BC43" s="76">
        <v>16</v>
      </c>
      <c r="BD43" s="75">
        <v>160</v>
      </c>
      <c r="BE43" s="76">
        <v>0</v>
      </c>
      <c r="BF43" s="88" t="s">
        <v>534</v>
      </c>
      <c r="BG43" s="76">
        <v>0</v>
      </c>
      <c r="BH43" s="75">
        <v>3</v>
      </c>
      <c r="BI43" s="99" t="str">
        <f t="shared" si="13"/>
        <v>MapDead</v>
      </c>
      <c r="BJ43" s="99" t="str">
        <f t="shared" si="14"/>
        <v>MapDead</v>
      </c>
      <c r="BM43" s="95"/>
      <c r="BN43" s="90"/>
    </row>
    <row r="44" s="53" customFormat="1" ht="15" customHeight="1" spans="1:70">
      <c r="A44" s="156">
        <v>51</v>
      </c>
      <c r="B44" s="64">
        <v>0</v>
      </c>
      <c r="C44" s="71" t="s">
        <v>584</v>
      </c>
      <c r="D44" s="64" t="s">
        <v>130</v>
      </c>
      <c r="E44" s="91">
        <f t="shared" si="15"/>
        <v>52</v>
      </c>
      <c r="F44" s="157">
        <v>41</v>
      </c>
      <c r="G44" s="71">
        <f t="shared" si="16"/>
        <v>61</v>
      </c>
      <c r="H44" s="71">
        <v>58</v>
      </c>
      <c r="I44" s="71">
        <v>58</v>
      </c>
      <c r="J44" s="71">
        <v>58</v>
      </c>
      <c r="K44" s="71">
        <v>6860</v>
      </c>
      <c r="L44" s="71">
        <v>13720</v>
      </c>
      <c r="M44" s="71">
        <v>20580</v>
      </c>
      <c r="N44" s="79" t="s">
        <v>585</v>
      </c>
      <c r="O44" s="79" t="s">
        <v>586</v>
      </c>
      <c r="P44" s="79" t="s">
        <v>587</v>
      </c>
      <c r="Q44" s="79" t="s">
        <v>466</v>
      </c>
      <c r="R44" s="79" t="s">
        <v>467</v>
      </c>
      <c r="S44" s="79" t="s">
        <v>468</v>
      </c>
      <c r="T44" s="83" t="s">
        <v>137</v>
      </c>
      <c r="U44" s="64">
        <v>3</v>
      </c>
      <c r="V44" s="64" t="s">
        <v>588</v>
      </c>
      <c r="W44" s="83" t="s">
        <v>139</v>
      </c>
      <c r="X44" s="83" t="s">
        <v>589</v>
      </c>
      <c r="Y44" s="75" t="s">
        <v>141</v>
      </c>
      <c r="Z44" s="75">
        <v>4</v>
      </c>
      <c r="AA44" s="75">
        <f t="shared" si="7"/>
        <v>10</v>
      </c>
      <c r="AB44" s="75">
        <f t="shared" si="11"/>
        <v>55</v>
      </c>
      <c r="AC44" s="75">
        <f t="shared" si="12"/>
        <v>70</v>
      </c>
      <c r="AD44" s="75">
        <v>250</v>
      </c>
      <c r="AE44" s="76">
        <f t="shared" si="8"/>
        <v>20</v>
      </c>
      <c r="AF44" s="76">
        <f t="shared" si="2"/>
        <v>15000</v>
      </c>
      <c r="AG44" s="76">
        <f t="shared" si="3"/>
        <v>28000</v>
      </c>
      <c r="AH44" s="76">
        <f>出怪成长!C42</f>
        <v>15</v>
      </c>
      <c r="AI44" s="76" t="str">
        <f>出怪成长!D42</f>
        <v>6#30001#1|12#30002#1|15#30001,30004#1</v>
      </c>
      <c r="AJ44" s="85" t="str">
        <f>出怪数量!Z43</f>
        <v>1:2:1|1:6:1|2:12:1|2:7:1#2:7:1#3:7:1|3:6:1#2:6:1#3:6:1|3:8:1#2:8:1#3:8:1|4:10:2#2:10:1#3:10:1|4:12:2#2:12:1#3:12:1|1:16:1#2:16:1#3:16:1|2:28:1#2:19:1#3:28:1</v>
      </c>
      <c r="AK44" s="76" t="s">
        <v>471</v>
      </c>
      <c r="AL44" s="76" t="s">
        <v>472</v>
      </c>
      <c r="AM44" s="85" t="str">
        <f>每波成长!G45</f>
        <v>46#14#11</v>
      </c>
      <c r="AN44" s="75" t="s">
        <v>473</v>
      </c>
      <c r="AO44" s="86">
        <v>0</v>
      </c>
      <c r="AP44" s="75" t="s">
        <v>179</v>
      </c>
      <c r="AQ44" s="75">
        <v>2</v>
      </c>
      <c r="AR44" s="70" t="s">
        <v>530</v>
      </c>
      <c r="AS44" s="75">
        <v>0</v>
      </c>
      <c r="AT44" s="75">
        <v>0</v>
      </c>
      <c r="AU44" s="70" t="s">
        <v>531</v>
      </c>
      <c r="AV44" s="75" t="s">
        <v>532</v>
      </c>
      <c r="AW44" s="86">
        <v>0</v>
      </c>
      <c r="AX44" s="70" t="s">
        <v>149</v>
      </c>
      <c r="AY44" s="75" t="s">
        <v>477</v>
      </c>
      <c r="AZ44" s="87" t="s">
        <v>478</v>
      </c>
      <c r="BA44" s="75" t="s">
        <v>533</v>
      </c>
      <c r="BB44" s="75">
        <v>0</v>
      </c>
      <c r="BC44" s="76">
        <v>16</v>
      </c>
      <c r="BD44" s="75">
        <v>160</v>
      </c>
      <c r="BE44" s="76">
        <v>0</v>
      </c>
      <c r="BF44" s="88" t="s">
        <v>534</v>
      </c>
      <c r="BG44" s="76">
        <v>0</v>
      </c>
      <c r="BH44" s="75">
        <v>3</v>
      </c>
      <c r="BI44" s="99" t="str">
        <f t="shared" si="13"/>
        <v>MapDead</v>
      </c>
      <c r="BJ44" s="99" t="str">
        <f t="shared" si="14"/>
        <v>MapDead</v>
      </c>
      <c r="BM44" s="95"/>
      <c r="BN44" s="90"/>
    </row>
    <row r="45" s="53" customFormat="1" ht="15" customHeight="1" spans="1:70">
      <c r="A45" s="156">
        <v>52</v>
      </c>
      <c r="B45" s="64">
        <v>0</v>
      </c>
      <c r="C45" s="71" t="s">
        <v>590</v>
      </c>
      <c r="D45" s="91" t="s">
        <v>156</v>
      </c>
      <c r="E45" s="91">
        <f t="shared" si="15"/>
        <v>53</v>
      </c>
      <c r="F45" s="157">
        <v>42</v>
      </c>
      <c r="G45" s="71">
        <f t="shared" si="16"/>
        <v>62</v>
      </c>
      <c r="H45" s="71">
        <v>58</v>
      </c>
      <c r="I45" s="71">
        <v>58</v>
      </c>
      <c r="J45" s="71">
        <v>58</v>
      </c>
      <c r="K45" s="71">
        <v>7120</v>
      </c>
      <c r="L45" s="71">
        <v>14240</v>
      </c>
      <c r="M45" s="71">
        <v>21360</v>
      </c>
      <c r="N45" s="79" t="s">
        <v>591</v>
      </c>
      <c r="O45" s="79" t="s">
        <v>592</v>
      </c>
      <c r="P45" s="79" t="s">
        <v>593</v>
      </c>
      <c r="Q45" s="79" t="s">
        <v>466</v>
      </c>
      <c r="R45" s="79" t="s">
        <v>467</v>
      </c>
      <c r="S45" s="79" t="s">
        <v>468</v>
      </c>
      <c r="T45" s="83" t="s">
        <v>137</v>
      </c>
      <c r="U45" s="64">
        <v>3</v>
      </c>
      <c r="V45" s="64" t="s">
        <v>588</v>
      </c>
      <c r="W45" s="83" t="s">
        <v>139</v>
      </c>
      <c r="X45" s="83" t="s">
        <v>589</v>
      </c>
      <c r="Y45" s="75" t="s">
        <v>141</v>
      </c>
      <c r="Z45" s="75">
        <v>4</v>
      </c>
      <c r="AA45" s="75">
        <f t="shared" si="7"/>
        <v>9</v>
      </c>
      <c r="AB45" s="75">
        <f t="shared" si="11"/>
        <v>55</v>
      </c>
      <c r="AC45" s="75">
        <f t="shared" si="12"/>
        <v>70</v>
      </c>
      <c r="AD45" s="75">
        <v>250</v>
      </c>
      <c r="AE45" s="76">
        <f t="shared" si="8"/>
        <v>20</v>
      </c>
      <c r="AF45" s="76">
        <f t="shared" si="2"/>
        <v>15000</v>
      </c>
      <c r="AG45" s="76">
        <f t="shared" si="3"/>
        <v>28000</v>
      </c>
      <c r="AH45" s="76">
        <f>出怪成长!C43</f>
        <v>15</v>
      </c>
      <c r="AI45" s="76" t="str">
        <f>出怪成长!D43</f>
        <v>6#30001#1|12#30002#1|15#30001,30004#1</v>
      </c>
      <c r="AJ45" s="85" t="str">
        <f>出怪数量!Z44</f>
        <v>1:2:1|1:6:1|2:12:1|2:7:1#2:7:1#3:7:1|3:6:1#2:6:1#3:6:1|3:8:1#2:8:1#3:8:1|4:10:2#2:10:1#3:10:1|4:12:2#2:12:1#3:12:1|1:16:1#2:16:1#3:16:1|2:28:1#2:19:1#3:28:1</v>
      </c>
      <c r="AK45" s="76" t="s">
        <v>471</v>
      </c>
      <c r="AL45" s="76" t="s">
        <v>472</v>
      </c>
      <c r="AM45" s="85" t="str">
        <f>每波成长!G46</f>
        <v>48#15#12</v>
      </c>
      <c r="AN45" s="75" t="s">
        <v>473</v>
      </c>
      <c r="AO45" s="86">
        <v>0</v>
      </c>
      <c r="AP45" s="75" t="s">
        <v>179</v>
      </c>
      <c r="AQ45" s="75">
        <v>2</v>
      </c>
      <c r="AR45" s="70" t="s">
        <v>530</v>
      </c>
      <c r="AS45" s="75">
        <v>0</v>
      </c>
      <c r="AT45" s="75">
        <v>0</v>
      </c>
      <c r="AU45" s="70" t="s">
        <v>531</v>
      </c>
      <c r="AV45" s="75" t="s">
        <v>532</v>
      </c>
      <c r="AW45" s="86">
        <v>0</v>
      </c>
      <c r="AX45" s="70" t="s">
        <v>149</v>
      </c>
      <c r="AY45" s="75" t="s">
        <v>477</v>
      </c>
      <c r="AZ45" s="87" t="s">
        <v>478</v>
      </c>
      <c r="BA45" s="75" t="s">
        <v>533</v>
      </c>
      <c r="BB45" s="75">
        <v>0</v>
      </c>
      <c r="BC45" s="76">
        <v>16</v>
      </c>
      <c r="BD45" s="75">
        <v>160</v>
      </c>
      <c r="BE45" s="76">
        <v>0</v>
      </c>
      <c r="BF45" s="88" t="s">
        <v>534</v>
      </c>
      <c r="BG45" s="76">
        <v>0</v>
      </c>
      <c r="BH45" s="75">
        <v>3</v>
      </c>
      <c r="BI45" s="99" t="str">
        <f t="shared" si="13"/>
        <v>MapDead</v>
      </c>
      <c r="BJ45" s="99" t="str">
        <f t="shared" si="14"/>
        <v>MapDead</v>
      </c>
      <c r="BM45" s="95"/>
      <c r="BN45" s="90"/>
    </row>
    <row r="46" s="53" customFormat="1" ht="15" customHeight="1" spans="1:70">
      <c r="A46" s="156">
        <v>53</v>
      </c>
      <c r="B46" s="64">
        <v>0</v>
      </c>
      <c r="C46" s="71" t="s">
        <v>594</v>
      </c>
      <c r="D46" s="64" t="s">
        <v>174</v>
      </c>
      <c r="E46" s="91">
        <f t="shared" si="15"/>
        <v>54</v>
      </c>
      <c r="F46" s="157">
        <v>43</v>
      </c>
      <c r="G46" s="71">
        <f t="shared" si="16"/>
        <v>63</v>
      </c>
      <c r="H46" s="71">
        <v>58</v>
      </c>
      <c r="I46" s="71">
        <v>58</v>
      </c>
      <c r="J46" s="71">
        <v>58</v>
      </c>
      <c r="K46" s="71">
        <v>7380</v>
      </c>
      <c r="L46" s="71">
        <v>14760</v>
      </c>
      <c r="M46" s="71">
        <v>22140</v>
      </c>
      <c r="N46" s="79" t="s">
        <v>595</v>
      </c>
      <c r="O46" s="79" t="s">
        <v>596</v>
      </c>
      <c r="P46" s="79" t="s">
        <v>597</v>
      </c>
      <c r="Q46" s="79" t="s">
        <v>466</v>
      </c>
      <c r="R46" s="79" t="s">
        <v>467</v>
      </c>
      <c r="S46" s="79" t="s">
        <v>468</v>
      </c>
      <c r="T46" s="83" t="s">
        <v>137</v>
      </c>
      <c r="U46" s="64">
        <v>3</v>
      </c>
      <c r="V46" s="64" t="s">
        <v>598</v>
      </c>
      <c r="W46" s="83" t="s">
        <v>139</v>
      </c>
      <c r="X46" s="83" t="s">
        <v>599</v>
      </c>
      <c r="Y46" s="75" t="s">
        <v>141</v>
      </c>
      <c r="Z46" s="75">
        <v>4</v>
      </c>
      <c r="AA46" s="75">
        <f t="shared" si="7"/>
        <v>10</v>
      </c>
      <c r="AB46" s="75">
        <f t="shared" si="11"/>
        <v>57</v>
      </c>
      <c r="AC46" s="75">
        <f t="shared" si="12"/>
        <v>72</v>
      </c>
      <c r="AD46" s="75">
        <v>250</v>
      </c>
      <c r="AE46" s="76">
        <f t="shared" si="8"/>
        <v>20</v>
      </c>
      <c r="AF46" s="76">
        <f t="shared" si="2"/>
        <v>15000</v>
      </c>
      <c r="AG46" s="76">
        <f t="shared" si="3"/>
        <v>28000</v>
      </c>
      <c r="AH46" s="76">
        <f>出怪成长!C44</f>
        <v>15</v>
      </c>
      <c r="AI46" s="76" t="str">
        <f>出怪成长!D44</f>
        <v>6#30001#1|12#30002#1|15#30001,30004#1</v>
      </c>
      <c r="AJ46" s="85" t="str">
        <f>出怪数量!Z45</f>
        <v>1:2:1|1:6:1|2:12:1|2:7:1#2:7:1#3:7:1|3:6:1#2:6:1#3:6:1|3:8:1#2:8:1#3:8:1|4:10:2#2:10:1#3:10:1|4:12:2#2:12:1#3:12:1|1:16:1#2:16:1#3:16:1|2:28:1#2:19:1#3:28:1</v>
      </c>
      <c r="AK46" s="76" t="s">
        <v>471</v>
      </c>
      <c r="AL46" s="76" t="s">
        <v>472</v>
      </c>
      <c r="AM46" s="85" t="str">
        <f>每波成长!G47</f>
        <v>49#15#12</v>
      </c>
      <c r="AN46" s="75" t="s">
        <v>473</v>
      </c>
      <c r="AO46" s="86">
        <v>0</v>
      </c>
      <c r="AP46" s="75" t="s">
        <v>179</v>
      </c>
      <c r="AQ46" s="75">
        <v>2</v>
      </c>
      <c r="AR46" s="70" t="s">
        <v>530</v>
      </c>
      <c r="AS46" s="75">
        <v>0</v>
      </c>
      <c r="AT46" s="75">
        <v>0</v>
      </c>
      <c r="AU46" s="70" t="s">
        <v>531</v>
      </c>
      <c r="AV46" s="75" t="s">
        <v>532</v>
      </c>
      <c r="AW46" s="86">
        <v>0</v>
      </c>
      <c r="AX46" s="70" t="s">
        <v>149</v>
      </c>
      <c r="AY46" s="75" t="s">
        <v>477</v>
      </c>
      <c r="AZ46" s="87" t="s">
        <v>478</v>
      </c>
      <c r="BA46" s="75" t="s">
        <v>533</v>
      </c>
      <c r="BB46" s="75">
        <v>0</v>
      </c>
      <c r="BC46" s="76">
        <v>16</v>
      </c>
      <c r="BD46" s="75">
        <v>160</v>
      </c>
      <c r="BE46" s="76">
        <v>0</v>
      </c>
      <c r="BF46" s="88" t="s">
        <v>534</v>
      </c>
      <c r="BG46" s="76">
        <v>0</v>
      </c>
      <c r="BH46" s="75">
        <v>3</v>
      </c>
      <c r="BI46" s="99" t="str">
        <f t="shared" si="13"/>
        <v>MapDead</v>
      </c>
      <c r="BJ46" s="99" t="str">
        <f t="shared" si="14"/>
        <v>MapDead</v>
      </c>
      <c r="BM46" s="95"/>
      <c r="BN46" s="90"/>
    </row>
    <row r="47" s="53" customFormat="1" ht="15" customHeight="1" spans="1:70">
      <c r="A47" s="156">
        <v>54</v>
      </c>
      <c r="B47" s="64">
        <v>0</v>
      </c>
      <c r="C47" s="71" t="s">
        <v>600</v>
      </c>
      <c r="D47" s="91" t="s">
        <v>189</v>
      </c>
      <c r="E47" s="91">
        <f t="shared" si="15"/>
        <v>55</v>
      </c>
      <c r="F47" s="157">
        <v>44</v>
      </c>
      <c r="G47" s="71">
        <f t="shared" si="16"/>
        <v>64</v>
      </c>
      <c r="H47" s="71">
        <v>58</v>
      </c>
      <c r="I47" s="71">
        <v>58</v>
      </c>
      <c r="J47" s="71">
        <v>58</v>
      </c>
      <c r="K47" s="71">
        <v>7640</v>
      </c>
      <c r="L47" s="71">
        <v>15280</v>
      </c>
      <c r="M47" s="71">
        <v>22920</v>
      </c>
      <c r="N47" s="79" t="s">
        <v>601</v>
      </c>
      <c r="O47" s="79" t="s">
        <v>602</v>
      </c>
      <c r="P47" s="79" t="s">
        <v>603</v>
      </c>
      <c r="Q47" s="79" t="s">
        <v>466</v>
      </c>
      <c r="R47" s="79" t="s">
        <v>467</v>
      </c>
      <c r="S47" s="79" t="s">
        <v>468</v>
      </c>
      <c r="T47" s="83" t="s">
        <v>137</v>
      </c>
      <c r="U47" s="64">
        <v>3</v>
      </c>
      <c r="V47" s="64" t="s">
        <v>598</v>
      </c>
      <c r="W47" s="83" t="s">
        <v>139</v>
      </c>
      <c r="X47" s="83" t="s">
        <v>599</v>
      </c>
      <c r="Y47" s="75" t="s">
        <v>141</v>
      </c>
      <c r="Z47" s="75">
        <v>4</v>
      </c>
      <c r="AA47" s="75">
        <f t="shared" si="7"/>
        <v>11</v>
      </c>
      <c r="AB47" s="75">
        <f t="shared" si="11"/>
        <v>59</v>
      </c>
      <c r="AC47" s="75">
        <f t="shared" si="12"/>
        <v>74</v>
      </c>
      <c r="AD47" s="75">
        <v>250</v>
      </c>
      <c r="AE47" s="76">
        <f t="shared" si="8"/>
        <v>20</v>
      </c>
      <c r="AF47" s="76">
        <f t="shared" si="2"/>
        <v>15000</v>
      </c>
      <c r="AG47" s="76">
        <f t="shared" si="3"/>
        <v>28000</v>
      </c>
      <c r="AH47" s="76">
        <f>出怪成长!C45</f>
        <v>15</v>
      </c>
      <c r="AI47" s="76" t="str">
        <f>出怪成长!D45</f>
        <v>6#30001#1|12#30002#1|15#30001,30004#1</v>
      </c>
      <c r="AJ47" s="85" t="str">
        <f>出怪数量!Z46</f>
        <v>1:2:1|1:6:1|2:12:1|2:7:1#2:7:1#3:7:1|3:6:1#2:6:1#3:6:1|3:8:1#2:8:1#3:8:1|4:10:2#2:10:1#3:10:1|4:12:2#2:12:1#3:12:1|1:16:1#2:16:1#3:16:1|2:28:1#2:19:1#3:28:1</v>
      </c>
      <c r="AK47" s="76" t="s">
        <v>471</v>
      </c>
      <c r="AL47" s="76" t="s">
        <v>472</v>
      </c>
      <c r="AM47" s="85" t="str">
        <f>每波成长!G48</f>
        <v>31#8#5</v>
      </c>
      <c r="AN47" s="75" t="s">
        <v>473</v>
      </c>
      <c r="AO47" s="86">
        <v>0</v>
      </c>
      <c r="AP47" s="75" t="s">
        <v>179</v>
      </c>
      <c r="AQ47" s="75">
        <v>2</v>
      </c>
      <c r="AR47" s="70" t="s">
        <v>530</v>
      </c>
      <c r="AS47" s="75">
        <v>0</v>
      </c>
      <c r="AT47" s="75">
        <v>0</v>
      </c>
      <c r="AU47" s="70" t="s">
        <v>531</v>
      </c>
      <c r="AV47" s="75" t="s">
        <v>532</v>
      </c>
      <c r="AW47" s="86">
        <v>0</v>
      </c>
      <c r="AX47" s="70" t="s">
        <v>149</v>
      </c>
      <c r="AY47" s="75" t="s">
        <v>477</v>
      </c>
      <c r="AZ47" s="87" t="s">
        <v>478</v>
      </c>
      <c r="BA47" s="75" t="s">
        <v>533</v>
      </c>
      <c r="BB47" s="75">
        <v>0</v>
      </c>
      <c r="BC47" s="76">
        <v>16</v>
      </c>
      <c r="BD47" s="75">
        <v>160</v>
      </c>
      <c r="BE47" s="76">
        <v>0</v>
      </c>
      <c r="BF47" s="88" t="s">
        <v>534</v>
      </c>
      <c r="BG47" s="76">
        <v>0</v>
      </c>
      <c r="BH47" s="75">
        <v>3</v>
      </c>
      <c r="BI47" s="99" t="str">
        <f t="shared" si="13"/>
        <v>MapDead</v>
      </c>
      <c r="BJ47" s="99" t="str">
        <f t="shared" si="14"/>
        <v>MapDead</v>
      </c>
      <c r="BM47" s="95"/>
      <c r="BN47" s="90"/>
    </row>
    <row r="48" s="53" customFormat="1" ht="15" customHeight="1" spans="1:70">
      <c r="A48" s="156">
        <v>55</v>
      </c>
      <c r="B48" s="64">
        <v>0</v>
      </c>
      <c r="C48" s="71" t="s">
        <v>604</v>
      </c>
      <c r="D48" s="64" t="s">
        <v>130</v>
      </c>
      <c r="E48" s="91">
        <f t="shared" si="15"/>
        <v>56</v>
      </c>
      <c r="F48" s="157">
        <v>45</v>
      </c>
      <c r="G48" s="71">
        <f t="shared" si="16"/>
        <v>65</v>
      </c>
      <c r="H48" s="71">
        <v>66</v>
      </c>
      <c r="I48" s="71">
        <v>66</v>
      </c>
      <c r="J48" s="71">
        <v>66</v>
      </c>
      <c r="K48" s="71">
        <v>7900</v>
      </c>
      <c r="L48" s="71">
        <v>15800</v>
      </c>
      <c r="M48" s="71">
        <v>23700</v>
      </c>
      <c r="N48" s="79" t="s">
        <v>605</v>
      </c>
      <c r="O48" s="79" t="s">
        <v>606</v>
      </c>
      <c r="P48" s="79" t="s">
        <v>607</v>
      </c>
      <c r="Q48" s="79" t="s">
        <v>466</v>
      </c>
      <c r="R48" s="79" t="s">
        <v>467</v>
      </c>
      <c r="S48" s="79" t="s">
        <v>468</v>
      </c>
      <c r="T48" s="83" t="s">
        <v>137</v>
      </c>
      <c r="U48" s="64">
        <v>3</v>
      </c>
      <c r="V48" s="64" t="s">
        <v>608</v>
      </c>
      <c r="W48" s="83" t="s">
        <v>139</v>
      </c>
      <c r="X48" s="83" t="s">
        <v>609</v>
      </c>
      <c r="Y48" s="75" t="s">
        <v>141</v>
      </c>
      <c r="Z48" s="75">
        <v>4</v>
      </c>
      <c r="AA48" s="75">
        <f t="shared" si="7"/>
        <v>9</v>
      </c>
      <c r="AB48" s="75">
        <f t="shared" si="11"/>
        <v>58</v>
      </c>
      <c r="AC48" s="75">
        <f t="shared" si="12"/>
        <v>73</v>
      </c>
      <c r="AD48" s="75">
        <v>250</v>
      </c>
      <c r="AE48" s="76">
        <f t="shared" si="8"/>
        <v>20</v>
      </c>
      <c r="AF48" s="76">
        <f t="shared" si="2"/>
        <v>15000</v>
      </c>
      <c r="AG48" s="76">
        <f t="shared" si="3"/>
        <v>28000</v>
      </c>
      <c r="AH48" s="76">
        <f>出怪成长!C46</f>
        <v>15</v>
      </c>
      <c r="AI48" s="76" t="str">
        <f>出怪成长!D46</f>
        <v>6#30001#1|12#30002#1|15#30001,30004#1</v>
      </c>
      <c r="AJ48" s="85" t="str">
        <f>出怪数量!Z47</f>
        <v>1:3:1|1:7:1|2:13:1|2:7:1#2:7:1#3:7:1|3:6:1#2:6:1#3:6:1|3:8:1#2:8:1#3:8:1|4:10:1#2:10:1#3:10:1|4:12:1#2:12:1#3:12:1|1:16:1#2:16:1#3:16:1|2:28:1#2:19:1#3:28:1</v>
      </c>
      <c r="AK48" s="76" t="s">
        <v>471</v>
      </c>
      <c r="AL48" s="76" t="s">
        <v>472</v>
      </c>
      <c r="AM48" s="85" t="str">
        <f>每波成长!G49</f>
        <v>33#9#6</v>
      </c>
      <c r="AN48" s="75" t="s">
        <v>473</v>
      </c>
      <c r="AO48" s="86">
        <v>0</v>
      </c>
      <c r="AP48" s="75" t="s">
        <v>179</v>
      </c>
      <c r="AQ48" s="75">
        <v>2</v>
      </c>
      <c r="AR48" s="70" t="s">
        <v>530</v>
      </c>
      <c r="AS48" s="75">
        <v>0</v>
      </c>
      <c r="AT48" s="75">
        <v>0</v>
      </c>
      <c r="AU48" s="70" t="s">
        <v>531</v>
      </c>
      <c r="AV48" s="75" t="s">
        <v>532</v>
      </c>
      <c r="AW48" s="86">
        <v>0</v>
      </c>
      <c r="AX48" s="70" t="s">
        <v>149</v>
      </c>
      <c r="AY48" s="75" t="s">
        <v>477</v>
      </c>
      <c r="AZ48" s="87" t="s">
        <v>478</v>
      </c>
      <c r="BA48" s="75" t="s">
        <v>533</v>
      </c>
      <c r="BB48" s="75">
        <v>0</v>
      </c>
      <c r="BC48" s="76">
        <v>16</v>
      </c>
      <c r="BD48" s="75">
        <v>160</v>
      </c>
      <c r="BE48" s="76">
        <v>0</v>
      </c>
      <c r="BF48" s="88" t="s">
        <v>534</v>
      </c>
      <c r="BG48" s="76">
        <v>0</v>
      </c>
      <c r="BH48" s="75">
        <v>3</v>
      </c>
      <c r="BI48" s="99" t="str">
        <f t="shared" si="13"/>
        <v>MapDead</v>
      </c>
      <c r="BJ48" s="99" t="str">
        <f t="shared" si="14"/>
        <v>MapDead</v>
      </c>
      <c r="BM48" s="95"/>
      <c r="BN48" s="90"/>
    </row>
    <row r="49" s="53" customFormat="1" ht="15" customHeight="1" spans="1:67">
      <c r="A49" s="156">
        <v>56</v>
      </c>
      <c r="B49" s="64">
        <v>0</v>
      </c>
      <c r="C49" s="71" t="s">
        <v>610</v>
      </c>
      <c r="D49" s="91" t="s">
        <v>156</v>
      </c>
      <c r="E49" s="91">
        <f t="shared" si="15"/>
        <v>57</v>
      </c>
      <c r="F49" s="157">
        <v>46</v>
      </c>
      <c r="G49" s="71">
        <f t="shared" si="16"/>
        <v>66</v>
      </c>
      <c r="H49" s="71">
        <v>66</v>
      </c>
      <c r="I49" s="71">
        <v>66</v>
      </c>
      <c r="J49" s="71">
        <v>66</v>
      </c>
      <c r="K49" s="71">
        <v>8160</v>
      </c>
      <c r="L49" s="71">
        <v>16320</v>
      </c>
      <c r="M49" s="71">
        <v>24480</v>
      </c>
      <c r="N49" s="79" t="s">
        <v>611</v>
      </c>
      <c r="O49" s="79" t="s">
        <v>612</v>
      </c>
      <c r="P49" s="79" t="s">
        <v>613</v>
      </c>
      <c r="Q49" s="79" t="s">
        <v>466</v>
      </c>
      <c r="R49" s="79" t="s">
        <v>467</v>
      </c>
      <c r="S49" s="79" t="s">
        <v>468</v>
      </c>
      <c r="T49" s="83" t="s">
        <v>137</v>
      </c>
      <c r="U49" s="64">
        <v>3</v>
      </c>
      <c r="V49" s="64" t="s">
        <v>608</v>
      </c>
      <c r="W49" s="83" t="s">
        <v>139</v>
      </c>
      <c r="X49" s="83" t="s">
        <v>609</v>
      </c>
      <c r="Y49" s="75" t="s">
        <v>141</v>
      </c>
      <c r="Z49" s="75">
        <v>4</v>
      </c>
      <c r="AA49" s="75">
        <f t="shared" si="7"/>
        <v>10</v>
      </c>
      <c r="AB49" s="75">
        <f t="shared" si="11"/>
        <v>60</v>
      </c>
      <c r="AC49" s="75">
        <f t="shared" si="12"/>
        <v>75</v>
      </c>
      <c r="AD49" s="75">
        <v>250</v>
      </c>
      <c r="AE49" s="76">
        <f t="shared" si="8"/>
        <v>20</v>
      </c>
      <c r="AF49" s="76">
        <f t="shared" si="2"/>
        <v>15000</v>
      </c>
      <c r="AG49" s="76">
        <f t="shared" si="3"/>
        <v>28000</v>
      </c>
      <c r="AH49" s="76">
        <f>出怪成长!C47</f>
        <v>15</v>
      </c>
      <c r="AI49" s="76" t="str">
        <f>出怪成长!D47</f>
        <v>6#30001#1|12#30002#1|15#30001,30004#1</v>
      </c>
      <c r="AJ49" s="85" t="str">
        <f>出怪数量!Z48</f>
        <v>1:3:1|1:7:1|2:13:1|2:7:1#2:7:1#3:7:2|3:6:2#2:6:1#3:6:2|3:8:2#2:8:1#3:8:2|4:10:2#2:10:1#3:10:2|4:12:2#2:12:1#3:12:2|1:16:1#2:16:1#3:16:2|2:28:1#2:19:1#3:28:2</v>
      </c>
      <c r="AK49" s="76" t="s">
        <v>471</v>
      </c>
      <c r="AL49" s="76" t="s">
        <v>472</v>
      </c>
      <c r="AM49" s="85" t="str">
        <f>每波成长!G50</f>
        <v>34#9#6</v>
      </c>
      <c r="AN49" s="75" t="s">
        <v>473</v>
      </c>
      <c r="AO49" s="86">
        <v>0</v>
      </c>
      <c r="AP49" s="75" t="s">
        <v>179</v>
      </c>
      <c r="AQ49" s="75">
        <v>2</v>
      </c>
      <c r="AR49" s="70" t="s">
        <v>530</v>
      </c>
      <c r="AS49" s="75">
        <v>0</v>
      </c>
      <c r="AT49" s="75">
        <v>0</v>
      </c>
      <c r="AU49" s="70" t="s">
        <v>531</v>
      </c>
      <c r="AV49" s="75" t="s">
        <v>532</v>
      </c>
      <c r="AW49" s="86">
        <v>0</v>
      </c>
      <c r="AX49" s="70" t="s">
        <v>149</v>
      </c>
      <c r="AY49" s="75" t="s">
        <v>477</v>
      </c>
      <c r="AZ49" s="87" t="s">
        <v>478</v>
      </c>
      <c r="BA49" s="75" t="s">
        <v>533</v>
      </c>
      <c r="BB49" s="75">
        <v>0</v>
      </c>
      <c r="BC49" s="76">
        <v>16</v>
      </c>
      <c r="BD49" s="75">
        <v>160</v>
      </c>
      <c r="BE49" s="76">
        <v>0</v>
      </c>
      <c r="BF49" s="88" t="s">
        <v>534</v>
      </c>
      <c r="BG49" s="76">
        <v>0</v>
      </c>
      <c r="BH49" s="75">
        <v>3</v>
      </c>
      <c r="BI49" s="99" t="str">
        <f t="shared" si="13"/>
        <v>MapDead</v>
      </c>
      <c r="BJ49" s="99" t="str">
        <f t="shared" si="14"/>
        <v>MapDead</v>
      </c>
      <c r="BM49" s="95"/>
      <c r="BN49" s="90"/>
    </row>
    <row r="50" s="53" customFormat="1" ht="15" customHeight="1" spans="1:67">
      <c r="A50" s="156">
        <v>57</v>
      </c>
      <c r="B50" s="64">
        <v>0</v>
      </c>
      <c r="C50" s="71" t="s">
        <v>614</v>
      </c>
      <c r="D50" s="64" t="s">
        <v>174</v>
      </c>
      <c r="E50" s="91">
        <f t="shared" si="15"/>
        <v>58</v>
      </c>
      <c r="F50" s="157">
        <v>47</v>
      </c>
      <c r="G50" s="71">
        <f t="shared" si="16"/>
        <v>67</v>
      </c>
      <c r="H50" s="71">
        <v>66</v>
      </c>
      <c r="I50" s="71">
        <v>66</v>
      </c>
      <c r="J50" s="71">
        <v>66</v>
      </c>
      <c r="K50" s="71">
        <v>8420</v>
      </c>
      <c r="L50" s="71">
        <v>16840</v>
      </c>
      <c r="M50" s="71">
        <v>25260</v>
      </c>
      <c r="N50" s="79" t="s">
        <v>615</v>
      </c>
      <c r="O50" s="79" t="s">
        <v>616</v>
      </c>
      <c r="P50" s="79" t="s">
        <v>617</v>
      </c>
      <c r="Q50" s="79" t="s">
        <v>466</v>
      </c>
      <c r="R50" s="79" t="s">
        <v>467</v>
      </c>
      <c r="S50" s="79" t="s">
        <v>468</v>
      </c>
      <c r="T50" s="83" t="s">
        <v>137</v>
      </c>
      <c r="U50" s="64">
        <v>3</v>
      </c>
      <c r="V50" s="64" t="s">
        <v>608</v>
      </c>
      <c r="W50" s="83" t="s">
        <v>139</v>
      </c>
      <c r="X50" s="83" t="s">
        <v>618</v>
      </c>
      <c r="Y50" s="75" t="s">
        <v>141</v>
      </c>
      <c r="Z50" s="75">
        <v>4</v>
      </c>
      <c r="AA50" s="75">
        <f t="shared" si="7"/>
        <v>11</v>
      </c>
      <c r="AB50" s="75">
        <f t="shared" si="11"/>
        <v>62</v>
      </c>
      <c r="AC50" s="75">
        <f t="shared" si="12"/>
        <v>77</v>
      </c>
      <c r="AD50" s="75">
        <v>250</v>
      </c>
      <c r="AE50" s="76">
        <f t="shared" si="8"/>
        <v>20</v>
      </c>
      <c r="AF50" s="76">
        <f t="shared" si="2"/>
        <v>15000</v>
      </c>
      <c r="AG50" s="76">
        <f t="shared" si="3"/>
        <v>28000</v>
      </c>
      <c r="AH50" s="76">
        <f>出怪成长!C48</f>
        <v>15</v>
      </c>
      <c r="AI50" s="76" t="str">
        <f>出怪成长!D48</f>
        <v>6#30001#1|12#30002#1|15#30001,30004#1</v>
      </c>
      <c r="AJ50" s="85" t="str">
        <f>出怪数量!Z49</f>
        <v>1:3:1|1:7:1|2:13:1|2:7:1#2:7:1#3:7:1|3:6:1#2:6:1#3:6:1|3:8:1#2:8:1#3:8:1|4:10:2#2:10:1#3:10:1|4:12:2#2:12:1#3:12:1|1:16:1#2:16:1#3:16:1|2:28:1#2:19:1#3:28:1</v>
      </c>
      <c r="AK50" s="76" t="s">
        <v>471</v>
      </c>
      <c r="AL50" s="76" t="s">
        <v>472</v>
      </c>
      <c r="AM50" s="85" t="str">
        <f>每波成长!G51</f>
        <v>36#10#7</v>
      </c>
      <c r="AN50" s="75" t="s">
        <v>473</v>
      </c>
      <c r="AO50" s="86">
        <v>0</v>
      </c>
      <c r="AP50" s="75" t="s">
        <v>179</v>
      </c>
      <c r="AQ50" s="75">
        <v>2</v>
      </c>
      <c r="AR50" s="70" t="s">
        <v>530</v>
      </c>
      <c r="AS50" s="75">
        <v>0</v>
      </c>
      <c r="AT50" s="75">
        <v>0</v>
      </c>
      <c r="AU50" s="70" t="s">
        <v>531</v>
      </c>
      <c r="AV50" s="75" t="s">
        <v>532</v>
      </c>
      <c r="AW50" s="86">
        <v>0</v>
      </c>
      <c r="AX50" s="70" t="s">
        <v>149</v>
      </c>
      <c r="AY50" s="75" t="s">
        <v>477</v>
      </c>
      <c r="AZ50" s="87" t="s">
        <v>478</v>
      </c>
      <c r="BA50" s="75" t="s">
        <v>533</v>
      </c>
      <c r="BB50" s="75">
        <v>0</v>
      </c>
      <c r="BC50" s="76">
        <v>16</v>
      </c>
      <c r="BD50" s="75">
        <v>160</v>
      </c>
      <c r="BE50" s="76">
        <v>0</v>
      </c>
      <c r="BF50" s="88" t="s">
        <v>534</v>
      </c>
      <c r="BG50" s="76">
        <v>0</v>
      </c>
      <c r="BH50" s="75">
        <v>3</v>
      </c>
      <c r="BI50" s="99" t="str">
        <f t="shared" si="13"/>
        <v>MapDead</v>
      </c>
      <c r="BJ50" s="99" t="str">
        <f t="shared" si="14"/>
        <v>MapDead</v>
      </c>
      <c r="BM50" s="95"/>
      <c r="BN50" s="90"/>
    </row>
    <row r="51" s="53" customFormat="1" ht="15" customHeight="1" spans="1:67">
      <c r="A51" s="156">
        <v>58</v>
      </c>
      <c r="B51" s="64">
        <v>0</v>
      </c>
      <c r="C51" s="71" t="s">
        <v>619</v>
      </c>
      <c r="D51" s="91" t="s">
        <v>189</v>
      </c>
      <c r="E51" s="91">
        <f t="shared" si="15"/>
        <v>59</v>
      </c>
      <c r="F51" s="157">
        <v>48</v>
      </c>
      <c r="G51" s="71">
        <f t="shared" si="16"/>
        <v>68</v>
      </c>
      <c r="H51" s="71">
        <v>66</v>
      </c>
      <c r="I51" s="71">
        <v>66</v>
      </c>
      <c r="J51" s="71">
        <v>66</v>
      </c>
      <c r="K51" s="71">
        <v>8680</v>
      </c>
      <c r="L51" s="71">
        <v>17360</v>
      </c>
      <c r="M51" s="71">
        <v>26040</v>
      </c>
      <c r="N51" s="79" t="s">
        <v>620</v>
      </c>
      <c r="O51" s="79" t="s">
        <v>621</v>
      </c>
      <c r="P51" s="79" t="s">
        <v>622</v>
      </c>
      <c r="Q51" s="79" t="s">
        <v>466</v>
      </c>
      <c r="R51" s="79" t="s">
        <v>467</v>
      </c>
      <c r="S51" s="79" t="s">
        <v>468</v>
      </c>
      <c r="T51" s="83" t="s">
        <v>137</v>
      </c>
      <c r="U51" s="64">
        <v>3</v>
      </c>
      <c r="V51" s="64" t="s">
        <v>608</v>
      </c>
      <c r="W51" s="83" t="s">
        <v>139</v>
      </c>
      <c r="X51" s="83" t="s">
        <v>618</v>
      </c>
      <c r="Y51" s="75" t="s">
        <v>141</v>
      </c>
      <c r="Z51" s="75">
        <v>4</v>
      </c>
      <c r="AA51" s="75">
        <f t="shared" si="7"/>
        <v>12</v>
      </c>
      <c r="AB51" s="75">
        <f t="shared" si="11"/>
        <v>64</v>
      </c>
      <c r="AC51" s="75">
        <f t="shared" si="12"/>
        <v>79</v>
      </c>
      <c r="AD51" s="75">
        <v>250</v>
      </c>
      <c r="AE51" s="76">
        <f t="shared" si="8"/>
        <v>20</v>
      </c>
      <c r="AF51" s="76">
        <f t="shared" si="2"/>
        <v>15000</v>
      </c>
      <c r="AG51" s="76">
        <f t="shared" si="3"/>
        <v>28000</v>
      </c>
      <c r="AH51" s="76">
        <f>出怪成长!C49</f>
        <v>15</v>
      </c>
      <c r="AI51" s="76" t="str">
        <f>出怪成长!D49</f>
        <v>6#30001#1|12#30002#1|15#30001,30004#1</v>
      </c>
      <c r="AJ51" s="85" t="str">
        <f>出怪数量!Z50</f>
        <v>1:3:1|1:7:1|2:13:1|2:7:1#2:7:1#3:7:1|3:6:1#2:6:1#3:6:1|3:8:1#2:8:1#3:8:1|4:10:1#2:10:1#3:10:1|4:12:1#2:12:1#3:12:1|1:16:1#2:16:1#3:16:1|2:28:1#2:19:1#3:28:1</v>
      </c>
      <c r="AK51" s="76" t="s">
        <v>471</v>
      </c>
      <c r="AL51" s="76" t="s">
        <v>472</v>
      </c>
      <c r="AM51" s="85" t="str">
        <f>每波成长!G52</f>
        <v>37#10#7</v>
      </c>
      <c r="AN51" s="75" t="s">
        <v>473</v>
      </c>
      <c r="AO51" s="86">
        <v>0</v>
      </c>
      <c r="AP51" s="75" t="s">
        <v>179</v>
      </c>
      <c r="AQ51" s="75">
        <v>2</v>
      </c>
      <c r="AR51" s="70" t="s">
        <v>530</v>
      </c>
      <c r="AS51" s="75">
        <v>0</v>
      </c>
      <c r="AT51" s="75">
        <v>0</v>
      </c>
      <c r="AU51" s="70" t="s">
        <v>531</v>
      </c>
      <c r="AV51" s="75" t="s">
        <v>532</v>
      </c>
      <c r="AW51" s="86">
        <v>0</v>
      </c>
      <c r="AX51" s="70" t="s">
        <v>149</v>
      </c>
      <c r="AY51" s="75" t="s">
        <v>477</v>
      </c>
      <c r="AZ51" s="87" t="s">
        <v>478</v>
      </c>
      <c r="BA51" s="75" t="s">
        <v>533</v>
      </c>
      <c r="BB51" s="75">
        <v>0</v>
      </c>
      <c r="BC51" s="76">
        <v>16</v>
      </c>
      <c r="BD51" s="75">
        <v>160</v>
      </c>
      <c r="BE51" s="76">
        <v>0</v>
      </c>
      <c r="BF51" s="88" t="s">
        <v>534</v>
      </c>
      <c r="BG51" s="76">
        <v>0</v>
      </c>
      <c r="BH51" s="75">
        <v>3</v>
      </c>
      <c r="BI51" s="99" t="str">
        <f t="shared" si="13"/>
        <v>MapDead</v>
      </c>
      <c r="BJ51" s="99" t="str">
        <f t="shared" si="14"/>
        <v>MapDead</v>
      </c>
      <c r="BM51" s="95"/>
      <c r="BN51" s="90"/>
    </row>
    <row r="52" s="53" customFormat="1" ht="15" customHeight="1" spans="1:67">
      <c r="A52" s="156">
        <v>59</v>
      </c>
      <c r="B52" s="64">
        <v>0</v>
      </c>
      <c r="C52" s="71" t="s">
        <v>623</v>
      </c>
      <c r="D52" s="64" t="s">
        <v>130</v>
      </c>
      <c r="E52" s="91">
        <f t="shared" si="15"/>
        <v>60</v>
      </c>
      <c r="F52" s="157">
        <v>49</v>
      </c>
      <c r="G52" s="71">
        <f t="shared" si="16"/>
        <v>69</v>
      </c>
      <c r="H52" s="71">
        <v>66</v>
      </c>
      <c r="I52" s="71">
        <v>66</v>
      </c>
      <c r="J52" s="71">
        <v>66</v>
      </c>
      <c r="K52" s="71">
        <v>8940</v>
      </c>
      <c r="L52" s="71">
        <v>17880</v>
      </c>
      <c r="M52" s="71">
        <v>26820</v>
      </c>
      <c r="N52" s="79" t="s">
        <v>624</v>
      </c>
      <c r="O52" s="79" t="s">
        <v>625</v>
      </c>
      <c r="P52" s="79" t="s">
        <v>626</v>
      </c>
      <c r="Q52" s="79" t="s">
        <v>466</v>
      </c>
      <c r="R52" s="79" t="s">
        <v>467</v>
      </c>
      <c r="S52" s="79" t="s">
        <v>468</v>
      </c>
      <c r="T52" s="83" t="s">
        <v>137</v>
      </c>
      <c r="U52" s="64">
        <v>3</v>
      </c>
      <c r="V52" s="64" t="s">
        <v>627</v>
      </c>
      <c r="W52" s="83" t="s">
        <v>139</v>
      </c>
      <c r="X52" s="83" t="s">
        <v>628</v>
      </c>
      <c r="Y52" s="75" t="s">
        <v>141</v>
      </c>
      <c r="Z52" s="75">
        <v>4</v>
      </c>
      <c r="AA52" s="75">
        <f t="shared" si="7"/>
        <v>12</v>
      </c>
      <c r="AB52" s="75">
        <f t="shared" si="11"/>
        <v>65</v>
      </c>
      <c r="AC52" s="75">
        <f t="shared" si="12"/>
        <v>80</v>
      </c>
      <c r="AD52" s="75">
        <v>250</v>
      </c>
      <c r="AE52" s="76">
        <f t="shared" si="8"/>
        <v>21</v>
      </c>
      <c r="AF52" s="76">
        <f t="shared" si="2"/>
        <v>15000</v>
      </c>
      <c r="AG52" s="76">
        <f t="shared" si="3"/>
        <v>28000</v>
      </c>
      <c r="AH52" s="76">
        <f>出怪成长!C50</f>
        <v>15</v>
      </c>
      <c r="AI52" s="76" t="str">
        <f>出怪成长!D50</f>
        <v>6#30001#1|12#30002#1|15#30001,30004#1</v>
      </c>
      <c r="AJ52" s="85" t="str">
        <f>出怪数量!Z51</f>
        <v>1:2:1|1:3:1|2:10:1|2:6:1#2:6:1#3:6:1|3:6:1#2:6:1#3:6:1|3:9:1#2:9:1#3:9:1|4:11:1#2:11:1#3:11:1|4:13:1#2:13:1#3:13:1|1:18:1#2:18:1#3:18:1|2:32:1#2:21:1#3:32:1</v>
      </c>
      <c r="AK52" s="76" t="s">
        <v>471</v>
      </c>
      <c r="AL52" s="76" t="s">
        <v>472</v>
      </c>
      <c r="AM52" s="85" t="str">
        <f>每波成长!G53</f>
        <v>39#11#8</v>
      </c>
      <c r="AN52" s="75" t="s">
        <v>473</v>
      </c>
      <c r="AO52" s="86">
        <v>0</v>
      </c>
      <c r="AP52" s="75" t="s">
        <v>179</v>
      </c>
      <c r="AQ52" s="75">
        <v>2</v>
      </c>
      <c r="AR52" s="70" t="s">
        <v>530</v>
      </c>
      <c r="AS52" s="75">
        <v>0</v>
      </c>
      <c r="AT52" s="75">
        <v>0</v>
      </c>
      <c r="AU52" s="70" t="s">
        <v>531</v>
      </c>
      <c r="AV52" s="75" t="s">
        <v>532</v>
      </c>
      <c r="AW52" s="86">
        <v>0</v>
      </c>
      <c r="AX52" s="70" t="s">
        <v>149</v>
      </c>
      <c r="AY52" s="75" t="s">
        <v>477</v>
      </c>
      <c r="AZ52" s="87" t="s">
        <v>478</v>
      </c>
      <c r="BA52" s="75" t="s">
        <v>533</v>
      </c>
      <c r="BB52" s="75">
        <v>0</v>
      </c>
      <c r="BC52" s="76">
        <v>16</v>
      </c>
      <c r="BD52" s="75">
        <v>160</v>
      </c>
      <c r="BE52" s="76">
        <v>0</v>
      </c>
      <c r="BF52" s="88" t="s">
        <v>534</v>
      </c>
      <c r="BG52" s="76">
        <v>0</v>
      </c>
      <c r="BH52" s="75">
        <v>3</v>
      </c>
      <c r="BI52" s="99" t="str">
        <f t="shared" si="13"/>
        <v>MapDead</v>
      </c>
      <c r="BJ52" s="99" t="str">
        <f t="shared" si="14"/>
        <v>MapDead</v>
      </c>
      <c r="BM52" s="95"/>
      <c r="BN52" s="90"/>
    </row>
    <row r="53" s="53" customFormat="1" ht="15" customHeight="1" spans="1:67">
      <c r="A53" s="156">
        <v>60</v>
      </c>
      <c r="B53" s="64">
        <v>0</v>
      </c>
      <c r="C53" s="71" t="s">
        <v>629</v>
      </c>
      <c r="D53" s="91" t="s">
        <v>156</v>
      </c>
      <c r="E53" s="91" t="s">
        <v>137</v>
      </c>
      <c r="F53" s="157">
        <v>50</v>
      </c>
      <c r="G53" s="71">
        <f t="shared" si="16"/>
        <v>70</v>
      </c>
      <c r="H53" s="71">
        <v>66</v>
      </c>
      <c r="I53" s="71">
        <v>66</v>
      </c>
      <c r="J53" s="71">
        <v>66</v>
      </c>
      <c r="K53" s="71">
        <v>9200</v>
      </c>
      <c r="L53" s="71">
        <v>18400</v>
      </c>
      <c r="M53" s="71">
        <v>27600</v>
      </c>
      <c r="N53" s="79" t="s">
        <v>630</v>
      </c>
      <c r="O53" s="79" t="s">
        <v>631</v>
      </c>
      <c r="P53" s="79" t="s">
        <v>632</v>
      </c>
      <c r="Q53" s="79" t="s">
        <v>466</v>
      </c>
      <c r="R53" s="79" t="s">
        <v>467</v>
      </c>
      <c r="S53" s="79" t="s">
        <v>468</v>
      </c>
      <c r="T53" s="83" t="s">
        <v>137</v>
      </c>
      <c r="U53" s="64">
        <v>3</v>
      </c>
      <c r="V53" s="64" t="s">
        <v>627</v>
      </c>
      <c r="W53" s="83" t="s">
        <v>139</v>
      </c>
      <c r="X53" s="83" t="s">
        <v>628</v>
      </c>
      <c r="Y53" s="75" t="s">
        <v>141</v>
      </c>
      <c r="Z53" s="75">
        <v>4</v>
      </c>
      <c r="AA53" s="75">
        <f t="shared" si="7"/>
        <v>11</v>
      </c>
      <c r="AB53" s="75">
        <f t="shared" si="11"/>
        <v>65</v>
      </c>
      <c r="AC53" s="75">
        <f t="shared" si="12"/>
        <v>80</v>
      </c>
      <c r="AD53" s="75">
        <v>250</v>
      </c>
      <c r="AE53" s="76">
        <f t="shared" si="8"/>
        <v>21</v>
      </c>
      <c r="AF53" s="76">
        <f t="shared" si="2"/>
        <v>15000</v>
      </c>
      <c r="AG53" s="76">
        <f t="shared" si="3"/>
        <v>28000</v>
      </c>
      <c r="AH53" s="76">
        <f>出怪成长!C51</f>
        <v>15</v>
      </c>
      <c r="AI53" s="76" t="str">
        <f>出怪成长!D51</f>
        <v>6#30001#1|12#30002#1|15#30001,30004#1</v>
      </c>
      <c r="AJ53" s="85" t="str">
        <f>出怪数量!Z52</f>
        <v>1:2:1|1:3:1|2:10:1|2:6:1#2:6:1#3:6:1|3:6:1#2:6:1#3:6:1|3:9:1#2:9:1#3:9:1|4:11:1#2:11:1#3:11:1|4:13:1#2:13:1#3:13:1|1:18:1#2:18:1#3:18:1|2:32:1#2:21:1#3:32:1</v>
      </c>
      <c r="AK53" s="76" t="s">
        <v>471</v>
      </c>
      <c r="AL53" s="76" t="s">
        <v>472</v>
      </c>
      <c r="AM53" s="85" t="str">
        <f>每波成长!G54</f>
        <v>40#12#9</v>
      </c>
      <c r="AN53" s="75" t="s">
        <v>473</v>
      </c>
      <c r="AO53" s="86">
        <v>0</v>
      </c>
      <c r="AP53" s="75" t="s">
        <v>179</v>
      </c>
      <c r="AQ53" s="75">
        <v>2</v>
      </c>
      <c r="AR53" s="70" t="s">
        <v>530</v>
      </c>
      <c r="AS53" s="75">
        <v>0</v>
      </c>
      <c r="AT53" s="75">
        <v>0</v>
      </c>
      <c r="AU53" s="70" t="s">
        <v>531</v>
      </c>
      <c r="AV53" s="75" t="s">
        <v>532</v>
      </c>
      <c r="AW53" s="86">
        <v>0</v>
      </c>
      <c r="AX53" s="70" t="s">
        <v>149</v>
      </c>
      <c r="AY53" s="75" t="s">
        <v>477</v>
      </c>
      <c r="AZ53" s="87" t="s">
        <v>478</v>
      </c>
      <c r="BA53" s="75" t="s">
        <v>533</v>
      </c>
      <c r="BB53" s="75">
        <v>0</v>
      </c>
      <c r="BC53" s="76">
        <v>16</v>
      </c>
      <c r="BD53" s="75">
        <v>160</v>
      </c>
      <c r="BE53" s="76">
        <v>0</v>
      </c>
      <c r="BF53" s="88" t="s">
        <v>534</v>
      </c>
      <c r="BG53" s="76">
        <v>0</v>
      </c>
      <c r="BH53" s="75">
        <v>3</v>
      </c>
      <c r="BI53" s="99" t="str">
        <f t="shared" si="13"/>
        <v>MapDead</v>
      </c>
      <c r="BJ53" s="99" t="str">
        <f t="shared" si="14"/>
        <v>MapDead</v>
      </c>
      <c r="BM53" s="95"/>
      <c r="BN53" s="90"/>
    </row>
    <row r="54" s="57" customFormat="1" spans="1:67">
      <c r="A54" s="158">
        <v>401</v>
      </c>
      <c r="B54" s="108">
        <v>3</v>
      </c>
      <c r="C54" s="109" t="s">
        <v>633</v>
      </c>
      <c r="D54" s="108" t="s">
        <v>634</v>
      </c>
      <c r="E54" s="108">
        <v>402</v>
      </c>
      <c r="F54" s="108">
        <v>10</v>
      </c>
      <c r="G54" s="71">
        <f t="shared" ref="G54:G68" si="17">F54+20</f>
        <v>30</v>
      </c>
      <c r="H54" s="109">
        <v>0</v>
      </c>
      <c r="I54" s="109">
        <v>0</v>
      </c>
      <c r="J54" s="109">
        <v>0</v>
      </c>
      <c r="K54" s="109">
        <v>0</v>
      </c>
      <c r="L54" s="109">
        <v>0</v>
      </c>
      <c r="M54" s="109">
        <v>0</v>
      </c>
      <c r="N54" s="110" t="s">
        <v>635</v>
      </c>
      <c r="O54" s="110" t="s">
        <v>137</v>
      </c>
      <c r="P54" s="110" t="s">
        <v>137</v>
      </c>
      <c r="Q54" s="110" t="s">
        <v>137</v>
      </c>
      <c r="R54" s="110" t="s">
        <v>137</v>
      </c>
      <c r="S54" s="110" t="s">
        <v>137</v>
      </c>
      <c r="T54" s="109">
        <v>0</v>
      </c>
      <c r="U54" s="64">
        <v>10</v>
      </c>
      <c r="V54" s="130"/>
      <c r="W54" s="109"/>
      <c r="X54" s="109"/>
      <c r="Y54" s="111" t="s">
        <v>141</v>
      </c>
      <c r="Z54" s="111">
        <v>0</v>
      </c>
      <c r="AA54" s="111">
        <v>1</v>
      </c>
      <c r="AB54" s="75">
        <f t="shared" ref="AB54:AB68" si="18">F54+AA54+Z54</f>
        <v>11</v>
      </c>
      <c r="AC54" s="75">
        <f t="shared" ref="AC54:AC68" si="19">AB54+15</f>
        <v>26</v>
      </c>
      <c r="AD54" s="75">
        <v>250</v>
      </c>
      <c r="AE54" s="111">
        <v>3</v>
      </c>
      <c r="AF54" s="112">
        <v>15000</v>
      </c>
      <c r="AG54" s="112">
        <v>20000</v>
      </c>
      <c r="AH54" s="112">
        <v>10</v>
      </c>
      <c r="AI54" s="76">
        <f>出怪成长!D98</f>
        <v>0</v>
      </c>
      <c r="AJ54" s="113" t="s">
        <v>636</v>
      </c>
      <c r="AK54" s="111" t="s">
        <v>637</v>
      </c>
      <c r="AL54" s="114" t="s">
        <v>638</v>
      </c>
      <c r="AM54" s="113" t="s">
        <v>639</v>
      </c>
      <c r="AN54" s="111">
        <v>0</v>
      </c>
      <c r="AO54" s="115">
        <v>0</v>
      </c>
      <c r="AP54" s="116">
        <v>0</v>
      </c>
      <c r="AQ54" s="111">
        <v>0</v>
      </c>
      <c r="AR54" s="111" t="str">
        <f t="shared" ref="AR54:AR97" si="20">"Lv"&amp;AA54&amp;""</f>
        <v>Lv1</v>
      </c>
      <c r="AS54" s="75">
        <v>0</v>
      </c>
      <c r="AT54" s="75">
        <v>0</v>
      </c>
      <c r="AU54" s="70" t="s">
        <v>640</v>
      </c>
      <c r="AV54" s="108">
        <v>0</v>
      </c>
      <c r="AW54" s="117">
        <v>0</v>
      </c>
      <c r="AX54" s="108">
        <v>0</v>
      </c>
      <c r="AY54" s="108" t="s">
        <v>641</v>
      </c>
      <c r="AZ54" s="108" t="s">
        <v>642</v>
      </c>
      <c r="BA54" s="108" t="s">
        <v>643</v>
      </c>
      <c r="BB54" s="75">
        <v>0</v>
      </c>
      <c r="BC54" s="108">
        <v>1</v>
      </c>
      <c r="BD54" s="108">
        <v>10</v>
      </c>
      <c r="BE54" s="108" t="s">
        <v>644</v>
      </c>
      <c r="BF54" s="118" t="s">
        <v>645</v>
      </c>
      <c r="BG54" s="76">
        <v>0</v>
      </c>
      <c r="BH54" s="108">
        <v>0</v>
      </c>
      <c r="BI54" s="70" t="s">
        <v>141</v>
      </c>
      <c r="BJ54" s="111" t="s">
        <v>141</v>
      </c>
      <c r="BK54" s="57">
        <v>1</v>
      </c>
      <c r="BM54" s="119">
        <f t="shared" ref="BM54:BM64" si="21">BK54*1000+INT(MIN(9,(AA54+1)/1.5))+INT((AA54-1)/6)*100</f>
        <v>1001</v>
      </c>
      <c r="BN54" s="57">
        <f t="shared" ref="BN54:BN64" si="22">BM54</f>
        <v>1001</v>
      </c>
      <c r="BO54" s="119"/>
    </row>
    <row r="55" s="58" customFormat="1" spans="1:67">
      <c r="A55" s="159">
        <v>402</v>
      </c>
      <c r="B55" s="120">
        <v>3</v>
      </c>
      <c r="C55" s="121" t="s">
        <v>633</v>
      </c>
      <c r="D55" s="120" t="s">
        <v>634</v>
      </c>
      <c r="E55" s="120">
        <v>403</v>
      </c>
      <c r="F55" s="120">
        <v>15</v>
      </c>
      <c r="G55" s="71">
        <f t="shared" ref="G55:G86" si="23">F55+20</f>
        <v>35</v>
      </c>
      <c r="H55" s="109">
        <v>0</v>
      </c>
      <c r="I55" s="109">
        <v>0</v>
      </c>
      <c r="J55" s="109">
        <v>0</v>
      </c>
      <c r="K55" s="109">
        <v>0</v>
      </c>
      <c r="L55" s="109">
        <v>0</v>
      </c>
      <c r="M55" s="109">
        <v>0</v>
      </c>
      <c r="N55" s="122" t="s">
        <v>646</v>
      </c>
      <c r="O55" s="110" t="s">
        <v>137</v>
      </c>
      <c r="P55" s="110" t="s">
        <v>137</v>
      </c>
      <c r="Q55" s="110" t="s">
        <v>137</v>
      </c>
      <c r="R55" s="110" t="s">
        <v>137</v>
      </c>
      <c r="S55" s="110" t="s">
        <v>137</v>
      </c>
      <c r="T55" s="121">
        <v>0</v>
      </c>
      <c r="U55" s="64">
        <v>10</v>
      </c>
      <c r="V55" s="133"/>
      <c r="W55" s="121"/>
      <c r="X55" s="121"/>
      <c r="Y55" s="123" t="s">
        <v>141</v>
      </c>
      <c r="Z55" s="123">
        <v>0</v>
      </c>
      <c r="AA55" s="123">
        <v>2</v>
      </c>
      <c r="AB55" s="75">
        <f t="shared" ref="AB55:AB86" si="24">F55+AA55+Z55</f>
        <v>17</v>
      </c>
      <c r="AC55" s="75">
        <f t="shared" ref="AC55:AC86" si="25">AB55+15</f>
        <v>32</v>
      </c>
      <c r="AD55" s="75">
        <v>250</v>
      </c>
      <c r="AE55" s="123">
        <v>3</v>
      </c>
      <c r="AF55" s="124">
        <v>15000</v>
      </c>
      <c r="AG55" s="124">
        <v>20000</v>
      </c>
      <c r="AH55" s="124">
        <v>10</v>
      </c>
      <c r="AI55" s="76">
        <f>出怪成长!D99</f>
        <v>0</v>
      </c>
      <c r="AJ55" s="125" t="s">
        <v>636</v>
      </c>
      <c r="AK55" s="123" t="s">
        <v>637</v>
      </c>
      <c r="AL55" s="126" t="s">
        <v>638</v>
      </c>
      <c r="AM55" s="125" t="s">
        <v>647</v>
      </c>
      <c r="AN55" s="123">
        <v>0</v>
      </c>
      <c r="AO55" s="116">
        <v>0</v>
      </c>
      <c r="AP55" s="116">
        <v>0</v>
      </c>
      <c r="AQ55" s="123">
        <v>0</v>
      </c>
      <c r="AR55" s="123" t="str">
        <f t="shared" si="20"/>
        <v>Lv2</v>
      </c>
      <c r="AS55" s="75">
        <v>0</v>
      </c>
      <c r="AT55" s="75">
        <v>0</v>
      </c>
      <c r="AU55" s="70" t="s">
        <v>648</v>
      </c>
      <c r="AV55" s="120">
        <v>0</v>
      </c>
      <c r="AW55" s="127">
        <v>0</v>
      </c>
      <c r="AX55" s="120">
        <v>0</v>
      </c>
      <c r="AY55" s="120" t="s">
        <v>641</v>
      </c>
      <c r="AZ55" s="120" t="s">
        <v>642</v>
      </c>
      <c r="BA55" s="120" t="s">
        <v>643</v>
      </c>
      <c r="BB55" s="75">
        <v>0</v>
      </c>
      <c r="BC55" s="120">
        <v>2.5</v>
      </c>
      <c r="BD55" s="120">
        <v>25</v>
      </c>
      <c r="BE55" s="120" t="s">
        <v>649</v>
      </c>
      <c r="BF55" s="128" t="s">
        <v>650</v>
      </c>
      <c r="BG55" s="76">
        <v>0</v>
      </c>
      <c r="BH55" s="120">
        <v>0</v>
      </c>
      <c r="BI55" s="70" t="s">
        <v>141</v>
      </c>
      <c r="BJ55" s="123" t="s">
        <v>651</v>
      </c>
      <c r="BK55" s="58">
        <v>3</v>
      </c>
      <c r="BM55" s="129">
        <f t="shared" si="21"/>
        <v>3002</v>
      </c>
      <c r="BN55" s="58">
        <f t="shared" si="22"/>
        <v>3002</v>
      </c>
      <c r="BO55" s="129"/>
    </row>
    <row r="56" s="58" customFormat="1" spans="1:67">
      <c r="A56" s="159">
        <v>403</v>
      </c>
      <c r="B56" s="120">
        <v>3</v>
      </c>
      <c r="C56" s="121" t="s">
        <v>633</v>
      </c>
      <c r="D56" s="120" t="s">
        <v>634</v>
      </c>
      <c r="E56" s="120">
        <v>404</v>
      </c>
      <c r="F56" s="120">
        <v>20</v>
      </c>
      <c r="G56" s="71">
        <f t="shared" si="23"/>
        <v>40</v>
      </c>
      <c r="H56" s="109">
        <v>0</v>
      </c>
      <c r="I56" s="109">
        <v>0</v>
      </c>
      <c r="J56" s="109">
        <v>0</v>
      </c>
      <c r="K56" s="109">
        <v>0</v>
      </c>
      <c r="L56" s="109">
        <v>0</v>
      </c>
      <c r="M56" s="109">
        <v>0</v>
      </c>
      <c r="N56" s="122" t="s">
        <v>652</v>
      </c>
      <c r="O56" s="110" t="s">
        <v>137</v>
      </c>
      <c r="P56" s="110" t="s">
        <v>137</v>
      </c>
      <c r="Q56" s="110" t="s">
        <v>137</v>
      </c>
      <c r="R56" s="110" t="s">
        <v>137</v>
      </c>
      <c r="S56" s="110" t="s">
        <v>137</v>
      </c>
      <c r="T56" s="121">
        <v>0</v>
      </c>
      <c r="U56" s="64">
        <v>10</v>
      </c>
      <c r="V56" s="133"/>
      <c r="W56" s="121"/>
      <c r="X56" s="121"/>
      <c r="Y56" s="123" t="s">
        <v>141</v>
      </c>
      <c r="Z56" s="123">
        <v>0</v>
      </c>
      <c r="AA56" s="123">
        <v>3</v>
      </c>
      <c r="AB56" s="75">
        <f t="shared" si="24"/>
        <v>23</v>
      </c>
      <c r="AC56" s="75">
        <f t="shared" si="25"/>
        <v>38</v>
      </c>
      <c r="AD56" s="75">
        <v>250</v>
      </c>
      <c r="AE56" s="123">
        <v>4</v>
      </c>
      <c r="AF56" s="124">
        <v>15000</v>
      </c>
      <c r="AG56" s="124">
        <v>20000</v>
      </c>
      <c r="AH56" s="124">
        <v>10</v>
      </c>
      <c r="AI56" s="76">
        <f>出怪成长!D100</f>
        <v>0</v>
      </c>
      <c r="AJ56" s="125" t="s">
        <v>636</v>
      </c>
      <c r="AK56" s="123" t="s">
        <v>637</v>
      </c>
      <c r="AL56" s="126" t="s">
        <v>638</v>
      </c>
      <c r="AM56" s="125" t="s">
        <v>653</v>
      </c>
      <c r="AN56" s="123">
        <v>0</v>
      </c>
      <c r="AO56" s="116">
        <v>0</v>
      </c>
      <c r="AP56" s="116">
        <v>0</v>
      </c>
      <c r="AQ56" s="123">
        <v>0</v>
      </c>
      <c r="AR56" s="123" t="str">
        <f t="shared" si="20"/>
        <v>Lv3</v>
      </c>
      <c r="AS56" s="75">
        <v>0</v>
      </c>
      <c r="AT56" s="75">
        <v>0</v>
      </c>
      <c r="AU56" s="70" t="s">
        <v>654</v>
      </c>
      <c r="AV56" s="120">
        <v>0</v>
      </c>
      <c r="AW56" s="127">
        <v>0</v>
      </c>
      <c r="AX56" s="120">
        <v>0</v>
      </c>
      <c r="AY56" s="120" t="s">
        <v>641</v>
      </c>
      <c r="AZ56" s="120" t="s">
        <v>642</v>
      </c>
      <c r="BA56" s="120" t="s">
        <v>643</v>
      </c>
      <c r="BB56" s="75">
        <v>0</v>
      </c>
      <c r="BC56" s="120">
        <v>8</v>
      </c>
      <c r="BD56" s="120">
        <v>80</v>
      </c>
      <c r="BE56" s="120" t="s">
        <v>411</v>
      </c>
      <c r="BF56" s="128" t="s">
        <v>655</v>
      </c>
      <c r="BG56" s="76">
        <v>0</v>
      </c>
      <c r="BH56" s="120">
        <v>0</v>
      </c>
      <c r="BI56" s="70" t="s">
        <v>141</v>
      </c>
      <c r="BJ56" s="123" t="s">
        <v>374</v>
      </c>
      <c r="BK56" s="58">
        <v>2</v>
      </c>
      <c r="BM56" s="129">
        <f t="shared" si="21"/>
        <v>2002</v>
      </c>
      <c r="BN56" s="58">
        <f t="shared" si="22"/>
        <v>2002</v>
      </c>
      <c r="BO56" s="129"/>
    </row>
    <row r="57" s="58" customFormat="1" spans="1:67">
      <c r="A57" s="159">
        <v>404</v>
      </c>
      <c r="B57" s="120">
        <v>3</v>
      </c>
      <c r="C57" s="121" t="s">
        <v>633</v>
      </c>
      <c r="D57" s="120" t="s">
        <v>634</v>
      </c>
      <c r="E57" s="120">
        <v>405</v>
      </c>
      <c r="F57" s="120">
        <v>25</v>
      </c>
      <c r="G57" s="71">
        <f t="shared" si="23"/>
        <v>45</v>
      </c>
      <c r="H57" s="109">
        <v>0</v>
      </c>
      <c r="I57" s="109">
        <v>0</v>
      </c>
      <c r="J57" s="109">
        <v>0</v>
      </c>
      <c r="K57" s="109">
        <v>0</v>
      </c>
      <c r="L57" s="109">
        <v>0</v>
      </c>
      <c r="M57" s="109">
        <v>0</v>
      </c>
      <c r="N57" s="122" t="s">
        <v>656</v>
      </c>
      <c r="O57" s="110" t="s">
        <v>137</v>
      </c>
      <c r="P57" s="110" t="s">
        <v>137</v>
      </c>
      <c r="Q57" s="110" t="s">
        <v>137</v>
      </c>
      <c r="R57" s="110" t="s">
        <v>137</v>
      </c>
      <c r="S57" s="110" t="s">
        <v>137</v>
      </c>
      <c r="T57" s="121">
        <v>0</v>
      </c>
      <c r="U57" s="64">
        <v>10</v>
      </c>
      <c r="V57" s="133"/>
      <c r="W57" s="121"/>
      <c r="X57" s="121"/>
      <c r="Y57" s="123" t="s">
        <v>141</v>
      </c>
      <c r="Z57" s="123">
        <v>0</v>
      </c>
      <c r="AA57" s="123">
        <v>4</v>
      </c>
      <c r="AB57" s="75">
        <f t="shared" si="24"/>
        <v>29</v>
      </c>
      <c r="AC57" s="75">
        <f t="shared" si="25"/>
        <v>44</v>
      </c>
      <c r="AD57" s="75">
        <v>250</v>
      </c>
      <c r="AE57" s="123">
        <v>4</v>
      </c>
      <c r="AF57" s="124">
        <v>15000</v>
      </c>
      <c r="AG57" s="124">
        <v>20000</v>
      </c>
      <c r="AH57" s="124">
        <v>10</v>
      </c>
      <c r="AI57" s="76">
        <f>出怪成长!D101</f>
        <v>0</v>
      </c>
      <c r="AJ57" s="125" t="s">
        <v>636</v>
      </c>
      <c r="AK57" s="123" t="s">
        <v>637</v>
      </c>
      <c r="AL57" s="126" t="s">
        <v>638</v>
      </c>
      <c r="AM57" s="125" t="s">
        <v>657</v>
      </c>
      <c r="AN57" s="123">
        <v>0</v>
      </c>
      <c r="AO57" s="116">
        <v>0</v>
      </c>
      <c r="AP57" s="116">
        <v>0</v>
      </c>
      <c r="AQ57" s="123">
        <v>0</v>
      </c>
      <c r="AR57" s="123" t="str">
        <f t="shared" si="20"/>
        <v>Lv4</v>
      </c>
      <c r="AS57" s="75">
        <v>0</v>
      </c>
      <c r="AT57" s="75">
        <v>0</v>
      </c>
      <c r="AU57" s="70" t="s">
        <v>658</v>
      </c>
      <c r="AV57" s="120">
        <v>0</v>
      </c>
      <c r="AW57" s="127">
        <v>0</v>
      </c>
      <c r="AX57" s="120">
        <v>0</v>
      </c>
      <c r="AY57" s="120" t="s">
        <v>641</v>
      </c>
      <c r="AZ57" s="120" t="s">
        <v>642</v>
      </c>
      <c r="BA57" s="120" t="s">
        <v>643</v>
      </c>
      <c r="BB57" s="75">
        <v>0</v>
      </c>
      <c r="BC57" s="120">
        <v>14</v>
      </c>
      <c r="BD57" s="120">
        <v>140</v>
      </c>
      <c r="BE57" s="120" t="s">
        <v>512</v>
      </c>
      <c r="BF57" s="128" t="s">
        <v>659</v>
      </c>
      <c r="BG57" s="76">
        <v>0</v>
      </c>
      <c r="BH57" s="120">
        <v>0</v>
      </c>
      <c r="BI57" s="70" t="s">
        <v>141</v>
      </c>
      <c r="BJ57" s="123" t="s">
        <v>660</v>
      </c>
      <c r="BK57" s="58">
        <v>2</v>
      </c>
      <c r="BM57" s="129">
        <f t="shared" si="21"/>
        <v>2003</v>
      </c>
      <c r="BN57" s="58">
        <f t="shared" si="22"/>
        <v>2003</v>
      </c>
      <c r="BO57" s="129"/>
    </row>
    <row r="58" s="58" customFormat="1" spans="1:67">
      <c r="A58" s="159">
        <v>405</v>
      </c>
      <c r="B58" s="120">
        <v>3</v>
      </c>
      <c r="C58" s="121" t="s">
        <v>633</v>
      </c>
      <c r="D58" s="120" t="s">
        <v>634</v>
      </c>
      <c r="E58" s="120">
        <v>406</v>
      </c>
      <c r="F58" s="120">
        <v>30</v>
      </c>
      <c r="G58" s="71">
        <f t="shared" si="23"/>
        <v>50</v>
      </c>
      <c r="H58" s="109">
        <v>0</v>
      </c>
      <c r="I58" s="109">
        <v>0</v>
      </c>
      <c r="J58" s="109">
        <v>0</v>
      </c>
      <c r="K58" s="109">
        <v>0</v>
      </c>
      <c r="L58" s="109">
        <v>0</v>
      </c>
      <c r="M58" s="109">
        <v>0</v>
      </c>
      <c r="N58" s="122" t="s">
        <v>661</v>
      </c>
      <c r="O58" s="110" t="s">
        <v>137</v>
      </c>
      <c r="P58" s="110" t="s">
        <v>137</v>
      </c>
      <c r="Q58" s="110" t="s">
        <v>137</v>
      </c>
      <c r="R58" s="110" t="s">
        <v>137</v>
      </c>
      <c r="S58" s="110" t="s">
        <v>137</v>
      </c>
      <c r="T58" s="121">
        <v>0</v>
      </c>
      <c r="U58" s="64">
        <v>10</v>
      </c>
      <c r="V58" s="133"/>
      <c r="W58" s="121"/>
      <c r="X58" s="121"/>
      <c r="Y58" s="123" t="s">
        <v>141</v>
      </c>
      <c r="Z58" s="123">
        <v>0</v>
      </c>
      <c r="AA58" s="123">
        <v>5</v>
      </c>
      <c r="AB58" s="75">
        <f t="shared" si="24"/>
        <v>35</v>
      </c>
      <c r="AC58" s="75">
        <f t="shared" si="25"/>
        <v>50</v>
      </c>
      <c r="AD58" s="75">
        <v>250</v>
      </c>
      <c r="AE58" s="123">
        <v>5</v>
      </c>
      <c r="AF58" s="124">
        <v>15000</v>
      </c>
      <c r="AG58" s="124">
        <v>20000</v>
      </c>
      <c r="AH58" s="124">
        <v>10</v>
      </c>
      <c r="AI58" s="76">
        <f>出怪成长!D102</f>
        <v>0</v>
      </c>
      <c r="AJ58" s="125" t="s">
        <v>636</v>
      </c>
      <c r="AK58" s="123" t="s">
        <v>637</v>
      </c>
      <c r="AL58" s="126" t="s">
        <v>638</v>
      </c>
      <c r="AM58" s="125" t="s">
        <v>662</v>
      </c>
      <c r="AN58" s="123">
        <v>0</v>
      </c>
      <c r="AO58" s="116">
        <v>0</v>
      </c>
      <c r="AP58" s="116">
        <v>0</v>
      </c>
      <c r="AQ58" s="123">
        <v>0</v>
      </c>
      <c r="AR58" s="123" t="str">
        <f t="shared" si="20"/>
        <v>Lv5</v>
      </c>
      <c r="AS58" s="75">
        <v>0</v>
      </c>
      <c r="AT58" s="75">
        <v>0</v>
      </c>
      <c r="AU58" s="70" t="s">
        <v>663</v>
      </c>
      <c r="AV58" s="120">
        <v>0</v>
      </c>
      <c r="AW58" s="127">
        <v>0</v>
      </c>
      <c r="AX58" s="120">
        <v>0</v>
      </c>
      <c r="AY58" s="120" t="s">
        <v>641</v>
      </c>
      <c r="AZ58" s="120" t="s">
        <v>642</v>
      </c>
      <c r="BA58" s="120" t="s">
        <v>643</v>
      </c>
      <c r="BB58" s="75">
        <v>0</v>
      </c>
      <c r="BC58" s="120">
        <v>18</v>
      </c>
      <c r="BD58" s="120">
        <v>180</v>
      </c>
      <c r="BE58" s="120" t="s">
        <v>664</v>
      </c>
      <c r="BF58" s="128" t="s">
        <v>665</v>
      </c>
      <c r="BG58" s="76">
        <v>0</v>
      </c>
      <c r="BH58" s="120">
        <v>0</v>
      </c>
      <c r="BI58" s="70" t="s">
        <v>141</v>
      </c>
      <c r="BJ58" s="123" t="s">
        <v>666</v>
      </c>
      <c r="BK58" s="58">
        <v>4</v>
      </c>
      <c r="BM58" s="129">
        <f t="shared" si="21"/>
        <v>4004</v>
      </c>
      <c r="BN58" s="58">
        <f t="shared" si="22"/>
        <v>4004</v>
      </c>
      <c r="BO58" s="129"/>
    </row>
    <row r="59" s="58" customFormat="1" spans="1:67">
      <c r="A59" s="159">
        <v>406</v>
      </c>
      <c r="B59" s="120">
        <v>3</v>
      </c>
      <c r="C59" s="121" t="s">
        <v>633</v>
      </c>
      <c r="D59" s="120" t="s">
        <v>634</v>
      </c>
      <c r="E59" s="120">
        <v>407</v>
      </c>
      <c r="F59" s="120">
        <v>35</v>
      </c>
      <c r="G59" s="71">
        <f t="shared" si="23"/>
        <v>55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109">
        <v>0</v>
      </c>
      <c r="N59" s="122" t="s">
        <v>667</v>
      </c>
      <c r="O59" s="110" t="s">
        <v>137</v>
      </c>
      <c r="P59" s="110" t="s">
        <v>137</v>
      </c>
      <c r="Q59" s="110" t="s">
        <v>137</v>
      </c>
      <c r="R59" s="110" t="s">
        <v>137</v>
      </c>
      <c r="S59" s="110" t="s">
        <v>137</v>
      </c>
      <c r="T59" s="121">
        <v>0</v>
      </c>
      <c r="U59" s="64">
        <v>10</v>
      </c>
      <c r="V59" s="133"/>
      <c r="W59" s="121"/>
      <c r="X59" s="121"/>
      <c r="Y59" s="123" t="s">
        <v>141</v>
      </c>
      <c r="Z59" s="123">
        <v>0</v>
      </c>
      <c r="AA59" s="123">
        <v>6</v>
      </c>
      <c r="AB59" s="75">
        <f t="shared" si="24"/>
        <v>41</v>
      </c>
      <c r="AC59" s="75">
        <f t="shared" si="25"/>
        <v>56</v>
      </c>
      <c r="AD59" s="75">
        <v>250</v>
      </c>
      <c r="AE59" s="123">
        <v>5</v>
      </c>
      <c r="AF59" s="124">
        <v>15000</v>
      </c>
      <c r="AG59" s="124">
        <v>20000</v>
      </c>
      <c r="AH59" s="124">
        <v>10</v>
      </c>
      <c r="AI59" s="76">
        <f>出怪成长!D103</f>
        <v>0</v>
      </c>
      <c r="AJ59" s="125" t="s">
        <v>636</v>
      </c>
      <c r="AK59" s="123" t="s">
        <v>637</v>
      </c>
      <c r="AL59" s="126" t="s">
        <v>638</v>
      </c>
      <c r="AM59" s="125" t="s">
        <v>668</v>
      </c>
      <c r="AN59" s="123">
        <v>0</v>
      </c>
      <c r="AO59" s="116">
        <v>0</v>
      </c>
      <c r="AP59" s="116">
        <v>0</v>
      </c>
      <c r="AQ59" s="123">
        <v>0</v>
      </c>
      <c r="AR59" s="123" t="str">
        <f t="shared" si="20"/>
        <v>Lv6</v>
      </c>
      <c r="AS59" s="75">
        <v>0</v>
      </c>
      <c r="AT59" s="75">
        <v>0</v>
      </c>
      <c r="AU59" s="70" t="s">
        <v>669</v>
      </c>
      <c r="AV59" s="120">
        <v>0</v>
      </c>
      <c r="AW59" s="127">
        <v>0</v>
      </c>
      <c r="AX59" s="120">
        <v>0</v>
      </c>
      <c r="AY59" s="120" t="s">
        <v>641</v>
      </c>
      <c r="AZ59" s="120" t="s">
        <v>642</v>
      </c>
      <c r="BA59" s="120" t="s">
        <v>643</v>
      </c>
      <c r="BB59" s="75">
        <v>0</v>
      </c>
      <c r="BC59" s="120">
        <v>22</v>
      </c>
      <c r="BD59" s="120">
        <v>220</v>
      </c>
      <c r="BE59" s="120" t="s">
        <v>670</v>
      </c>
      <c r="BF59" s="128" t="s">
        <v>671</v>
      </c>
      <c r="BG59" s="76">
        <v>0</v>
      </c>
      <c r="BH59" s="120">
        <v>0</v>
      </c>
      <c r="BI59" s="70" t="s">
        <v>141</v>
      </c>
      <c r="BJ59" s="123" t="s">
        <v>275</v>
      </c>
      <c r="BK59" s="58">
        <v>1</v>
      </c>
      <c r="BM59" s="129">
        <f t="shared" si="21"/>
        <v>1004</v>
      </c>
      <c r="BN59" s="58">
        <f t="shared" si="22"/>
        <v>1004</v>
      </c>
    </row>
    <row r="60" s="58" customFormat="1" spans="1:67">
      <c r="A60" s="159">
        <v>407</v>
      </c>
      <c r="B60" s="120">
        <v>3</v>
      </c>
      <c r="C60" s="121" t="s">
        <v>633</v>
      </c>
      <c r="D60" s="120" t="s">
        <v>634</v>
      </c>
      <c r="E60" s="120">
        <v>408</v>
      </c>
      <c r="F60" s="120">
        <v>40</v>
      </c>
      <c r="G60" s="71">
        <f t="shared" si="23"/>
        <v>60</v>
      </c>
      <c r="H60" s="109">
        <v>0</v>
      </c>
      <c r="I60" s="109">
        <v>0</v>
      </c>
      <c r="J60" s="109">
        <v>0</v>
      </c>
      <c r="K60" s="109">
        <v>0</v>
      </c>
      <c r="L60" s="109">
        <v>0</v>
      </c>
      <c r="M60" s="109">
        <v>0</v>
      </c>
      <c r="N60" s="122" t="s">
        <v>672</v>
      </c>
      <c r="O60" s="110" t="s">
        <v>137</v>
      </c>
      <c r="P60" s="110" t="s">
        <v>137</v>
      </c>
      <c r="Q60" s="110" t="s">
        <v>137</v>
      </c>
      <c r="R60" s="110" t="s">
        <v>137</v>
      </c>
      <c r="S60" s="110" t="s">
        <v>137</v>
      </c>
      <c r="T60" s="121">
        <v>0</v>
      </c>
      <c r="U60" s="64">
        <v>10</v>
      </c>
      <c r="V60" s="133"/>
      <c r="W60" s="121"/>
      <c r="X60" s="121"/>
      <c r="Y60" s="123" t="s">
        <v>141</v>
      </c>
      <c r="Z60" s="123">
        <v>0</v>
      </c>
      <c r="AA60" s="123">
        <v>7</v>
      </c>
      <c r="AB60" s="75">
        <f t="shared" si="24"/>
        <v>47</v>
      </c>
      <c r="AC60" s="75">
        <f t="shared" si="25"/>
        <v>62</v>
      </c>
      <c r="AD60" s="75">
        <v>250</v>
      </c>
      <c r="AE60" s="123">
        <v>6</v>
      </c>
      <c r="AF60" s="124">
        <v>15000</v>
      </c>
      <c r="AG60" s="124">
        <v>20000</v>
      </c>
      <c r="AH60" s="124">
        <v>10</v>
      </c>
      <c r="AI60" s="76">
        <f>出怪成长!D104</f>
        <v>0</v>
      </c>
      <c r="AJ60" s="125" t="s">
        <v>636</v>
      </c>
      <c r="AK60" s="123" t="s">
        <v>637</v>
      </c>
      <c r="AL60" s="126" t="s">
        <v>638</v>
      </c>
      <c r="AM60" s="125" t="s">
        <v>673</v>
      </c>
      <c r="AN60" s="123">
        <v>0</v>
      </c>
      <c r="AO60" s="116">
        <v>0</v>
      </c>
      <c r="AP60" s="116">
        <v>0</v>
      </c>
      <c r="AQ60" s="123">
        <v>0</v>
      </c>
      <c r="AR60" s="123" t="str">
        <f t="shared" si="20"/>
        <v>Lv7</v>
      </c>
      <c r="AS60" s="75">
        <v>0</v>
      </c>
      <c r="AT60" s="75">
        <v>0</v>
      </c>
      <c r="AU60" s="70" t="s">
        <v>674</v>
      </c>
      <c r="AV60" s="120">
        <v>0</v>
      </c>
      <c r="AW60" s="127">
        <v>0</v>
      </c>
      <c r="AX60" s="120">
        <v>0</v>
      </c>
      <c r="AY60" s="120" t="s">
        <v>641</v>
      </c>
      <c r="AZ60" s="120" t="s">
        <v>642</v>
      </c>
      <c r="BA60" s="120" t="s">
        <v>643</v>
      </c>
      <c r="BB60" s="75">
        <v>0</v>
      </c>
      <c r="BC60" s="120">
        <v>26</v>
      </c>
      <c r="BD60" s="120">
        <v>260</v>
      </c>
      <c r="BE60" s="120" t="s">
        <v>675</v>
      </c>
      <c r="BF60" s="128" t="s">
        <v>676</v>
      </c>
      <c r="BG60" s="76">
        <v>0</v>
      </c>
      <c r="BH60" s="120">
        <v>0</v>
      </c>
      <c r="BI60" s="70" t="s">
        <v>141</v>
      </c>
      <c r="BJ60" s="123" t="s">
        <v>677</v>
      </c>
      <c r="BK60" s="58">
        <v>5</v>
      </c>
      <c r="BM60" s="129">
        <f t="shared" si="21"/>
        <v>5105</v>
      </c>
      <c r="BN60" s="58">
        <f t="shared" si="22"/>
        <v>5105</v>
      </c>
    </row>
    <row r="61" s="58" customFormat="1" spans="1:67">
      <c r="A61" s="159">
        <v>408</v>
      </c>
      <c r="B61" s="120">
        <v>3</v>
      </c>
      <c r="C61" s="121" t="s">
        <v>633</v>
      </c>
      <c r="D61" s="120" t="s">
        <v>634</v>
      </c>
      <c r="E61" s="120">
        <v>409</v>
      </c>
      <c r="F61" s="120">
        <v>45</v>
      </c>
      <c r="G61" s="71">
        <f t="shared" si="23"/>
        <v>65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109">
        <v>0</v>
      </c>
      <c r="N61" s="122" t="s">
        <v>678</v>
      </c>
      <c r="O61" s="110" t="s">
        <v>137</v>
      </c>
      <c r="P61" s="110" t="s">
        <v>137</v>
      </c>
      <c r="Q61" s="110" t="s">
        <v>137</v>
      </c>
      <c r="R61" s="110" t="s">
        <v>137</v>
      </c>
      <c r="S61" s="110" t="s">
        <v>137</v>
      </c>
      <c r="T61" s="121">
        <v>0</v>
      </c>
      <c r="U61" s="64">
        <v>10</v>
      </c>
      <c r="V61" s="133"/>
      <c r="W61" s="121"/>
      <c r="X61" s="121"/>
      <c r="Y61" s="123" t="s">
        <v>141</v>
      </c>
      <c r="Z61" s="123">
        <v>0</v>
      </c>
      <c r="AA61" s="123">
        <v>8</v>
      </c>
      <c r="AB61" s="75">
        <f t="shared" si="24"/>
        <v>53</v>
      </c>
      <c r="AC61" s="75">
        <f t="shared" si="25"/>
        <v>68</v>
      </c>
      <c r="AD61" s="75">
        <v>250</v>
      </c>
      <c r="AE61" s="123">
        <v>6</v>
      </c>
      <c r="AF61" s="124">
        <v>15000</v>
      </c>
      <c r="AG61" s="124">
        <v>20000</v>
      </c>
      <c r="AH61" s="124">
        <v>10</v>
      </c>
      <c r="AI61" s="76">
        <f>出怪成长!D105</f>
        <v>0</v>
      </c>
      <c r="AJ61" s="125" t="s">
        <v>636</v>
      </c>
      <c r="AK61" s="123" t="s">
        <v>637</v>
      </c>
      <c r="AL61" s="126" t="s">
        <v>638</v>
      </c>
      <c r="AM61" s="125" t="s">
        <v>679</v>
      </c>
      <c r="AN61" s="123">
        <v>0</v>
      </c>
      <c r="AO61" s="116">
        <v>0</v>
      </c>
      <c r="AP61" s="116">
        <v>0</v>
      </c>
      <c r="AQ61" s="123">
        <v>0</v>
      </c>
      <c r="AR61" s="123" t="str">
        <f t="shared" si="20"/>
        <v>Lv8</v>
      </c>
      <c r="AS61" s="75">
        <v>0</v>
      </c>
      <c r="AT61" s="75">
        <v>0</v>
      </c>
      <c r="AU61" s="70" t="s">
        <v>680</v>
      </c>
      <c r="AV61" s="120">
        <v>0</v>
      </c>
      <c r="AW61" s="127">
        <v>0</v>
      </c>
      <c r="AX61" s="120">
        <v>0</v>
      </c>
      <c r="AY61" s="120" t="s">
        <v>641</v>
      </c>
      <c r="AZ61" s="120" t="s">
        <v>642</v>
      </c>
      <c r="BA61" s="120" t="s">
        <v>643</v>
      </c>
      <c r="BB61" s="75">
        <v>0</v>
      </c>
      <c r="BC61" s="120">
        <v>30</v>
      </c>
      <c r="BD61" s="120">
        <v>300</v>
      </c>
      <c r="BE61" s="120" t="s">
        <v>681</v>
      </c>
      <c r="BF61" s="128" t="s">
        <v>682</v>
      </c>
      <c r="BG61" s="76">
        <v>0</v>
      </c>
      <c r="BH61" s="120">
        <v>0</v>
      </c>
      <c r="BI61" s="70" t="s">
        <v>141</v>
      </c>
      <c r="BJ61" s="123" t="s">
        <v>481</v>
      </c>
      <c r="BK61" s="58">
        <v>6</v>
      </c>
      <c r="BM61" s="129">
        <f t="shared" si="21"/>
        <v>6106</v>
      </c>
      <c r="BN61" s="58">
        <f t="shared" si="22"/>
        <v>6106</v>
      </c>
    </row>
    <row r="62" s="58" customFormat="1" spans="1:67">
      <c r="A62" s="159">
        <v>409</v>
      </c>
      <c r="B62" s="120">
        <v>3</v>
      </c>
      <c r="C62" s="121" t="s">
        <v>633</v>
      </c>
      <c r="D62" s="120" t="s">
        <v>634</v>
      </c>
      <c r="E62" s="120">
        <v>410</v>
      </c>
      <c r="F62" s="120">
        <v>50</v>
      </c>
      <c r="G62" s="71">
        <f t="shared" si="23"/>
        <v>70</v>
      </c>
      <c r="H62" s="109">
        <v>0</v>
      </c>
      <c r="I62" s="109">
        <v>0</v>
      </c>
      <c r="J62" s="109">
        <v>0</v>
      </c>
      <c r="K62" s="109">
        <v>0</v>
      </c>
      <c r="L62" s="109">
        <v>0</v>
      </c>
      <c r="M62" s="109">
        <v>0</v>
      </c>
      <c r="N62" s="122" t="s">
        <v>683</v>
      </c>
      <c r="O62" s="110" t="s">
        <v>137</v>
      </c>
      <c r="P62" s="110" t="s">
        <v>137</v>
      </c>
      <c r="Q62" s="110" t="s">
        <v>137</v>
      </c>
      <c r="R62" s="110" t="s">
        <v>137</v>
      </c>
      <c r="S62" s="110" t="s">
        <v>137</v>
      </c>
      <c r="T62" s="121">
        <v>0</v>
      </c>
      <c r="U62" s="64">
        <v>10</v>
      </c>
      <c r="V62" s="133"/>
      <c r="W62" s="121"/>
      <c r="X62" s="121"/>
      <c r="Y62" s="123" t="s">
        <v>141</v>
      </c>
      <c r="Z62" s="123">
        <v>0</v>
      </c>
      <c r="AA62" s="123">
        <v>9</v>
      </c>
      <c r="AB62" s="75">
        <f t="shared" si="24"/>
        <v>59</v>
      </c>
      <c r="AC62" s="75">
        <f t="shared" si="25"/>
        <v>74</v>
      </c>
      <c r="AD62" s="75">
        <v>250</v>
      </c>
      <c r="AE62" s="123">
        <v>7</v>
      </c>
      <c r="AF62" s="124">
        <v>15000</v>
      </c>
      <c r="AG62" s="124">
        <v>20000</v>
      </c>
      <c r="AH62" s="124">
        <v>10</v>
      </c>
      <c r="AI62" s="76">
        <f>出怪成长!D106</f>
        <v>0</v>
      </c>
      <c r="AJ62" s="125" t="s">
        <v>636</v>
      </c>
      <c r="AK62" s="123" t="s">
        <v>637</v>
      </c>
      <c r="AL62" s="126" t="s">
        <v>638</v>
      </c>
      <c r="AM62" s="125" t="s">
        <v>684</v>
      </c>
      <c r="AN62" s="123">
        <v>0</v>
      </c>
      <c r="AO62" s="116">
        <v>0</v>
      </c>
      <c r="AP62" s="116">
        <v>0</v>
      </c>
      <c r="AQ62" s="123">
        <v>0</v>
      </c>
      <c r="AR62" s="123" t="str">
        <f t="shared" si="20"/>
        <v>Lv9</v>
      </c>
      <c r="AS62" s="75">
        <v>0</v>
      </c>
      <c r="AT62" s="75">
        <v>0</v>
      </c>
      <c r="AU62" s="70" t="s">
        <v>685</v>
      </c>
      <c r="AV62" s="120">
        <v>0</v>
      </c>
      <c r="AW62" s="127">
        <v>0</v>
      </c>
      <c r="AX62" s="120">
        <v>0</v>
      </c>
      <c r="AY62" s="120" t="s">
        <v>641</v>
      </c>
      <c r="AZ62" s="120" t="s">
        <v>642</v>
      </c>
      <c r="BA62" s="120" t="s">
        <v>643</v>
      </c>
      <c r="BB62" s="75">
        <v>0</v>
      </c>
      <c r="BC62" s="120">
        <v>35</v>
      </c>
      <c r="BD62" s="120">
        <v>350</v>
      </c>
      <c r="BE62" s="120" t="s">
        <v>686</v>
      </c>
      <c r="BF62" s="128" t="s">
        <v>687</v>
      </c>
      <c r="BG62" s="76">
        <v>0</v>
      </c>
      <c r="BH62" s="120">
        <v>0</v>
      </c>
      <c r="BI62" s="70" t="s">
        <v>141</v>
      </c>
      <c r="BJ62" s="123" t="s">
        <v>677</v>
      </c>
      <c r="BK62" s="58">
        <v>5</v>
      </c>
      <c r="BM62" s="129">
        <f t="shared" si="21"/>
        <v>5106</v>
      </c>
      <c r="BN62" s="58">
        <f t="shared" si="22"/>
        <v>5106</v>
      </c>
    </row>
    <row r="63" s="58" customFormat="1" spans="1:67">
      <c r="A63" s="159">
        <v>410</v>
      </c>
      <c r="B63" s="120">
        <v>3</v>
      </c>
      <c r="C63" s="121" t="s">
        <v>633</v>
      </c>
      <c r="D63" s="120" t="s">
        <v>634</v>
      </c>
      <c r="E63" s="120">
        <v>411</v>
      </c>
      <c r="F63" s="120">
        <v>55</v>
      </c>
      <c r="G63" s="71">
        <f t="shared" si="23"/>
        <v>75</v>
      </c>
      <c r="H63" s="109">
        <v>0</v>
      </c>
      <c r="I63" s="109">
        <v>0</v>
      </c>
      <c r="J63" s="109">
        <v>0</v>
      </c>
      <c r="K63" s="109">
        <v>0</v>
      </c>
      <c r="L63" s="109">
        <v>0</v>
      </c>
      <c r="M63" s="109">
        <v>0</v>
      </c>
      <c r="N63" s="122" t="s">
        <v>688</v>
      </c>
      <c r="O63" s="110" t="s">
        <v>137</v>
      </c>
      <c r="P63" s="110" t="s">
        <v>137</v>
      </c>
      <c r="Q63" s="110" t="s">
        <v>137</v>
      </c>
      <c r="R63" s="110" t="s">
        <v>137</v>
      </c>
      <c r="S63" s="110" t="s">
        <v>137</v>
      </c>
      <c r="T63" s="121">
        <v>0</v>
      </c>
      <c r="U63" s="64">
        <v>10</v>
      </c>
      <c r="V63" s="133"/>
      <c r="W63" s="121"/>
      <c r="X63" s="121"/>
      <c r="Y63" s="123" t="s">
        <v>141</v>
      </c>
      <c r="Z63" s="123">
        <v>0</v>
      </c>
      <c r="AA63" s="123">
        <v>10</v>
      </c>
      <c r="AB63" s="75">
        <f t="shared" si="24"/>
        <v>65</v>
      </c>
      <c r="AC63" s="75">
        <f t="shared" si="25"/>
        <v>80</v>
      </c>
      <c r="AD63" s="75">
        <v>250</v>
      </c>
      <c r="AE63" s="123">
        <v>7</v>
      </c>
      <c r="AF63" s="124">
        <v>15000</v>
      </c>
      <c r="AG63" s="124">
        <v>20000</v>
      </c>
      <c r="AH63" s="124">
        <v>10</v>
      </c>
      <c r="AI63" s="76">
        <f>出怪成长!D107</f>
        <v>0</v>
      </c>
      <c r="AJ63" s="125" t="s">
        <v>636</v>
      </c>
      <c r="AK63" s="123" t="s">
        <v>637</v>
      </c>
      <c r="AL63" s="126" t="s">
        <v>638</v>
      </c>
      <c r="AM63" s="125" t="s">
        <v>689</v>
      </c>
      <c r="AN63" s="123">
        <v>0</v>
      </c>
      <c r="AO63" s="116">
        <v>0</v>
      </c>
      <c r="AP63" s="116">
        <v>0</v>
      </c>
      <c r="AQ63" s="123">
        <v>0</v>
      </c>
      <c r="AR63" s="123" t="str">
        <f t="shared" si="20"/>
        <v>Lv10</v>
      </c>
      <c r="AS63" s="75">
        <v>0</v>
      </c>
      <c r="AT63" s="75">
        <v>0</v>
      </c>
      <c r="AU63" s="70" t="s">
        <v>690</v>
      </c>
      <c r="AV63" s="120">
        <v>0</v>
      </c>
      <c r="AW63" s="127">
        <v>0</v>
      </c>
      <c r="AX63" s="120">
        <v>0</v>
      </c>
      <c r="AY63" s="120" t="s">
        <v>641</v>
      </c>
      <c r="AZ63" s="120" t="s">
        <v>642</v>
      </c>
      <c r="BA63" s="120" t="s">
        <v>643</v>
      </c>
      <c r="BB63" s="75">
        <v>0</v>
      </c>
      <c r="BC63" s="120">
        <v>40</v>
      </c>
      <c r="BD63" s="120">
        <v>400</v>
      </c>
      <c r="BE63" s="120" t="s">
        <v>691</v>
      </c>
      <c r="BF63" s="128" t="s">
        <v>692</v>
      </c>
      <c r="BG63" s="76">
        <v>0</v>
      </c>
      <c r="BH63" s="120">
        <v>0</v>
      </c>
      <c r="BI63" s="70" t="s">
        <v>141</v>
      </c>
      <c r="BJ63" s="123" t="s">
        <v>666</v>
      </c>
      <c r="BK63" s="58">
        <v>4</v>
      </c>
      <c r="BM63" s="129">
        <f t="shared" si="21"/>
        <v>4107</v>
      </c>
      <c r="BN63" s="58">
        <f t="shared" si="22"/>
        <v>4107</v>
      </c>
    </row>
    <row r="64" s="58" customFormat="1" spans="1:67">
      <c r="A64" s="159">
        <v>411</v>
      </c>
      <c r="B64" s="120">
        <v>3</v>
      </c>
      <c r="C64" s="121" t="s">
        <v>633</v>
      </c>
      <c r="D64" s="120" t="s">
        <v>634</v>
      </c>
      <c r="E64" s="120">
        <v>412</v>
      </c>
      <c r="F64" s="120">
        <v>60</v>
      </c>
      <c r="G64" s="71">
        <f t="shared" si="23"/>
        <v>80</v>
      </c>
      <c r="H64" s="109">
        <v>0</v>
      </c>
      <c r="I64" s="109">
        <v>0</v>
      </c>
      <c r="J64" s="109">
        <v>0</v>
      </c>
      <c r="K64" s="109">
        <v>0</v>
      </c>
      <c r="L64" s="109">
        <v>0</v>
      </c>
      <c r="M64" s="109">
        <v>0</v>
      </c>
      <c r="N64" s="122" t="s">
        <v>693</v>
      </c>
      <c r="O64" s="110" t="s">
        <v>137</v>
      </c>
      <c r="P64" s="110" t="s">
        <v>137</v>
      </c>
      <c r="Q64" s="110" t="s">
        <v>137</v>
      </c>
      <c r="R64" s="110" t="s">
        <v>137</v>
      </c>
      <c r="S64" s="110" t="s">
        <v>137</v>
      </c>
      <c r="T64" s="121">
        <v>0</v>
      </c>
      <c r="U64" s="64">
        <v>10</v>
      </c>
      <c r="V64" s="133"/>
      <c r="W64" s="121"/>
      <c r="X64" s="121"/>
      <c r="Y64" s="123" t="s">
        <v>141</v>
      </c>
      <c r="Z64" s="123">
        <v>0</v>
      </c>
      <c r="AA64" s="123">
        <v>11</v>
      </c>
      <c r="AB64" s="75">
        <f t="shared" si="24"/>
        <v>71</v>
      </c>
      <c r="AC64" s="75">
        <f t="shared" si="25"/>
        <v>86</v>
      </c>
      <c r="AD64" s="75">
        <v>250</v>
      </c>
      <c r="AE64" s="123">
        <v>8</v>
      </c>
      <c r="AF64" s="124">
        <v>15000</v>
      </c>
      <c r="AG64" s="124">
        <v>20000</v>
      </c>
      <c r="AH64" s="124">
        <v>10</v>
      </c>
      <c r="AI64" s="76">
        <f>出怪成长!D108</f>
        <v>0</v>
      </c>
      <c r="AJ64" s="125" t="s">
        <v>636</v>
      </c>
      <c r="AK64" s="123" t="s">
        <v>637</v>
      </c>
      <c r="AL64" s="126" t="s">
        <v>638</v>
      </c>
      <c r="AM64" s="125" t="s">
        <v>694</v>
      </c>
      <c r="AN64" s="123">
        <v>0</v>
      </c>
      <c r="AO64" s="116">
        <v>0</v>
      </c>
      <c r="AP64" s="116">
        <v>0</v>
      </c>
      <c r="AQ64" s="123">
        <v>0</v>
      </c>
      <c r="AR64" s="123" t="str">
        <f t="shared" si="20"/>
        <v>Lv11</v>
      </c>
      <c r="AS64" s="75">
        <v>0</v>
      </c>
      <c r="AT64" s="75">
        <v>0</v>
      </c>
      <c r="AU64" s="70" t="s">
        <v>695</v>
      </c>
      <c r="AV64" s="120">
        <v>0</v>
      </c>
      <c r="AW64" s="127">
        <v>0</v>
      </c>
      <c r="AX64" s="120">
        <v>0</v>
      </c>
      <c r="AY64" s="120" t="s">
        <v>641</v>
      </c>
      <c r="AZ64" s="120" t="s">
        <v>642</v>
      </c>
      <c r="BA64" s="120" t="s">
        <v>643</v>
      </c>
      <c r="BB64" s="75">
        <v>0</v>
      </c>
      <c r="BC64" s="120">
        <v>45</v>
      </c>
      <c r="BD64" s="120">
        <v>450</v>
      </c>
      <c r="BE64" s="120" t="s">
        <v>696</v>
      </c>
      <c r="BF64" s="128" t="s">
        <v>697</v>
      </c>
      <c r="BG64" s="76">
        <v>0</v>
      </c>
      <c r="BH64" s="120">
        <v>0</v>
      </c>
      <c r="BI64" s="70" t="s">
        <v>141</v>
      </c>
      <c r="BJ64" s="123" t="s">
        <v>666</v>
      </c>
      <c r="BK64" s="58">
        <v>4</v>
      </c>
      <c r="BM64" s="129">
        <f t="shared" si="21"/>
        <v>4108</v>
      </c>
      <c r="BN64" s="58">
        <f t="shared" si="22"/>
        <v>4108</v>
      </c>
    </row>
    <row r="65" s="58" customFormat="1" spans="1:68">
      <c r="A65" s="159">
        <v>412</v>
      </c>
      <c r="B65" s="120">
        <v>3</v>
      </c>
      <c r="C65" s="121" t="s">
        <v>633</v>
      </c>
      <c r="D65" s="120" t="s">
        <v>634</v>
      </c>
      <c r="E65" s="120">
        <v>413</v>
      </c>
      <c r="F65" s="120">
        <v>65</v>
      </c>
      <c r="G65" s="71">
        <f t="shared" si="23"/>
        <v>85</v>
      </c>
      <c r="H65" s="109">
        <v>0</v>
      </c>
      <c r="I65" s="109">
        <v>0</v>
      </c>
      <c r="J65" s="109">
        <v>0</v>
      </c>
      <c r="K65" s="109">
        <v>0</v>
      </c>
      <c r="L65" s="109">
        <v>0</v>
      </c>
      <c r="M65" s="109">
        <v>0</v>
      </c>
      <c r="N65" s="122" t="s">
        <v>698</v>
      </c>
      <c r="O65" s="110" t="s">
        <v>137</v>
      </c>
      <c r="P65" s="110" t="s">
        <v>137</v>
      </c>
      <c r="Q65" s="110" t="s">
        <v>137</v>
      </c>
      <c r="R65" s="110" t="s">
        <v>137</v>
      </c>
      <c r="S65" s="110" t="s">
        <v>137</v>
      </c>
      <c r="T65" s="121">
        <v>0</v>
      </c>
      <c r="U65" s="64">
        <v>10</v>
      </c>
      <c r="V65" s="133"/>
      <c r="W65" s="121"/>
      <c r="X65" s="121"/>
      <c r="Y65" s="123" t="s">
        <v>141</v>
      </c>
      <c r="Z65" s="123">
        <v>0</v>
      </c>
      <c r="AA65" s="123">
        <v>12</v>
      </c>
      <c r="AB65" s="75">
        <f t="shared" si="24"/>
        <v>77</v>
      </c>
      <c r="AC65" s="75">
        <f t="shared" si="25"/>
        <v>92</v>
      </c>
      <c r="AD65" s="75">
        <v>250</v>
      </c>
      <c r="AE65" s="123">
        <v>8</v>
      </c>
      <c r="AF65" s="124">
        <v>15000</v>
      </c>
      <c r="AG65" s="124">
        <v>20000</v>
      </c>
      <c r="AH65" s="124">
        <v>10</v>
      </c>
      <c r="AI65" s="76">
        <f>出怪成长!D109</f>
        <v>0</v>
      </c>
      <c r="AJ65" s="125" t="s">
        <v>636</v>
      </c>
      <c r="AK65" s="123" t="s">
        <v>637</v>
      </c>
      <c r="AL65" s="126" t="s">
        <v>638</v>
      </c>
      <c r="AM65" s="125" t="s">
        <v>699</v>
      </c>
      <c r="AN65" s="123">
        <v>0</v>
      </c>
      <c r="AO65" s="116">
        <v>0</v>
      </c>
      <c r="AP65" s="116">
        <v>0</v>
      </c>
      <c r="AQ65" s="123">
        <v>0</v>
      </c>
      <c r="AR65" s="123" t="str">
        <f t="shared" si="20"/>
        <v>Lv12</v>
      </c>
      <c r="AS65" s="75">
        <v>0</v>
      </c>
      <c r="AT65" s="75">
        <v>0</v>
      </c>
      <c r="AU65" s="70" t="s">
        <v>700</v>
      </c>
      <c r="AV65" s="120">
        <v>0</v>
      </c>
      <c r="AW65" s="127">
        <v>0</v>
      </c>
      <c r="AX65" s="120">
        <v>0</v>
      </c>
      <c r="AY65" s="120" t="s">
        <v>641</v>
      </c>
      <c r="AZ65" s="120" t="s">
        <v>642</v>
      </c>
      <c r="BA65" s="120" t="s">
        <v>643</v>
      </c>
      <c r="BB65" s="75">
        <v>0</v>
      </c>
      <c r="BC65" s="120">
        <v>50</v>
      </c>
      <c r="BD65" s="120">
        <v>500</v>
      </c>
      <c r="BE65" s="120" t="s">
        <v>696</v>
      </c>
      <c r="BF65" s="128" t="s">
        <v>697</v>
      </c>
      <c r="BG65" s="76">
        <v>0</v>
      </c>
      <c r="BH65" s="120">
        <v>0</v>
      </c>
      <c r="BI65" s="70" t="s">
        <v>141</v>
      </c>
      <c r="BJ65" s="123" t="s">
        <v>666</v>
      </c>
      <c r="BM65" s="129"/>
    </row>
    <row r="66" s="58" customFormat="1" spans="1:68">
      <c r="A66" s="159">
        <v>413</v>
      </c>
      <c r="B66" s="120">
        <v>3</v>
      </c>
      <c r="C66" s="121" t="s">
        <v>633</v>
      </c>
      <c r="D66" s="120" t="s">
        <v>634</v>
      </c>
      <c r="E66" s="120">
        <v>414</v>
      </c>
      <c r="F66" s="120">
        <v>70</v>
      </c>
      <c r="G66" s="71">
        <f t="shared" si="23"/>
        <v>90</v>
      </c>
      <c r="H66" s="109">
        <v>0</v>
      </c>
      <c r="I66" s="109">
        <v>0</v>
      </c>
      <c r="J66" s="109">
        <v>0</v>
      </c>
      <c r="K66" s="109">
        <v>0</v>
      </c>
      <c r="L66" s="109">
        <v>0</v>
      </c>
      <c r="M66" s="109">
        <v>0</v>
      </c>
      <c r="N66" s="122" t="s">
        <v>701</v>
      </c>
      <c r="O66" s="110" t="s">
        <v>137</v>
      </c>
      <c r="P66" s="110" t="s">
        <v>137</v>
      </c>
      <c r="Q66" s="110" t="s">
        <v>137</v>
      </c>
      <c r="R66" s="110" t="s">
        <v>137</v>
      </c>
      <c r="S66" s="110" t="s">
        <v>137</v>
      </c>
      <c r="T66" s="121">
        <v>0</v>
      </c>
      <c r="U66" s="64">
        <v>10</v>
      </c>
      <c r="V66" s="133"/>
      <c r="W66" s="121"/>
      <c r="X66" s="121"/>
      <c r="Y66" s="123" t="s">
        <v>141</v>
      </c>
      <c r="Z66" s="123">
        <v>0</v>
      </c>
      <c r="AA66" s="123">
        <v>13</v>
      </c>
      <c r="AB66" s="75">
        <f t="shared" si="24"/>
        <v>83</v>
      </c>
      <c r="AC66" s="75">
        <f t="shared" si="25"/>
        <v>98</v>
      </c>
      <c r="AD66" s="75">
        <v>250</v>
      </c>
      <c r="AE66" s="123">
        <v>9</v>
      </c>
      <c r="AF66" s="124">
        <v>15000</v>
      </c>
      <c r="AG66" s="124">
        <v>20000</v>
      </c>
      <c r="AH66" s="124">
        <v>10</v>
      </c>
      <c r="AI66" s="76">
        <f>出怪成长!D110</f>
        <v>0</v>
      </c>
      <c r="AJ66" s="125" t="s">
        <v>636</v>
      </c>
      <c r="AK66" s="123" t="s">
        <v>637</v>
      </c>
      <c r="AL66" s="126" t="s">
        <v>638</v>
      </c>
      <c r="AM66" s="125" t="s">
        <v>702</v>
      </c>
      <c r="AN66" s="123">
        <v>0</v>
      </c>
      <c r="AO66" s="116">
        <v>0</v>
      </c>
      <c r="AP66" s="116">
        <v>0</v>
      </c>
      <c r="AQ66" s="123">
        <v>0</v>
      </c>
      <c r="AR66" s="123" t="str">
        <f t="shared" si="20"/>
        <v>Lv13</v>
      </c>
      <c r="AS66" s="75">
        <v>0</v>
      </c>
      <c r="AT66" s="75">
        <v>0</v>
      </c>
      <c r="AU66" s="70" t="s">
        <v>703</v>
      </c>
      <c r="AV66" s="120">
        <v>0</v>
      </c>
      <c r="AW66" s="127">
        <v>0</v>
      </c>
      <c r="AX66" s="120">
        <v>0</v>
      </c>
      <c r="AY66" s="120" t="s">
        <v>641</v>
      </c>
      <c r="AZ66" s="120" t="s">
        <v>642</v>
      </c>
      <c r="BA66" s="120" t="s">
        <v>643</v>
      </c>
      <c r="BB66" s="75">
        <v>0</v>
      </c>
      <c r="BC66" s="120">
        <v>50</v>
      </c>
      <c r="BD66" s="120">
        <v>500</v>
      </c>
      <c r="BE66" s="120" t="s">
        <v>696</v>
      </c>
      <c r="BF66" s="128" t="s">
        <v>697</v>
      </c>
      <c r="BG66" s="76">
        <v>0</v>
      </c>
      <c r="BH66" s="120">
        <v>0</v>
      </c>
      <c r="BI66" s="70" t="s">
        <v>141</v>
      </c>
      <c r="BJ66" s="123" t="s">
        <v>666</v>
      </c>
      <c r="BM66" s="129"/>
    </row>
    <row r="67" s="59" customFormat="1" spans="1:68">
      <c r="A67" s="160">
        <v>501</v>
      </c>
      <c r="B67" s="130">
        <v>4</v>
      </c>
      <c r="C67" s="109" t="s">
        <v>704</v>
      </c>
      <c r="D67" s="130" t="s">
        <v>705</v>
      </c>
      <c r="E67" s="130">
        <v>502</v>
      </c>
      <c r="F67" s="109">
        <v>10</v>
      </c>
      <c r="G67" s="71">
        <f t="shared" si="23"/>
        <v>30</v>
      </c>
      <c r="H67" s="109">
        <v>0</v>
      </c>
      <c r="I67" s="109">
        <v>0</v>
      </c>
      <c r="J67" s="109">
        <v>0</v>
      </c>
      <c r="K67" s="109">
        <v>0</v>
      </c>
      <c r="L67" s="109">
        <v>0</v>
      </c>
      <c r="M67" s="109">
        <v>0</v>
      </c>
      <c r="N67" s="131" t="s">
        <v>706</v>
      </c>
      <c r="O67" s="110" t="s">
        <v>137</v>
      </c>
      <c r="P67" s="110" t="s">
        <v>137</v>
      </c>
      <c r="Q67" s="110" t="s">
        <v>137</v>
      </c>
      <c r="R67" s="110" t="s">
        <v>137</v>
      </c>
      <c r="S67" s="110" t="s">
        <v>137</v>
      </c>
      <c r="T67" s="109">
        <v>0</v>
      </c>
      <c r="U67" s="64">
        <v>10</v>
      </c>
      <c r="V67" s="130"/>
      <c r="W67" s="109"/>
      <c r="X67" s="109"/>
      <c r="Y67" s="111" t="s">
        <v>141</v>
      </c>
      <c r="Z67" s="111">
        <v>0</v>
      </c>
      <c r="AA67" s="111">
        <v>1</v>
      </c>
      <c r="AB67" s="75">
        <f t="shared" si="24"/>
        <v>11</v>
      </c>
      <c r="AC67" s="75">
        <f t="shared" si="25"/>
        <v>26</v>
      </c>
      <c r="AD67" s="75">
        <v>250</v>
      </c>
      <c r="AE67" s="111">
        <v>3</v>
      </c>
      <c r="AF67" s="112">
        <v>15000</v>
      </c>
      <c r="AG67" s="112">
        <v>20000</v>
      </c>
      <c r="AH67" s="112">
        <v>10</v>
      </c>
      <c r="AI67" s="76">
        <f>出怪成长!D111</f>
        <v>0</v>
      </c>
      <c r="AJ67" s="113" t="s">
        <v>707</v>
      </c>
      <c r="AK67" s="111">
        <v>0</v>
      </c>
      <c r="AL67" s="111" t="s">
        <v>708</v>
      </c>
      <c r="AM67" s="113" t="s">
        <v>709</v>
      </c>
      <c r="AN67" s="111">
        <v>0</v>
      </c>
      <c r="AO67" s="115">
        <v>0</v>
      </c>
      <c r="AP67" s="111" t="s">
        <v>710</v>
      </c>
      <c r="AQ67" s="111">
        <v>0</v>
      </c>
      <c r="AR67" s="111" t="str">
        <f t="shared" si="20"/>
        <v>Lv1</v>
      </c>
      <c r="AS67" s="75">
        <v>0</v>
      </c>
      <c r="AT67" s="75">
        <v>0</v>
      </c>
      <c r="AU67" s="70" t="s">
        <v>711</v>
      </c>
      <c r="AV67" s="111">
        <v>0</v>
      </c>
      <c r="AW67" s="115">
        <v>0</v>
      </c>
      <c r="AX67" s="111">
        <v>0</v>
      </c>
      <c r="AY67" s="111" t="s">
        <v>641</v>
      </c>
      <c r="AZ67" s="111" t="s">
        <v>712</v>
      </c>
      <c r="BA67" s="111" t="s">
        <v>713</v>
      </c>
      <c r="BB67" s="75">
        <v>0</v>
      </c>
      <c r="BC67" s="111">
        <v>1</v>
      </c>
      <c r="BD67" s="111">
        <v>10</v>
      </c>
      <c r="BE67" s="111" t="s">
        <v>644</v>
      </c>
      <c r="BF67" s="111" t="s">
        <v>714</v>
      </c>
      <c r="BG67" s="76">
        <v>0</v>
      </c>
      <c r="BH67" s="111">
        <v>3</v>
      </c>
      <c r="BI67" s="70" t="s">
        <v>141</v>
      </c>
      <c r="BJ67" s="111" t="s">
        <v>374</v>
      </c>
      <c r="BK67" s="59">
        <v>3</v>
      </c>
      <c r="BM67" s="132">
        <f t="shared" ref="BM67:BM107" si="26">BK67*1000+INT(MIN(9,(AA67+1)/1.5))+INT((AA67-1)/6)*100</f>
        <v>3001</v>
      </c>
      <c r="BN67" s="59">
        <f t="shared" ref="BN67:BN92" si="27">BM67</f>
        <v>3001</v>
      </c>
    </row>
    <row r="68" s="60" customFormat="1" spans="1:68">
      <c r="A68" s="161">
        <v>502</v>
      </c>
      <c r="B68" s="133">
        <v>4</v>
      </c>
      <c r="C68" s="121" t="s">
        <v>704</v>
      </c>
      <c r="D68" s="133" t="s">
        <v>705</v>
      </c>
      <c r="E68" s="133">
        <v>503</v>
      </c>
      <c r="F68" s="121">
        <v>15</v>
      </c>
      <c r="G68" s="71">
        <f t="shared" si="23"/>
        <v>35</v>
      </c>
      <c r="H68" s="109">
        <v>0</v>
      </c>
      <c r="I68" s="109">
        <v>0</v>
      </c>
      <c r="J68" s="109">
        <v>0</v>
      </c>
      <c r="K68" s="109">
        <v>0</v>
      </c>
      <c r="L68" s="109">
        <v>0</v>
      </c>
      <c r="M68" s="109">
        <v>0</v>
      </c>
      <c r="N68" s="134" t="s">
        <v>715</v>
      </c>
      <c r="O68" s="110" t="s">
        <v>137</v>
      </c>
      <c r="P68" s="110" t="s">
        <v>137</v>
      </c>
      <c r="Q68" s="110" t="s">
        <v>137</v>
      </c>
      <c r="R68" s="110" t="s">
        <v>137</v>
      </c>
      <c r="S68" s="110" t="s">
        <v>137</v>
      </c>
      <c r="T68" s="121">
        <v>0</v>
      </c>
      <c r="U68" s="64">
        <v>10</v>
      </c>
      <c r="V68" s="133"/>
      <c r="W68" s="121"/>
      <c r="X68" s="121"/>
      <c r="Y68" s="123" t="s">
        <v>141</v>
      </c>
      <c r="Z68" s="123">
        <v>0</v>
      </c>
      <c r="AA68" s="123">
        <v>2</v>
      </c>
      <c r="AB68" s="75">
        <f t="shared" si="24"/>
        <v>17</v>
      </c>
      <c r="AC68" s="75">
        <f t="shared" si="25"/>
        <v>32</v>
      </c>
      <c r="AD68" s="75">
        <v>250</v>
      </c>
      <c r="AE68" s="123">
        <v>3</v>
      </c>
      <c r="AF68" s="124">
        <v>15000</v>
      </c>
      <c r="AG68" s="124">
        <v>20000</v>
      </c>
      <c r="AH68" s="124">
        <v>10</v>
      </c>
      <c r="AI68" s="76">
        <f>出怪成长!D112</f>
        <v>0</v>
      </c>
      <c r="AJ68" s="125" t="s">
        <v>707</v>
      </c>
      <c r="AK68" s="123">
        <v>0</v>
      </c>
      <c r="AL68" s="123" t="s">
        <v>708</v>
      </c>
      <c r="AM68" s="125" t="s">
        <v>716</v>
      </c>
      <c r="AN68" s="123">
        <v>0</v>
      </c>
      <c r="AO68" s="116">
        <v>0</v>
      </c>
      <c r="AP68" s="123" t="s">
        <v>710</v>
      </c>
      <c r="AQ68" s="123">
        <v>0</v>
      </c>
      <c r="AR68" s="123" t="str">
        <f t="shared" si="20"/>
        <v>Lv2</v>
      </c>
      <c r="AS68" s="75">
        <v>0</v>
      </c>
      <c r="AT68" s="75">
        <v>0</v>
      </c>
      <c r="AU68" s="70" t="s">
        <v>717</v>
      </c>
      <c r="AV68" s="123">
        <v>0</v>
      </c>
      <c r="AW68" s="116">
        <v>0</v>
      </c>
      <c r="AX68" s="123">
        <v>0</v>
      </c>
      <c r="AY68" s="123" t="s">
        <v>641</v>
      </c>
      <c r="AZ68" s="123" t="s">
        <v>712</v>
      </c>
      <c r="BA68" s="123" t="s">
        <v>713</v>
      </c>
      <c r="BB68" s="75">
        <v>0</v>
      </c>
      <c r="BC68" s="123">
        <v>2.5</v>
      </c>
      <c r="BD68" s="123">
        <v>25</v>
      </c>
      <c r="BE68" s="123" t="s">
        <v>649</v>
      </c>
      <c r="BF68" s="123" t="s">
        <v>718</v>
      </c>
      <c r="BG68" s="76">
        <v>0</v>
      </c>
      <c r="BH68" s="123">
        <v>3</v>
      </c>
      <c r="BI68" s="70" t="s">
        <v>141</v>
      </c>
      <c r="BJ68" s="123" t="s">
        <v>651</v>
      </c>
      <c r="BK68" s="60">
        <v>2</v>
      </c>
      <c r="BM68" s="135">
        <f t="shared" si="26"/>
        <v>2002</v>
      </c>
      <c r="BN68" s="60">
        <f t="shared" si="27"/>
        <v>2002</v>
      </c>
    </row>
    <row r="69" s="60" customFormat="1" spans="1:68">
      <c r="A69" s="161">
        <v>503</v>
      </c>
      <c r="B69" s="133">
        <v>4</v>
      </c>
      <c r="C69" s="121" t="s">
        <v>704</v>
      </c>
      <c r="D69" s="133" t="s">
        <v>705</v>
      </c>
      <c r="E69" s="133">
        <v>504</v>
      </c>
      <c r="F69" s="121">
        <v>20</v>
      </c>
      <c r="G69" s="71">
        <f t="shared" si="23"/>
        <v>40</v>
      </c>
      <c r="H69" s="109">
        <v>0</v>
      </c>
      <c r="I69" s="109">
        <v>0</v>
      </c>
      <c r="J69" s="109">
        <v>0</v>
      </c>
      <c r="K69" s="109">
        <v>0</v>
      </c>
      <c r="L69" s="109">
        <v>0</v>
      </c>
      <c r="M69" s="109">
        <v>0</v>
      </c>
      <c r="N69" s="134" t="s">
        <v>719</v>
      </c>
      <c r="O69" s="110" t="s">
        <v>137</v>
      </c>
      <c r="P69" s="110" t="s">
        <v>137</v>
      </c>
      <c r="Q69" s="110" t="s">
        <v>137</v>
      </c>
      <c r="R69" s="110" t="s">
        <v>137</v>
      </c>
      <c r="S69" s="110" t="s">
        <v>137</v>
      </c>
      <c r="T69" s="121">
        <v>0</v>
      </c>
      <c r="U69" s="64">
        <v>10</v>
      </c>
      <c r="V69" s="133"/>
      <c r="W69" s="121"/>
      <c r="X69" s="121"/>
      <c r="Y69" s="123" t="s">
        <v>141</v>
      </c>
      <c r="Z69" s="123">
        <v>0</v>
      </c>
      <c r="AA69" s="123">
        <v>3</v>
      </c>
      <c r="AB69" s="75">
        <f t="shared" si="24"/>
        <v>23</v>
      </c>
      <c r="AC69" s="75">
        <f t="shared" si="25"/>
        <v>38</v>
      </c>
      <c r="AD69" s="75">
        <v>250</v>
      </c>
      <c r="AE69" s="123">
        <v>4</v>
      </c>
      <c r="AF69" s="124">
        <v>15000</v>
      </c>
      <c r="AG69" s="124">
        <v>20000</v>
      </c>
      <c r="AH69" s="124">
        <v>10</v>
      </c>
      <c r="AI69" s="76">
        <f>出怪成长!D113</f>
        <v>0</v>
      </c>
      <c r="AJ69" s="125" t="s">
        <v>707</v>
      </c>
      <c r="AK69" s="123">
        <v>0</v>
      </c>
      <c r="AL69" s="123" t="s">
        <v>708</v>
      </c>
      <c r="AM69" s="125" t="s">
        <v>720</v>
      </c>
      <c r="AN69" s="123">
        <v>0</v>
      </c>
      <c r="AO69" s="116">
        <v>0</v>
      </c>
      <c r="AP69" s="123" t="s">
        <v>710</v>
      </c>
      <c r="AQ69" s="123">
        <v>0</v>
      </c>
      <c r="AR69" s="123" t="str">
        <f t="shared" si="20"/>
        <v>Lv3</v>
      </c>
      <c r="AS69" s="75">
        <v>0</v>
      </c>
      <c r="AT69" s="75">
        <v>0</v>
      </c>
      <c r="AU69" s="70" t="s">
        <v>721</v>
      </c>
      <c r="AV69" s="123">
        <v>0</v>
      </c>
      <c r="AW69" s="116">
        <v>0</v>
      </c>
      <c r="AX69" s="123">
        <v>0</v>
      </c>
      <c r="AY69" s="123" t="s">
        <v>641</v>
      </c>
      <c r="AZ69" s="123" t="s">
        <v>712</v>
      </c>
      <c r="BA69" s="123" t="s">
        <v>713</v>
      </c>
      <c r="BB69" s="75">
        <v>0</v>
      </c>
      <c r="BC69" s="123">
        <v>8</v>
      </c>
      <c r="BD69" s="123">
        <v>80</v>
      </c>
      <c r="BE69" s="123" t="s">
        <v>411</v>
      </c>
      <c r="BF69" s="123" t="s">
        <v>722</v>
      </c>
      <c r="BG69" s="76">
        <v>0</v>
      </c>
      <c r="BH69" s="123">
        <v>4</v>
      </c>
      <c r="BI69" s="70" t="s">
        <v>141</v>
      </c>
      <c r="BJ69" s="123" t="s">
        <v>141</v>
      </c>
      <c r="BK69" s="60">
        <v>1</v>
      </c>
      <c r="BM69" s="135">
        <f t="shared" si="26"/>
        <v>1002</v>
      </c>
      <c r="BN69" s="60">
        <f t="shared" si="27"/>
        <v>1002</v>
      </c>
    </row>
    <row r="70" s="60" customFormat="1" spans="1:68">
      <c r="A70" s="161">
        <v>504</v>
      </c>
      <c r="B70" s="133">
        <v>4</v>
      </c>
      <c r="C70" s="121" t="s">
        <v>704</v>
      </c>
      <c r="D70" s="133" t="s">
        <v>705</v>
      </c>
      <c r="E70" s="133">
        <v>505</v>
      </c>
      <c r="F70" s="121">
        <v>25</v>
      </c>
      <c r="G70" s="71">
        <f t="shared" si="23"/>
        <v>45</v>
      </c>
      <c r="H70" s="109">
        <v>0</v>
      </c>
      <c r="I70" s="109">
        <v>0</v>
      </c>
      <c r="J70" s="109">
        <v>0</v>
      </c>
      <c r="K70" s="109">
        <v>0</v>
      </c>
      <c r="L70" s="109">
        <v>0</v>
      </c>
      <c r="M70" s="109">
        <v>0</v>
      </c>
      <c r="N70" s="134" t="s">
        <v>723</v>
      </c>
      <c r="O70" s="110" t="s">
        <v>137</v>
      </c>
      <c r="P70" s="110" t="s">
        <v>137</v>
      </c>
      <c r="Q70" s="110" t="s">
        <v>137</v>
      </c>
      <c r="R70" s="110" t="s">
        <v>137</v>
      </c>
      <c r="S70" s="110" t="s">
        <v>137</v>
      </c>
      <c r="T70" s="121">
        <v>0</v>
      </c>
      <c r="U70" s="64">
        <v>10</v>
      </c>
      <c r="V70" s="133"/>
      <c r="W70" s="121"/>
      <c r="X70" s="121"/>
      <c r="Y70" s="123" t="s">
        <v>141</v>
      </c>
      <c r="Z70" s="123">
        <v>0</v>
      </c>
      <c r="AA70" s="123">
        <v>4</v>
      </c>
      <c r="AB70" s="75">
        <f t="shared" si="24"/>
        <v>29</v>
      </c>
      <c r="AC70" s="75">
        <f t="shared" si="25"/>
        <v>44</v>
      </c>
      <c r="AD70" s="75">
        <v>250</v>
      </c>
      <c r="AE70" s="123">
        <v>4</v>
      </c>
      <c r="AF70" s="124">
        <v>15000</v>
      </c>
      <c r="AG70" s="124">
        <v>20000</v>
      </c>
      <c r="AH70" s="124">
        <v>10</v>
      </c>
      <c r="AI70" s="76">
        <f>出怪成长!D114</f>
        <v>0</v>
      </c>
      <c r="AJ70" s="125" t="s">
        <v>707</v>
      </c>
      <c r="AK70" s="123">
        <v>0</v>
      </c>
      <c r="AL70" s="123" t="s">
        <v>708</v>
      </c>
      <c r="AM70" s="125" t="s">
        <v>724</v>
      </c>
      <c r="AN70" s="123">
        <v>0</v>
      </c>
      <c r="AO70" s="116">
        <v>0</v>
      </c>
      <c r="AP70" s="123" t="s">
        <v>710</v>
      </c>
      <c r="AQ70" s="123">
        <v>0</v>
      </c>
      <c r="AR70" s="123" t="str">
        <f t="shared" si="20"/>
        <v>Lv4</v>
      </c>
      <c r="AS70" s="75">
        <v>0</v>
      </c>
      <c r="AT70" s="75">
        <v>0</v>
      </c>
      <c r="AU70" s="70" t="s">
        <v>725</v>
      </c>
      <c r="AV70" s="123">
        <v>0</v>
      </c>
      <c r="AW70" s="116">
        <v>0</v>
      </c>
      <c r="AX70" s="123">
        <v>0</v>
      </c>
      <c r="AY70" s="123" t="s">
        <v>641</v>
      </c>
      <c r="AZ70" s="123" t="s">
        <v>712</v>
      </c>
      <c r="BA70" s="123" t="s">
        <v>713</v>
      </c>
      <c r="BB70" s="75">
        <v>0</v>
      </c>
      <c r="BC70" s="123">
        <v>14</v>
      </c>
      <c r="BD70" s="123">
        <v>140</v>
      </c>
      <c r="BE70" s="123" t="s">
        <v>512</v>
      </c>
      <c r="BF70" s="123" t="s">
        <v>659</v>
      </c>
      <c r="BG70" s="76">
        <v>0</v>
      </c>
      <c r="BH70" s="123">
        <v>4</v>
      </c>
      <c r="BI70" s="70" t="s">
        <v>141</v>
      </c>
      <c r="BJ70" s="123" t="s">
        <v>275</v>
      </c>
      <c r="BK70" s="60">
        <v>2</v>
      </c>
      <c r="BM70" s="135">
        <f t="shared" si="26"/>
        <v>2003</v>
      </c>
      <c r="BN70" s="60">
        <f t="shared" si="27"/>
        <v>2003</v>
      </c>
    </row>
    <row r="71" s="60" customFormat="1" spans="1:68">
      <c r="A71" s="161">
        <v>505</v>
      </c>
      <c r="B71" s="133">
        <v>4</v>
      </c>
      <c r="C71" s="121" t="s">
        <v>704</v>
      </c>
      <c r="D71" s="133" t="s">
        <v>705</v>
      </c>
      <c r="E71" s="133">
        <v>506</v>
      </c>
      <c r="F71" s="121">
        <v>30</v>
      </c>
      <c r="G71" s="71">
        <f t="shared" si="23"/>
        <v>50</v>
      </c>
      <c r="H71" s="109">
        <v>0</v>
      </c>
      <c r="I71" s="109">
        <v>0</v>
      </c>
      <c r="J71" s="109">
        <v>0</v>
      </c>
      <c r="K71" s="109">
        <v>0</v>
      </c>
      <c r="L71" s="109">
        <v>0</v>
      </c>
      <c r="M71" s="109">
        <v>0</v>
      </c>
      <c r="N71" s="134" t="s">
        <v>726</v>
      </c>
      <c r="O71" s="110" t="s">
        <v>137</v>
      </c>
      <c r="P71" s="110" t="s">
        <v>137</v>
      </c>
      <c r="Q71" s="110" t="s">
        <v>137</v>
      </c>
      <c r="R71" s="110" t="s">
        <v>137</v>
      </c>
      <c r="S71" s="110" t="s">
        <v>137</v>
      </c>
      <c r="T71" s="121">
        <v>0</v>
      </c>
      <c r="U71" s="64">
        <v>10</v>
      </c>
      <c r="V71" s="133"/>
      <c r="W71" s="121"/>
      <c r="X71" s="121"/>
      <c r="Y71" s="123" t="s">
        <v>141</v>
      </c>
      <c r="Z71" s="123">
        <v>0</v>
      </c>
      <c r="AA71" s="123">
        <v>5</v>
      </c>
      <c r="AB71" s="75">
        <f t="shared" si="24"/>
        <v>35</v>
      </c>
      <c r="AC71" s="75">
        <f t="shared" si="25"/>
        <v>50</v>
      </c>
      <c r="AD71" s="75">
        <v>250</v>
      </c>
      <c r="AE71" s="123">
        <v>5</v>
      </c>
      <c r="AF71" s="124">
        <v>15000</v>
      </c>
      <c r="AG71" s="124">
        <v>20000</v>
      </c>
      <c r="AH71" s="124">
        <v>10</v>
      </c>
      <c r="AI71" s="76">
        <f>出怪成长!D115</f>
        <v>0</v>
      </c>
      <c r="AJ71" s="125" t="s">
        <v>707</v>
      </c>
      <c r="AK71" s="123">
        <v>0</v>
      </c>
      <c r="AL71" s="123" t="s">
        <v>708</v>
      </c>
      <c r="AM71" s="125" t="s">
        <v>727</v>
      </c>
      <c r="AN71" s="123">
        <v>0</v>
      </c>
      <c r="AO71" s="116">
        <v>0</v>
      </c>
      <c r="AP71" s="123" t="s">
        <v>710</v>
      </c>
      <c r="AQ71" s="123">
        <v>0</v>
      </c>
      <c r="AR71" s="123" t="str">
        <f t="shared" si="20"/>
        <v>Lv5</v>
      </c>
      <c r="AS71" s="75">
        <v>0</v>
      </c>
      <c r="AT71" s="75">
        <v>0</v>
      </c>
      <c r="AU71" s="70" t="s">
        <v>728</v>
      </c>
      <c r="AV71" s="123">
        <v>0</v>
      </c>
      <c r="AW71" s="116">
        <v>0</v>
      </c>
      <c r="AX71" s="123">
        <v>0</v>
      </c>
      <c r="AY71" s="123" t="s">
        <v>641</v>
      </c>
      <c r="AZ71" s="123" t="s">
        <v>712</v>
      </c>
      <c r="BA71" s="123" t="s">
        <v>713</v>
      </c>
      <c r="BB71" s="75">
        <v>0</v>
      </c>
      <c r="BC71" s="123">
        <v>18</v>
      </c>
      <c r="BD71" s="123">
        <v>180</v>
      </c>
      <c r="BE71" s="123" t="s">
        <v>664</v>
      </c>
      <c r="BF71" s="123" t="s">
        <v>729</v>
      </c>
      <c r="BG71" s="76">
        <v>0</v>
      </c>
      <c r="BH71" s="123">
        <v>5</v>
      </c>
      <c r="BI71" s="70" t="s">
        <v>141</v>
      </c>
      <c r="BJ71" s="123" t="s">
        <v>677</v>
      </c>
      <c r="BK71" s="60">
        <v>5</v>
      </c>
      <c r="BM71" s="135">
        <f t="shared" si="26"/>
        <v>5004</v>
      </c>
      <c r="BN71" s="60">
        <f t="shared" si="27"/>
        <v>5004</v>
      </c>
    </row>
    <row r="72" s="60" customFormat="1" spans="1:68">
      <c r="A72" s="161">
        <v>506</v>
      </c>
      <c r="B72" s="133">
        <v>4</v>
      </c>
      <c r="C72" s="121" t="s">
        <v>704</v>
      </c>
      <c r="D72" s="133" t="s">
        <v>705</v>
      </c>
      <c r="E72" s="133">
        <v>507</v>
      </c>
      <c r="F72" s="121">
        <v>35</v>
      </c>
      <c r="G72" s="71">
        <f t="shared" si="23"/>
        <v>55</v>
      </c>
      <c r="H72" s="109">
        <v>0</v>
      </c>
      <c r="I72" s="109">
        <v>0</v>
      </c>
      <c r="J72" s="109">
        <v>0</v>
      </c>
      <c r="K72" s="109">
        <v>0</v>
      </c>
      <c r="L72" s="109">
        <v>0</v>
      </c>
      <c r="M72" s="109">
        <v>0</v>
      </c>
      <c r="N72" s="134" t="s">
        <v>730</v>
      </c>
      <c r="O72" s="110" t="s">
        <v>137</v>
      </c>
      <c r="P72" s="110" t="s">
        <v>137</v>
      </c>
      <c r="Q72" s="110" t="s">
        <v>137</v>
      </c>
      <c r="R72" s="110" t="s">
        <v>137</v>
      </c>
      <c r="S72" s="110" t="s">
        <v>137</v>
      </c>
      <c r="T72" s="121">
        <v>0</v>
      </c>
      <c r="U72" s="64">
        <v>10</v>
      </c>
      <c r="V72" s="133"/>
      <c r="W72" s="121"/>
      <c r="X72" s="121"/>
      <c r="Y72" s="123" t="s">
        <v>141</v>
      </c>
      <c r="Z72" s="123">
        <v>0</v>
      </c>
      <c r="AA72" s="123">
        <v>6</v>
      </c>
      <c r="AB72" s="75">
        <f t="shared" si="24"/>
        <v>41</v>
      </c>
      <c r="AC72" s="75">
        <f t="shared" si="25"/>
        <v>56</v>
      </c>
      <c r="AD72" s="75">
        <v>250</v>
      </c>
      <c r="AE72" s="123">
        <v>5</v>
      </c>
      <c r="AF72" s="124">
        <v>15000</v>
      </c>
      <c r="AG72" s="124">
        <v>20000</v>
      </c>
      <c r="AH72" s="124">
        <v>10</v>
      </c>
      <c r="AI72" s="76">
        <f>出怪成长!D116</f>
        <v>0</v>
      </c>
      <c r="AJ72" s="125" t="s">
        <v>707</v>
      </c>
      <c r="AK72" s="123">
        <v>0</v>
      </c>
      <c r="AL72" s="123" t="s">
        <v>708</v>
      </c>
      <c r="AM72" s="125" t="s">
        <v>731</v>
      </c>
      <c r="AN72" s="123">
        <v>0</v>
      </c>
      <c r="AO72" s="116">
        <v>0</v>
      </c>
      <c r="AP72" s="123" t="s">
        <v>710</v>
      </c>
      <c r="AQ72" s="123">
        <v>0</v>
      </c>
      <c r="AR72" s="123" t="str">
        <f t="shared" si="20"/>
        <v>Lv6</v>
      </c>
      <c r="AS72" s="75">
        <v>0</v>
      </c>
      <c r="AT72" s="75">
        <v>0</v>
      </c>
      <c r="AU72" s="70" t="s">
        <v>732</v>
      </c>
      <c r="AV72" s="123">
        <v>0</v>
      </c>
      <c r="AW72" s="116">
        <v>0</v>
      </c>
      <c r="AX72" s="123">
        <v>0</v>
      </c>
      <c r="AY72" s="123" t="s">
        <v>641</v>
      </c>
      <c r="AZ72" s="123" t="s">
        <v>712</v>
      </c>
      <c r="BA72" s="123" t="s">
        <v>713</v>
      </c>
      <c r="BB72" s="75">
        <v>0</v>
      </c>
      <c r="BC72" s="123">
        <v>22</v>
      </c>
      <c r="BD72" s="123">
        <v>220</v>
      </c>
      <c r="BE72" s="123" t="s">
        <v>670</v>
      </c>
      <c r="BF72" s="123" t="s">
        <v>671</v>
      </c>
      <c r="BG72" s="76">
        <v>0</v>
      </c>
      <c r="BH72" s="123">
        <v>5</v>
      </c>
      <c r="BI72" s="70" t="s">
        <v>141</v>
      </c>
      <c r="BJ72" s="123" t="s">
        <v>481</v>
      </c>
      <c r="BK72" s="60">
        <v>1</v>
      </c>
      <c r="BM72" s="135">
        <f t="shared" si="26"/>
        <v>1004</v>
      </c>
      <c r="BN72" s="60">
        <f t="shared" si="27"/>
        <v>1004</v>
      </c>
    </row>
    <row r="73" s="60" customFormat="1" spans="1:68">
      <c r="A73" s="161">
        <v>507</v>
      </c>
      <c r="B73" s="133">
        <v>4</v>
      </c>
      <c r="C73" s="121" t="s">
        <v>704</v>
      </c>
      <c r="D73" s="133" t="s">
        <v>705</v>
      </c>
      <c r="E73" s="133">
        <v>508</v>
      </c>
      <c r="F73" s="121">
        <v>40</v>
      </c>
      <c r="G73" s="71">
        <f t="shared" si="23"/>
        <v>60</v>
      </c>
      <c r="H73" s="109">
        <v>0</v>
      </c>
      <c r="I73" s="109">
        <v>0</v>
      </c>
      <c r="J73" s="109">
        <v>0</v>
      </c>
      <c r="K73" s="109">
        <v>0</v>
      </c>
      <c r="L73" s="109">
        <v>0</v>
      </c>
      <c r="M73" s="109">
        <v>0</v>
      </c>
      <c r="N73" s="134" t="s">
        <v>733</v>
      </c>
      <c r="O73" s="110" t="s">
        <v>137</v>
      </c>
      <c r="P73" s="110" t="s">
        <v>137</v>
      </c>
      <c r="Q73" s="110" t="s">
        <v>137</v>
      </c>
      <c r="R73" s="110" t="s">
        <v>137</v>
      </c>
      <c r="S73" s="110" t="s">
        <v>137</v>
      </c>
      <c r="T73" s="121">
        <v>0</v>
      </c>
      <c r="U73" s="64">
        <v>10</v>
      </c>
      <c r="V73" s="133"/>
      <c r="W73" s="121"/>
      <c r="X73" s="121"/>
      <c r="Y73" s="123" t="s">
        <v>141</v>
      </c>
      <c r="Z73" s="123">
        <v>0</v>
      </c>
      <c r="AA73" s="123">
        <v>7</v>
      </c>
      <c r="AB73" s="75">
        <f t="shared" si="24"/>
        <v>47</v>
      </c>
      <c r="AC73" s="75">
        <f t="shared" si="25"/>
        <v>62</v>
      </c>
      <c r="AD73" s="75">
        <v>250</v>
      </c>
      <c r="AE73" s="123">
        <v>6</v>
      </c>
      <c r="AF73" s="124">
        <v>15000</v>
      </c>
      <c r="AG73" s="124">
        <v>20000</v>
      </c>
      <c r="AH73" s="124">
        <v>10</v>
      </c>
      <c r="AI73" s="76">
        <f>出怪成长!D117</f>
        <v>0</v>
      </c>
      <c r="AJ73" s="125" t="s">
        <v>707</v>
      </c>
      <c r="AK73" s="123">
        <v>0</v>
      </c>
      <c r="AL73" s="123" t="s">
        <v>708</v>
      </c>
      <c r="AM73" s="125" t="s">
        <v>734</v>
      </c>
      <c r="AN73" s="123">
        <v>0</v>
      </c>
      <c r="AO73" s="116">
        <v>0</v>
      </c>
      <c r="AP73" s="123" t="s">
        <v>710</v>
      </c>
      <c r="AQ73" s="123">
        <v>0</v>
      </c>
      <c r="AR73" s="123" t="str">
        <f t="shared" si="20"/>
        <v>Lv7</v>
      </c>
      <c r="AS73" s="75">
        <v>0</v>
      </c>
      <c r="AT73" s="75">
        <v>0</v>
      </c>
      <c r="AU73" s="70" t="s">
        <v>735</v>
      </c>
      <c r="AV73" s="123">
        <v>0</v>
      </c>
      <c r="AW73" s="116">
        <v>0</v>
      </c>
      <c r="AX73" s="123">
        <v>0</v>
      </c>
      <c r="AY73" s="123" t="s">
        <v>641</v>
      </c>
      <c r="AZ73" s="123" t="s">
        <v>712</v>
      </c>
      <c r="BA73" s="123" t="s">
        <v>713</v>
      </c>
      <c r="BB73" s="75">
        <v>0</v>
      </c>
      <c r="BC73" s="123">
        <v>26</v>
      </c>
      <c r="BD73" s="123">
        <v>260</v>
      </c>
      <c r="BE73" s="123" t="s">
        <v>675</v>
      </c>
      <c r="BF73" s="123" t="s">
        <v>736</v>
      </c>
      <c r="BG73" s="76">
        <v>0</v>
      </c>
      <c r="BH73" s="123">
        <v>6</v>
      </c>
      <c r="BI73" s="70" t="s">
        <v>141</v>
      </c>
      <c r="BJ73" s="123" t="s">
        <v>666</v>
      </c>
      <c r="BK73" s="60">
        <v>1</v>
      </c>
      <c r="BM73" s="135">
        <f t="shared" si="26"/>
        <v>1105</v>
      </c>
      <c r="BN73" s="60">
        <f t="shared" si="27"/>
        <v>1105</v>
      </c>
    </row>
    <row r="74" s="60" customFormat="1" spans="1:68">
      <c r="A74" s="161">
        <v>508</v>
      </c>
      <c r="B74" s="133">
        <v>4</v>
      </c>
      <c r="C74" s="121" t="s">
        <v>704</v>
      </c>
      <c r="D74" s="133" t="s">
        <v>705</v>
      </c>
      <c r="E74" s="133">
        <v>509</v>
      </c>
      <c r="F74" s="121">
        <v>45</v>
      </c>
      <c r="G74" s="71">
        <f t="shared" si="23"/>
        <v>65</v>
      </c>
      <c r="H74" s="109">
        <v>0</v>
      </c>
      <c r="I74" s="109">
        <v>0</v>
      </c>
      <c r="J74" s="109">
        <v>0</v>
      </c>
      <c r="K74" s="109">
        <v>0</v>
      </c>
      <c r="L74" s="109">
        <v>0</v>
      </c>
      <c r="M74" s="109">
        <v>0</v>
      </c>
      <c r="N74" s="134" t="s">
        <v>737</v>
      </c>
      <c r="O74" s="110" t="s">
        <v>137</v>
      </c>
      <c r="P74" s="110" t="s">
        <v>137</v>
      </c>
      <c r="Q74" s="110" t="s">
        <v>137</v>
      </c>
      <c r="R74" s="110" t="s">
        <v>137</v>
      </c>
      <c r="S74" s="110" t="s">
        <v>137</v>
      </c>
      <c r="T74" s="121">
        <v>0</v>
      </c>
      <c r="U74" s="64">
        <v>10</v>
      </c>
      <c r="V74" s="133"/>
      <c r="W74" s="121"/>
      <c r="X74" s="121"/>
      <c r="Y74" s="123" t="s">
        <v>141</v>
      </c>
      <c r="Z74" s="123">
        <v>0</v>
      </c>
      <c r="AA74" s="123">
        <v>8</v>
      </c>
      <c r="AB74" s="75">
        <f t="shared" si="24"/>
        <v>53</v>
      </c>
      <c r="AC74" s="75">
        <f t="shared" si="25"/>
        <v>68</v>
      </c>
      <c r="AD74" s="75">
        <v>250</v>
      </c>
      <c r="AE74" s="123">
        <v>6</v>
      </c>
      <c r="AF74" s="124">
        <v>15000</v>
      </c>
      <c r="AG74" s="124">
        <v>20000</v>
      </c>
      <c r="AH74" s="124">
        <v>10</v>
      </c>
      <c r="AI74" s="76">
        <f>出怪成长!D118</f>
        <v>0</v>
      </c>
      <c r="AJ74" s="125" t="s">
        <v>707</v>
      </c>
      <c r="AK74" s="123">
        <v>0</v>
      </c>
      <c r="AL74" s="123" t="s">
        <v>708</v>
      </c>
      <c r="AM74" s="125" t="s">
        <v>738</v>
      </c>
      <c r="AN74" s="123">
        <v>0</v>
      </c>
      <c r="AO74" s="116">
        <v>0</v>
      </c>
      <c r="AP74" s="123" t="s">
        <v>710</v>
      </c>
      <c r="AQ74" s="123">
        <v>0</v>
      </c>
      <c r="AR74" s="123" t="str">
        <f t="shared" si="20"/>
        <v>Lv8</v>
      </c>
      <c r="AS74" s="75">
        <v>0</v>
      </c>
      <c r="AT74" s="75">
        <v>0</v>
      </c>
      <c r="AU74" s="70" t="s">
        <v>739</v>
      </c>
      <c r="AV74" s="123">
        <v>0</v>
      </c>
      <c r="AW74" s="116">
        <v>0</v>
      </c>
      <c r="AX74" s="123">
        <v>0</v>
      </c>
      <c r="AY74" s="123" t="s">
        <v>641</v>
      </c>
      <c r="AZ74" s="123" t="s">
        <v>712</v>
      </c>
      <c r="BA74" s="123" t="s">
        <v>713</v>
      </c>
      <c r="BB74" s="75">
        <v>0</v>
      </c>
      <c r="BC74" s="123">
        <v>30</v>
      </c>
      <c r="BD74" s="123">
        <v>300</v>
      </c>
      <c r="BE74" s="123" t="s">
        <v>681</v>
      </c>
      <c r="BF74" s="123" t="s">
        <v>740</v>
      </c>
      <c r="BG74" s="76">
        <v>0</v>
      </c>
      <c r="BH74" s="123">
        <v>6</v>
      </c>
      <c r="BI74" s="70" t="s">
        <v>141</v>
      </c>
      <c r="BJ74" s="123" t="s">
        <v>651</v>
      </c>
      <c r="BK74" s="60">
        <v>5</v>
      </c>
      <c r="BM74" s="135">
        <f t="shared" si="26"/>
        <v>5106</v>
      </c>
      <c r="BN74" s="60">
        <f t="shared" si="27"/>
        <v>5106</v>
      </c>
    </row>
    <row r="75" s="60" customFormat="1" spans="1:68">
      <c r="A75" s="161">
        <v>509</v>
      </c>
      <c r="B75" s="133">
        <v>4</v>
      </c>
      <c r="C75" s="121" t="s">
        <v>704</v>
      </c>
      <c r="D75" s="133" t="s">
        <v>705</v>
      </c>
      <c r="E75" s="133">
        <v>510</v>
      </c>
      <c r="F75" s="121">
        <v>50</v>
      </c>
      <c r="G75" s="71">
        <f t="shared" si="23"/>
        <v>70</v>
      </c>
      <c r="H75" s="109">
        <v>0</v>
      </c>
      <c r="I75" s="109">
        <v>0</v>
      </c>
      <c r="J75" s="109">
        <v>0</v>
      </c>
      <c r="K75" s="109">
        <v>0</v>
      </c>
      <c r="L75" s="109">
        <v>0</v>
      </c>
      <c r="M75" s="109">
        <v>0</v>
      </c>
      <c r="N75" s="134" t="s">
        <v>741</v>
      </c>
      <c r="O75" s="110" t="s">
        <v>137</v>
      </c>
      <c r="P75" s="110" t="s">
        <v>137</v>
      </c>
      <c r="Q75" s="110" t="s">
        <v>137</v>
      </c>
      <c r="R75" s="110" t="s">
        <v>137</v>
      </c>
      <c r="S75" s="110" t="s">
        <v>137</v>
      </c>
      <c r="T75" s="121">
        <v>0</v>
      </c>
      <c r="U75" s="64">
        <v>10</v>
      </c>
      <c r="V75" s="133"/>
      <c r="W75" s="121"/>
      <c r="X75" s="121"/>
      <c r="Y75" s="123" t="s">
        <v>141</v>
      </c>
      <c r="Z75" s="123">
        <v>0</v>
      </c>
      <c r="AA75" s="123">
        <v>9</v>
      </c>
      <c r="AB75" s="75">
        <f t="shared" si="24"/>
        <v>59</v>
      </c>
      <c r="AC75" s="75">
        <f t="shared" si="25"/>
        <v>74</v>
      </c>
      <c r="AD75" s="75">
        <v>250</v>
      </c>
      <c r="AE75" s="123">
        <v>7</v>
      </c>
      <c r="AF75" s="124">
        <v>15000</v>
      </c>
      <c r="AG75" s="124">
        <v>20000</v>
      </c>
      <c r="AH75" s="124">
        <v>10</v>
      </c>
      <c r="AI75" s="76">
        <f>出怪成长!D119</f>
        <v>0</v>
      </c>
      <c r="AJ75" s="125" t="s">
        <v>707</v>
      </c>
      <c r="AK75" s="123">
        <v>0</v>
      </c>
      <c r="AL75" s="123" t="s">
        <v>708</v>
      </c>
      <c r="AM75" s="125" t="s">
        <v>742</v>
      </c>
      <c r="AN75" s="123">
        <v>0</v>
      </c>
      <c r="AO75" s="116">
        <v>0</v>
      </c>
      <c r="AP75" s="123" t="s">
        <v>710</v>
      </c>
      <c r="AQ75" s="123">
        <v>0</v>
      </c>
      <c r="AR75" s="123" t="str">
        <f t="shared" si="20"/>
        <v>Lv9</v>
      </c>
      <c r="AS75" s="75">
        <v>0</v>
      </c>
      <c r="AT75" s="75">
        <v>0</v>
      </c>
      <c r="AU75" s="70" t="s">
        <v>743</v>
      </c>
      <c r="AV75" s="123">
        <v>0</v>
      </c>
      <c r="AW75" s="116">
        <v>0</v>
      </c>
      <c r="AX75" s="123">
        <v>0</v>
      </c>
      <c r="AY75" s="123" t="s">
        <v>641</v>
      </c>
      <c r="AZ75" s="123" t="s">
        <v>712</v>
      </c>
      <c r="BA75" s="123" t="s">
        <v>713</v>
      </c>
      <c r="BB75" s="75">
        <v>0</v>
      </c>
      <c r="BC75" s="123">
        <v>35</v>
      </c>
      <c r="BD75" s="123">
        <v>350</v>
      </c>
      <c r="BE75" s="123" t="s">
        <v>686</v>
      </c>
      <c r="BF75" s="123" t="s">
        <v>744</v>
      </c>
      <c r="BG75" s="76">
        <v>0</v>
      </c>
      <c r="BH75" s="123">
        <v>7</v>
      </c>
      <c r="BI75" s="70" t="s">
        <v>141</v>
      </c>
      <c r="BJ75" s="123" t="s">
        <v>660</v>
      </c>
      <c r="BK75" s="60">
        <v>4</v>
      </c>
      <c r="BM75" s="135">
        <f t="shared" si="26"/>
        <v>4106</v>
      </c>
      <c r="BN75" s="60">
        <f t="shared" si="27"/>
        <v>4106</v>
      </c>
    </row>
    <row r="76" s="60" customFormat="1" spans="1:68">
      <c r="A76" s="161">
        <v>510</v>
      </c>
      <c r="B76" s="133">
        <v>4</v>
      </c>
      <c r="C76" s="121" t="s">
        <v>704</v>
      </c>
      <c r="D76" s="133" t="s">
        <v>705</v>
      </c>
      <c r="E76" s="133">
        <v>511</v>
      </c>
      <c r="F76" s="121">
        <v>55</v>
      </c>
      <c r="G76" s="71">
        <f t="shared" si="23"/>
        <v>75</v>
      </c>
      <c r="H76" s="109">
        <v>0</v>
      </c>
      <c r="I76" s="109">
        <v>0</v>
      </c>
      <c r="J76" s="109">
        <v>0</v>
      </c>
      <c r="K76" s="109">
        <v>0</v>
      </c>
      <c r="L76" s="109">
        <v>0</v>
      </c>
      <c r="M76" s="109">
        <v>0</v>
      </c>
      <c r="N76" s="134" t="s">
        <v>745</v>
      </c>
      <c r="O76" s="110" t="s">
        <v>137</v>
      </c>
      <c r="P76" s="110" t="s">
        <v>137</v>
      </c>
      <c r="Q76" s="110" t="s">
        <v>137</v>
      </c>
      <c r="R76" s="110" t="s">
        <v>137</v>
      </c>
      <c r="S76" s="110" t="s">
        <v>137</v>
      </c>
      <c r="T76" s="121">
        <v>0</v>
      </c>
      <c r="U76" s="64">
        <v>10</v>
      </c>
      <c r="V76" s="133"/>
      <c r="W76" s="121"/>
      <c r="X76" s="121"/>
      <c r="Y76" s="123" t="s">
        <v>141</v>
      </c>
      <c r="Z76" s="123">
        <v>0</v>
      </c>
      <c r="AA76" s="123">
        <v>10</v>
      </c>
      <c r="AB76" s="75">
        <f t="shared" si="24"/>
        <v>65</v>
      </c>
      <c r="AC76" s="75">
        <f t="shared" si="25"/>
        <v>80</v>
      </c>
      <c r="AD76" s="75">
        <v>250</v>
      </c>
      <c r="AE76" s="123">
        <v>7</v>
      </c>
      <c r="AF76" s="124">
        <v>15000</v>
      </c>
      <c r="AG76" s="124">
        <v>20000</v>
      </c>
      <c r="AH76" s="124">
        <v>10</v>
      </c>
      <c r="AI76" s="76">
        <f>出怪成长!D120</f>
        <v>0</v>
      </c>
      <c r="AJ76" s="125" t="s">
        <v>707</v>
      </c>
      <c r="AK76" s="123">
        <v>0</v>
      </c>
      <c r="AL76" s="123" t="s">
        <v>708</v>
      </c>
      <c r="AM76" s="125" t="s">
        <v>746</v>
      </c>
      <c r="AN76" s="123">
        <v>0</v>
      </c>
      <c r="AO76" s="116">
        <v>0</v>
      </c>
      <c r="AP76" s="123" t="s">
        <v>710</v>
      </c>
      <c r="AQ76" s="123">
        <v>0</v>
      </c>
      <c r="AR76" s="123" t="str">
        <f t="shared" si="20"/>
        <v>Lv10</v>
      </c>
      <c r="AS76" s="75">
        <v>0</v>
      </c>
      <c r="AT76" s="75">
        <v>0</v>
      </c>
      <c r="AU76" s="70" t="s">
        <v>747</v>
      </c>
      <c r="AV76" s="123">
        <v>0</v>
      </c>
      <c r="AW76" s="116">
        <v>0</v>
      </c>
      <c r="AX76" s="123">
        <v>0</v>
      </c>
      <c r="AY76" s="123" t="s">
        <v>641</v>
      </c>
      <c r="AZ76" s="123" t="s">
        <v>712</v>
      </c>
      <c r="BA76" s="123" t="s">
        <v>713</v>
      </c>
      <c r="BB76" s="75">
        <v>0</v>
      </c>
      <c r="BC76" s="123">
        <v>40</v>
      </c>
      <c r="BD76" s="123">
        <v>400</v>
      </c>
      <c r="BE76" s="123" t="s">
        <v>691</v>
      </c>
      <c r="BF76" s="123" t="s">
        <v>748</v>
      </c>
      <c r="BG76" s="76">
        <v>0</v>
      </c>
      <c r="BH76" s="123">
        <v>7</v>
      </c>
      <c r="BI76" s="70" t="s">
        <v>141</v>
      </c>
      <c r="BJ76" s="123" t="s">
        <v>141</v>
      </c>
      <c r="BK76" s="60">
        <v>5</v>
      </c>
      <c r="BM76" s="135">
        <f t="shared" si="26"/>
        <v>5107</v>
      </c>
      <c r="BN76" s="60">
        <f t="shared" si="27"/>
        <v>5107</v>
      </c>
    </row>
    <row r="77" s="60" customFormat="1" spans="1:68">
      <c r="A77" s="161">
        <v>511</v>
      </c>
      <c r="B77" s="133">
        <v>4</v>
      </c>
      <c r="C77" s="121" t="s">
        <v>704</v>
      </c>
      <c r="D77" s="133" t="s">
        <v>705</v>
      </c>
      <c r="E77" s="133">
        <v>512</v>
      </c>
      <c r="F77" s="121">
        <v>60</v>
      </c>
      <c r="G77" s="71">
        <f t="shared" si="23"/>
        <v>80</v>
      </c>
      <c r="H77" s="109">
        <v>0</v>
      </c>
      <c r="I77" s="109">
        <v>0</v>
      </c>
      <c r="J77" s="109">
        <v>0</v>
      </c>
      <c r="K77" s="109">
        <v>0</v>
      </c>
      <c r="L77" s="109">
        <v>0</v>
      </c>
      <c r="M77" s="109">
        <v>0</v>
      </c>
      <c r="N77" s="134" t="s">
        <v>749</v>
      </c>
      <c r="O77" s="110" t="s">
        <v>137</v>
      </c>
      <c r="P77" s="110" t="s">
        <v>137</v>
      </c>
      <c r="Q77" s="110" t="s">
        <v>137</v>
      </c>
      <c r="R77" s="110" t="s">
        <v>137</v>
      </c>
      <c r="S77" s="110" t="s">
        <v>137</v>
      </c>
      <c r="T77" s="121">
        <v>0</v>
      </c>
      <c r="U77" s="64">
        <v>10</v>
      </c>
      <c r="V77" s="133"/>
      <c r="W77" s="121"/>
      <c r="X77" s="121"/>
      <c r="Y77" s="123" t="s">
        <v>141</v>
      </c>
      <c r="Z77" s="123">
        <v>0</v>
      </c>
      <c r="AA77" s="123">
        <v>11</v>
      </c>
      <c r="AB77" s="75">
        <f t="shared" si="24"/>
        <v>71</v>
      </c>
      <c r="AC77" s="75">
        <f t="shared" si="25"/>
        <v>86</v>
      </c>
      <c r="AD77" s="75">
        <v>250</v>
      </c>
      <c r="AE77" s="123">
        <v>8</v>
      </c>
      <c r="AF77" s="124">
        <v>15000</v>
      </c>
      <c r="AG77" s="124">
        <v>20000</v>
      </c>
      <c r="AH77" s="124">
        <v>10</v>
      </c>
      <c r="AI77" s="76">
        <f>出怪成长!D121</f>
        <v>0</v>
      </c>
      <c r="AJ77" s="125" t="s">
        <v>707</v>
      </c>
      <c r="AK77" s="123">
        <v>0</v>
      </c>
      <c r="AL77" s="123" t="s">
        <v>708</v>
      </c>
      <c r="AM77" s="125" t="s">
        <v>750</v>
      </c>
      <c r="AN77" s="123">
        <v>0</v>
      </c>
      <c r="AO77" s="116">
        <v>0</v>
      </c>
      <c r="AP77" s="123" t="s">
        <v>710</v>
      </c>
      <c r="AQ77" s="123">
        <v>0</v>
      </c>
      <c r="AR77" s="123" t="str">
        <f t="shared" si="20"/>
        <v>Lv11</v>
      </c>
      <c r="AS77" s="75">
        <v>0</v>
      </c>
      <c r="AT77" s="75">
        <v>0</v>
      </c>
      <c r="AU77" s="70" t="s">
        <v>751</v>
      </c>
      <c r="AV77" s="123">
        <v>0</v>
      </c>
      <c r="AW77" s="116">
        <v>0</v>
      </c>
      <c r="AX77" s="123">
        <v>0</v>
      </c>
      <c r="AY77" s="123" t="s">
        <v>641</v>
      </c>
      <c r="AZ77" s="123" t="s">
        <v>712</v>
      </c>
      <c r="BA77" s="123" t="s">
        <v>713</v>
      </c>
      <c r="BB77" s="75">
        <v>0</v>
      </c>
      <c r="BC77" s="123">
        <v>45</v>
      </c>
      <c r="BD77" s="123">
        <v>450</v>
      </c>
      <c r="BE77" s="123" t="s">
        <v>696</v>
      </c>
      <c r="BF77" s="123" t="s">
        <v>752</v>
      </c>
      <c r="BG77" s="76">
        <v>0</v>
      </c>
      <c r="BH77" s="123">
        <v>7</v>
      </c>
      <c r="BI77" s="70" t="s">
        <v>141</v>
      </c>
      <c r="BJ77" s="123" t="s">
        <v>141</v>
      </c>
      <c r="BK77" s="60">
        <v>5</v>
      </c>
      <c r="BM77" s="135">
        <f t="shared" si="26"/>
        <v>5108</v>
      </c>
      <c r="BN77" s="60">
        <f t="shared" si="27"/>
        <v>5108</v>
      </c>
    </row>
    <row r="78" s="60" customFormat="1" spans="1:68">
      <c r="A78" s="161">
        <v>512</v>
      </c>
      <c r="B78" s="133">
        <v>4</v>
      </c>
      <c r="C78" s="121" t="s">
        <v>704</v>
      </c>
      <c r="D78" s="133" t="s">
        <v>705</v>
      </c>
      <c r="E78" s="133">
        <v>513</v>
      </c>
      <c r="F78" s="121">
        <v>65</v>
      </c>
      <c r="G78" s="71">
        <f t="shared" si="23"/>
        <v>85</v>
      </c>
      <c r="H78" s="109">
        <v>0</v>
      </c>
      <c r="I78" s="109">
        <v>0</v>
      </c>
      <c r="J78" s="109">
        <v>0</v>
      </c>
      <c r="K78" s="109">
        <v>0</v>
      </c>
      <c r="L78" s="109">
        <v>0</v>
      </c>
      <c r="M78" s="109">
        <v>0</v>
      </c>
      <c r="N78" s="134" t="s">
        <v>753</v>
      </c>
      <c r="O78" s="110" t="s">
        <v>137</v>
      </c>
      <c r="P78" s="110" t="s">
        <v>137</v>
      </c>
      <c r="Q78" s="110" t="s">
        <v>137</v>
      </c>
      <c r="R78" s="110" t="s">
        <v>137</v>
      </c>
      <c r="S78" s="110" t="s">
        <v>137</v>
      </c>
      <c r="T78" s="121">
        <v>0</v>
      </c>
      <c r="U78" s="64">
        <v>10</v>
      </c>
      <c r="V78" s="133"/>
      <c r="W78" s="121"/>
      <c r="X78" s="121"/>
      <c r="Y78" s="123" t="s">
        <v>141</v>
      </c>
      <c r="Z78" s="123">
        <v>0</v>
      </c>
      <c r="AA78" s="123">
        <v>12</v>
      </c>
      <c r="AB78" s="75">
        <f t="shared" si="24"/>
        <v>77</v>
      </c>
      <c r="AC78" s="75">
        <f t="shared" si="25"/>
        <v>92</v>
      </c>
      <c r="AD78" s="75">
        <v>250</v>
      </c>
      <c r="AE78" s="123">
        <v>9</v>
      </c>
      <c r="AF78" s="124">
        <v>15000</v>
      </c>
      <c r="AG78" s="124">
        <v>20000</v>
      </c>
      <c r="AH78" s="124">
        <v>10</v>
      </c>
      <c r="AI78" s="76">
        <f>出怪成长!D122</f>
        <v>0</v>
      </c>
      <c r="AJ78" s="125" t="s">
        <v>707</v>
      </c>
      <c r="AK78" s="123">
        <v>0</v>
      </c>
      <c r="AL78" s="123" t="s">
        <v>708</v>
      </c>
      <c r="AM78" s="125" t="s">
        <v>754</v>
      </c>
      <c r="AN78" s="123">
        <v>0</v>
      </c>
      <c r="AO78" s="116">
        <v>0</v>
      </c>
      <c r="AP78" s="123" t="s">
        <v>710</v>
      </c>
      <c r="AQ78" s="123">
        <v>0</v>
      </c>
      <c r="AR78" s="123" t="str">
        <f t="shared" si="20"/>
        <v>Lv12</v>
      </c>
      <c r="AS78" s="75">
        <v>0</v>
      </c>
      <c r="AT78" s="75">
        <v>0</v>
      </c>
      <c r="AU78" s="70" t="s">
        <v>755</v>
      </c>
      <c r="AV78" s="123">
        <v>0</v>
      </c>
      <c r="AW78" s="116">
        <v>0</v>
      </c>
      <c r="AX78" s="123">
        <v>0</v>
      </c>
      <c r="AY78" s="123" t="s">
        <v>641</v>
      </c>
      <c r="AZ78" s="123" t="s">
        <v>712</v>
      </c>
      <c r="BA78" s="123" t="s">
        <v>713</v>
      </c>
      <c r="BB78" s="75">
        <v>0</v>
      </c>
      <c r="BC78" s="123">
        <v>50</v>
      </c>
      <c r="BD78" s="123">
        <v>500</v>
      </c>
      <c r="BE78" s="123" t="s">
        <v>756</v>
      </c>
      <c r="BF78" s="123" t="s">
        <v>757</v>
      </c>
      <c r="BG78" s="76">
        <v>0</v>
      </c>
      <c r="BH78" s="123">
        <v>7</v>
      </c>
      <c r="BI78" s="70" t="s">
        <v>141</v>
      </c>
      <c r="BJ78" s="123" t="s">
        <v>141</v>
      </c>
      <c r="BK78" s="60">
        <v>5</v>
      </c>
      <c r="BM78" s="135">
        <f t="shared" si="26"/>
        <v>5108</v>
      </c>
      <c r="BN78" s="60">
        <f t="shared" si="27"/>
        <v>5108</v>
      </c>
    </row>
    <row r="79" s="60" customFormat="1" spans="1:68">
      <c r="A79" s="161">
        <v>513</v>
      </c>
      <c r="B79" s="133">
        <v>4</v>
      </c>
      <c r="C79" s="121" t="s">
        <v>704</v>
      </c>
      <c r="D79" s="133" t="s">
        <v>705</v>
      </c>
      <c r="E79" s="133">
        <v>514</v>
      </c>
      <c r="F79" s="121">
        <v>70</v>
      </c>
      <c r="G79" s="71">
        <f t="shared" si="23"/>
        <v>90</v>
      </c>
      <c r="H79" s="109">
        <v>0</v>
      </c>
      <c r="I79" s="109">
        <v>0</v>
      </c>
      <c r="J79" s="109">
        <v>0</v>
      </c>
      <c r="K79" s="109">
        <v>0</v>
      </c>
      <c r="L79" s="109">
        <v>0</v>
      </c>
      <c r="M79" s="109">
        <v>0</v>
      </c>
      <c r="N79" s="134" t="s">
        <v>758</v>
      </c>
      <c r="O79" s="110" t="s">
        <v>137</v>
      </c>
      <c r="P79" s="110" t="s">
        <v>137</v>
      </c>
      <c r="Q79" s="110" t="s">
        <v>137</v>
      </c>
      <c r="R79" s="110" t="s">
        <v>137</v>
      </c>
      <c r="S79" s="110" t="s">
        <v>137</v>
      </c>
      <c r="T79" s="121">
        <v>0</v>
      </c>
      <c r="U79" s="64">
        <v>10</v>
      </c>
      <c r="V79" s="133"/>
      <c r="W79" s="121"/>
      <c r="X79" s="121"/>
      <c r="Y79" s="123" t="s">
        <v>141</v>
      </c>
      <c r="Z79" s="123">
        <v>0</v>
      </c>
      <c r="AA79" s="123">
        <v>13</v>
      </c>
      <c r="AB79" s="75">
        <f t="shared" si="24"/>
        <v>83</v>
      </c>
      <c r="AC79" s="75">
        <f t="shared" si="25"/>
        <v>98</v>
      </c>
      <c r="AD79" s="75">
        <v>250</v>
      </c>
      <c r="AE79" s="123">
        <v>10</v>
      </c>
      <c r="AF79" s="124">
        <v>15000</v>
      </c>
      <c r="AG79" s="124">
        <v>20000</v>
      </c>
      <c r="AH79" s="124">
        <v>10</v>
      </c>
      <c r="AI79" s="76">
        <f>出怪成长!D123</f>
        <v>0</v>
      </c>
      <c r="AJ79" s="125" t="s">
        <v>707</v>
      </c>
      <c r="AK79" s="123">
        <v>0</v>
      </c>
      <c r="AL79" s="123" t="s">
        <v>708</v>
      </c>
      <c r="AM79" s="125" t="s">
        <v>759</v>
      </c>
      <c r="AN79" s="123">
        <v>0</v>
      </c>
      <c r="AO79" s="116">
        <v>0</v>
      </c>
      <c r="AP79" s="123" t="s">
        <v>710</v>
      </c>
      <c r="AQ79" s="123">
        <v>0</v>
      </c>
      <c r="AR79" s="123" t="str">
        <f t="shared" si="20"/>
        <v>Lv13</v>
      </c>
      <c r="AS79" s="75">
        <v>0</v>
      </c>
      <c r="AT79" s="75">
        <v>0</v>
      </c>
      <c r="AU79" s="70" t="s">
        <v>760</v>
      </c>
      <c r="AV79" s="123">
        <v>0</v>
      </c>
      <c r="AW79" s="116">
        <v>0</v>
      </c>
      <c r="AX79" s="123">
        <v>0</v>
      </c>
      <c r="AY79" s="123" t="s">
        <v>641</v>
      </c>
      <c r="AZ79" s="123" t="s">
        <v>712</v>
      </c>
      <c r="BA79" s="123" t="s">
        <v>713</v>
      </c>
      <c r="BB79" s="75">
        <v>0</v>
      </c>
      <c r="BC79" s="123">
        <v>60</v>
      </c>
      <c r="BD79" s="123">
        <v>600</v>
      </c>
      <c r="BE79" s="123" t="s">
        <v>761</v>
      </c>
      <c r="BF79" s="123" t="s">
        <v>762</v>
      </c>
      <c r="BG79" s="76">
        <v>0</v>
      </c>
      <c r="BH79" s="123">
        <v>7</v>
      </c>
      <c r="BI79" s="70" t="s">
        <v>141</v>
      </c>
      <c r="BJ79" s="123" t="s">
        <v>141</v>
      </c>
      <c r="BK79" s="60">
        <v>5</v>
      </c>
      <c r="BM79" s="135">
        <f t="shared" si="26"/>
        <v>5209</v>
      </c>
      <c r="BN79" s="60">
        <f t="shared" si="27"/>
        <v>5209</v>
      </c>
    </row>
    <row r="80" s="59" customFormat="1" spans="1:68">
      <c r="A80" s="160">
        <v>601</v>
      </c>
      <c r="B80" s="130">
        <v>5</v>
      </c>
      <c r="C80" s="109" t="s">
        <v>763</v>
      </c>
      <c r="D80" s="130" t="s">
        <v>764</v>
      </c>
      <c r="E80" s="130">
        <v>602</v>
      </c>
      <c r="F80" s="109">
        <v>10</v>
      </c>
      <c r="G80" s="71">
        <f t="shared" si="23"/>
        <v>30</v>
      </c>
      <c r="H80" s="109">
        <v>0</v>
      </c>
      <c r="I80" s="109">
        <v>0</v>
      </c>
      <c r="J80" s="109">
        <v>0</v>
      </c>
      <c r="K80" s="109">
        <v>0</v>
      </c>
      <c r="L80" s="109">
        <v>0</v>
      </c>
      <c r="M80" s="109">
        <v>0</v>
      </c>
      <c r="N80" s="131" t="s">
        <v>765</v>
      </c>
      <c r="O80" s="110" t="s">
        <v>137</v>
      </c>
      <c r="P80" s="110" t="s">
        <v>137</v>
      </c>
      <c r="Q80" s="110" t="s">
        <v>137</v>
      </c>
      <c r="R80" s="110" t="s">
        <v>137</v>
      </c>
      <c r="S80" s="110" t="s">
        <v>137</v>
      </c>
      <c r="T80" s="109">
        <v>0</v>
      </c>
      <c r="U80" s="64">
        <v>10</v>
      </c>
      <c r="V80" s="130"/>
      <c r="W80" s="109"/>
      <c r="X80" s="109"/>
      <c r="Y80" s="111" t="s">
        <v>141</v>
      </c>
      <c r="Z80" s="111">
        <v>0</v>
      </c>
      <c r="AA80" s="111">
        <v>1</v>
      </c>
      <c r="AB80" s="75">
        <f t="shared" si="24"/>
        <v>11</v>
      </c>
      <c r="AC80" s="75">
        <f t="shared" si="25"/>
        <v>26</v>
      </c>
      <c r="AD80" s="75">
        <v>250</v>
      </c>
      <c r="AE80" s="111">
        <v>3</v>
      </c>
      <c r="AF80" s="112">
        <v>15000</v>
      </c>
      <c r="AG80" s="112">
        <v>20000</v>
      </c>
      <c r="AH80" s="112">
        <v>10</v>
      </c>
      <c r="AI80" s="76">
        <f>出怪成长!D124</f>
        <v>0</v>
      </c>
      <c r="AJ80" s="113">
        <v>0</v>
      </c>
      <c r="AK80" s="111">
        <v>0</v>
      </c>
      <c r="AL80" s="111" t="s">
        <v>766</v>
      </c>
      <c r="AM80" s="113" t="s">
        <v>662</v>
      </c>
      <c r="AN80" s="111">
        <v>0</v>
      </c>
      <c r="AO80" s="115">
        <v>0</v>
      </c>
      <c r="AP80" s="111" t="s">
        <v>710</v>
      </c>
      <c r="AQ80" s="111">
        <v>0</v>
      </c>
      <c r="AR80" s="111" t="str">
        <f t="shared" si="20"/>
        <v>Lv1</v>
      </c>
      <c r="AS80" s="75">
        <v>0</v>
      </c>
      <c r="AT80" s="75">
        <v>0</v>
      </c>
      <c r="AU80" s="70" t="s">
        <v>767</v>
      </c>
      <c r="AV80" s="111">
        <v>0</v>
      </c>
      <c r="AW80" s="115">
        <v>0</v>
      </c>
      <c r="AX80" s="111">
        <v>0</v>
      </c>
      <c r="AY80" s="111" t="s">
        <v>641</v>
      </c>
      <c r="AZ80" s="111" t="s">
        <v>768</v>
      </c>
      <c r="BA80" s="111" t="s">
        <v>769</v>
      </c>
      <c r="BB80" s="75">
        <v>0</v>
      </c>
      <c r="BC80" s="111">
        <v>1</v>
      </c>
      <c r="BD80" s="111">
        <v>10</v>
      </c>
      <c r="BE80" s="111" t="s">
        <v>770</v>
      </c>
      <c r="BF80" s="111" t="s">
        <v>771</v>
      </c>
      <c r="BG80" s="76">
        <v>0</v>
      </c>
      <c r="BH80" s="111">
        <v>3</v>
      </c>
      <c r="BI80" s="70" t="s">
        <v>141</v>
      </c>
      <c r="BJ80" s="111" t="s">
        <v>651</v>
      </c>
      <c r="BK80" s="59">
        <v>2</v>
      </c>
      <c r="BM80" s="132">
        <f t="shared" si="26"/>
        <v>2001</v>
      </c>
      <c r="BN80" s="59">
        <f t="shared" si="27"/>
        <v>2001</v>
      </c>
      <c r="BP80" s="59">
        <f t="shared" ref="BP80:BP92" si="28">1000+INT(MIN(9,(AA80+1)/1.5))+INT((AA80-1)/6)*100</f>
        <v>1001</v>
      </c>
    </row>
    <row r="81" s="60" customFormat="1" spans="1:68">
      <c r="A81" s="161">
        <v>602</v>
      </c>
      <c r="B81" s="133">
        <v>5</v>
      </c>
      <c r="C81" s="121" t="s">
        <v>763</v>
      </c>
      <c r="D81" s="133" t="s">
        <v>764</v>
      </c>
      <c r="E81" s="133">
        <v>603</v>
      </c>
      <c r="F81" s="121">
        <v>15</v>
      </c>
      <c r="G81" s="71">
        <f t="shared" si="23"/>
        <v>35</v>
      </c>
      <c r="H81" s="109">
        <v>0</v>
      </c>
      <c r="I81" s="109">
        <v>0</v>
      </c>
      <c r="J81" s="109">
        <v>0</v>
      </c>
      <c r="K81" s="109">
        <v>0</v>
      </c>
      <c r="L81" s="109">
        <v>0</v>
      </c>
      <c r="M81" s="109">
        <v>0</v>
      </c>
      <c r="N81" s="134" t="s">
        <v>772</v>
      </c>
      <c r="O81" s="110" t="s">
        <v>137</v>
      </c>
      <c r="P81" s="110" t="s">
        <v>137</v>
      </c>
      <c r="Q81" s="110" t="s">
        <v>137</v>
      </c>
      <c r="R81" s="110" t="s">
        <v>137</v>
      </c>
      <c r="S81" s="110" t="s">
        <v>137</v>
      </c>
      <c r="T81" s="121">
        <v>0</v>
      </c>
      <c r="U81" s="64">
        <v>10</v>
      </c>
      <c r="V81" s="133"/>
      <c r="W81" s="121"/>
      <c r="X81" s="121"/>
      <c r="Y81" s="123" t="s">
        <v>141</v>
      </c>
      <c r="Z81" s="123">
        <v>0</v>
      </c>
      <c r="AA81" s="123">
        <v>2</v>
      </c>
      <c r="AB81" s="75">
        <f t="shared" si="24"/>
        <v>17</v>
      </c>
      <c r="AC81" s="75">
        <f t="shared" si="25"/>
        <v>32</v>
      </c>
      <c r="AD81" s="75">
        <v>250</v>
      </c>
      <c r="AE81" s="123">
        <v>3</v>
      </c>
      <c r="AF81" s="124">
        <v>15000</v>
      </c>
      <c r="AG81" s="124">
        <v>20000</v>
      </c>
      <c r="AH81" s="124">
        <v>10</v>
      </c>
      <c r="AI81" s="76">
        <f>出怪成长!D125</f>
        <v>0</v>
      </c>
      <c r="AJ81" s="125">
        <v>0</v>
      </c>
      <c r="AK81" s="123">
        <v>0</v>
      </c>
      <c r="AL81" s="123" t="s">
        <v>766</v>
      </c>
      <c r="AM81" s="125" t="s">
        <v>689</v>
      </c>
      <c r="AN81" s="123">
        <v>0</v>
      </c>
      <c r="AO81" s="116">
        <v>0</v>
      </c>
      <c r="AP81" s="123" t="s">
        <v>710</v>
      </c>
      <c r="AQ81" s="123">
        <v>0</v>
      </c>
      <c r="AR81" s="123" t="str">
        <f t="shared" si="20"/>
        <v>Lv2</v>
      </c>
      <c r="AS81" s="75">
        <v>0</v>
      </c>
      <c r="AT81" s="75">
        <v>0</v>
      </c>
      <c r="AU81" s="70" t="s">
        <v>773</v>
      </c>
      <c r="AV81" s="123">
        <v>0</v>
      </c>
      <c r="AW81" s="116">
        <v>0</v>
      </c>
      <c r="AX81" s="123">
        <v>0</v>
      </c>
      <c r="AY81" s="123" t="s">
        <v>641</v>
      </c>
      <c r="AZ81" s="123" t="s">
        <v>768</v>
      </c>
      <c r="BA81" s="123" t="s">
        <v>769</v>
      </c>
      <c r="BB81" s="75">
        <v>0</v>
      </c>
      <c r="BC81" s="123">
        <v>2.5</v>
      </c>
      <c r="BD81" s="123">
        <v>25</v>
      </c>
      <c r="BE81" s="123" t="s">
        <v>774</v>
      </c>
      <c r="BF81" s="123" t="s">
        <v>650</v>
      </c>
      <c r="BG81" s="76">
        <v>0</v>
      </c>
      <c r="BH81" s="123">
        <v>3</v>
      </c>
      <c r="BI81" s="70" t="s">
        <v>141</v>
      </c>
      <c r="BJ81" s="123" t="s">
        <v>374</v>
      </c>
      <c r="BK81" s="60">
        <v>3</v>
      </c>
      <c r="BM81" s="135">
        <f t="shared" si="26"/>
        <v>3002</v>
      </c>
      <c r="BN81" s="60">
        <f t="shared" si="27"/>
        <v>3002</v>
      </c>
      <c r="BP81" s="60">
        <f t="shared" si="28"/>
        <v>1002</v>
      </c>
    </row>
    <row r="82" s="60" customFormat="1" spans="1:68">
      <c r="A82" s="161">
        <v>603</v>
      </c>
      <c r="B82" s="133">
        <v>5</v>
      </c>
      <c r="C82" s="121" t="s">
        <v>763</v>
      </c>
      <c r="D82" s="133" t="s">
        <v>764</v>
      </c>
      <c r="E82" s="133">
        <v>604</v>
      </c>
      <c r="F82" s="121">
        <v>20</v>
      </c>
      <c r="G82" s="71">
        <f t="shared" si="23"/>
        <v>40</v>
      </c>
      <c r="H82" s="109">
        <v>0</v>
      </c>
      <c r="I82" s="109">
        <v>0</v>
      </c>
      <c r="J82" s="109">
        <v>0</v>
      </c>
      <c r="K82" s="109">
        <v>0</v>
      </c>
      <c r="L82" s="109">
        <v>0</v>
      </c>
      <c r="M82" s="109">
        <v>0</v>
      </c>
      <c r="N82" s="134" t="s">
        <v>775</v>
      </c>
      <c r="O82" s="110" t="s">
        <v>137</v>
      </c>
      <c r="P82" s="110" t="s">
        <v>137</v>
      </c>
      <c r="Q82" s="110" t="s">
        <v>137</v>
      </c>
      <c r="R82" s="110" t="s">
        <v>137</v>
      </c>
      <c r="S82" s="110" t="s">
        <v>137</v>
      </c>
      <c r="T82" s="121">
        <v>0</v>
      </c>
      <c r="U82" s="64">
        <v>10</v>
      </c>
      <c r="V82" s="133"/>
      <c r="W82" s="121"/>
      <c r="X82" s="121"/>
      <c r="Y82" s="123" t="s">
        <v>141</v>
      </c>
      <c r="Z82" s="123">
        <v>0</v>
      </c>
      <c r="AA82" s="123">
        <v>3</v>
      </c>
      <c r="AB82" s="75">
        <f t="shared" si="24"/>
        <v>23</v>
      </c>
      <c r="AC82" s="75">
        <f t="shared" si="25"/>
        <v>38</v>
      </c>
      <c r="AD82" s="75">
        <v>250</v>
      </c>
      <c r="AE82" s="123">
        <v>4</v>
      </c>
      <c r="AF82" s="124">
        <v>15000</v>
      </c>
      <c r="AG82" s="124">
        <v>20000</v>
      </c>
      <c r="AH82" s="124">
        <v>10</v>
      </c>
      <c r="AI82" s="76">
        <f>出怪成长!D126</f>
        <v>0</v>
      </c>
      <c r="AJ82" s="125">
        <v>0</v>
      </c>
      <c r="AK82" s="123">
        <v>0</v>
      </c>
      <c r="AL82" s="123" t="s">
        <v>766</v>
      </c>
      <c r="AM82" s="125" t="s">
        <v>776</v>
      </c>
      <c r="AN82" s="123">
        <v>0</v>
      </c>
      <c r="AO82" s="116">
        <v>0</v>
      </c>
      <c r="AP82" s="123" t="s">
        <v>710</v>
      </c>
      <c r="AQ82" s="123">
        <v>0</v>
      </c>
      <c r="AR82" s="123" t="str">
        <f t="shared" si="20"/>
        <v>Lv3</v>
      </c>
      <c r="AS82" s="75">
        <v>0</v>
      </c>
      <c r="AT82" s="75">
        <v>0</v>
      </c>
      <c r="AU82" s="70" t="s">
        <v>777</v>
      </c>
      <c r="AV82" s="123">
        <v>0</v>
      </c>
      <c r="AW82" s="116">
        <v>0</v>
      </c>
      <c r="AX82" s="123">
        <v>0</v>
      </c>
      <c r="AY82" s="123" t="s">
        <v>641</v>
      </c>
      <c r="AZ82" s="123" t="s">
        <v>768</v>
      </c>
      <c r="BA82" s="123" t="s">
        <v>769</v>
      </c>
      <c r="BB82" s="75">
        <v>0</v>
      </c>
      <c r="BC82" s="123">
        <v>8</v>
      </c>
      <c r="BD82" s="123">
        <v>80</v>
      </c>
      <c r="BE82" s="123" t="s">
        <v>778</v>
      </c>
      <c r="BF82" s="123" t="s">
        <v>722</v>
      </c>
      <c r="BG82" s="76">
        <v>0</v>
      </c>
      <c r="BH82" s="123">
        <v>4</v>
      </c>
      <c r="BI82" s="70" t="s">
        <v>141</v>
      </c>
      <c r="BJ82" s="123" t="s">
        <v>275</v>
      </c>
      <c r="BK82" s="60">
        <v>1</v>
      </c>
      <c r="BM82" s="135">
        <f t="shared" si="26"/>
        <v>1002</v>
      </c>
      <c r="BN82" s="60">
        <f t="shared" si="27"/>
        <v>1002</v>
      </c>
      <c r="BP82" s="60">
        <f t="shared" si="28"/>
        <v>1002</v>
      </c>
    </row>
    <row r="83" s="60" customFormat="1" spans="1:68">
      <c r="A83" s="161">
        <v>604</v>
      </c>
      <c r="B83" s="133">
        <v>5</v>
      </c>
      <c r="C83" s="121" t="s">
        <v>763</v>
      </c>
      <c r="D83" s="133" t="s">
        <v>764</v>
      </c>
      <c r="E83" s="133">
        <v>605</v>
      </c>
      <c r="F83" s="121">
        <v>25</v>
      </c>
      <c r="G83" s="71">
        <f t="shared" si="23"/>
        <v>45</v>
      </c>
      <c r="H83" s="109">
        <v>0</v>
      </c>
      <c r="I83" s="109">
        <v>0</v>
      </c>
      <c r="J83" s="109">
        <v>0</v>
      </c>
      <c r="K83" s="109">
        <v>0</v>
      </c>
      <c r="L83" s="109">
        <v>0</v>
      </c>
      <c r="M83" s="109">
        <v>0</v>
      </c>
      <c r="N83" s="134" t="s">
        <v>779</v>
      </c>
      <c r="O83" s="110" t="s">
        <v>137</v>
      </c>
      <c r="P83" s="110" t="s">
        <v>137</v>
      </c>
      <c r="Q83" s="110" t="s">
        <v>137</v>
      </c>
      <c r="R83" s="110" t="s">
        <v>137</v>
      </c>
      <c r="S83" s="110" t="s">
        <v>137</v>
      </c>
      <c r="T83" s="121">
        <v>0</v>
      </c>
      <c r="U83" s="64">
        <v>10</v>
      </c>
      <c r="V83" s="133"/>
      <c r="W83" s="121"/>
      <c r="X83" s="121"/>
      <c r="Y83" s="123" t="s">
        <v>141</v>
      </c>
      <c r="Z83" s="123">
        <v>0</v>
      </c>
      <c r="AA83" s="123">
        <v>4</v>
      </c>
      <c r="AB83" s="75">
        <f t="shared" si="24"/>
        <v>29</v>
      </c>
      <c r="AC83" s="75">
        <f t="shared" si="25"/>
        <v>44</v>
      </c>
      <c r="AD83" s="75">
        <v>250</v>
      </c>
      <c r="AE83" s="123">
        <v>4</v>
      </c>
      <c r="AF83" s="124">
        <v>15000</v>
      </c>
      <c r="AG83" s="124">
        <v>20000</v>
      </c>
      <c r="AH83" s="124">
        <v>10</v>
      </c>
      <c r="AI83" s="76">
        <f>出怪成长!D127</f>
        <v>0</v>
      </c>
      <c r="AJ83" s="125">
        <v>0</v>
      </c>
      <c r="AK83" s="123">
        <v>0</v>
      </c>
      <c r="AL83" s="123" t="s">
        <v>766</v>
      </c>
      <c r="AM83" s="125" t="s">
        <v>780</v>
      </c>
      <c r="AN83" s="123">
        <v>0</v>
      </c>
      <c r="AO83" s="116">
        <v>0</v>
      </c>
      <c r="AP83" s="123" t="s">
        <v>710</v>
      </c>
      <c r="AQ83" s="123">
        <v>0</v>
      </c>
      <c r="AR83" s="123" t="str">
        <f t="shared" si="20"/>
        <v>Lv4</v>
      </c>
      <c r="AS83" s="75">
        <v>0</v>
      </c>
      <c r="AT83" s="75">
        <v>0</v>
      </c>
      <c r="AU83" s="70" t="s">
        <v>781</v>
      </c>
      <c r="AV83" s="123">
        <v>0</v>
      </c>
      <c r="AW83" s="116">
        <v>0</v>
      </c>
      <c r="AX83" s="123">
        <v>0</v>
      </c>
      <c r="AY83" s="123" t="s">
        <v>641</v>
      </c>
      <c r="AZ83" s="123" t="s">
        <v>768</v>
      </c>
      <c r="BA83" s="123" t="s">
        <v>769</v>
      </c>
      <c r="BB83" s="75">
        <v>0</v>
      </c>
      <c r="BC83" s="123">
        <v>14</v>
      </c>
      <c r="BD83" s="123">
        <v>140</v>
      </c>
      <c r="BE83" s="123" t="s">
        <v>782</v>
      </c>
      <c r="BF83" s="123" t="s">
        <v>783</v>
      </c>
      <c r="BG83" s="76">
        <v>0</v>
      </c>
      <c r="BH83" s="123">
        <v>4</v>
      </c>
      <c r="BI83" s="70" t="s">
        <v>141</v>
      </c>
      <c r="BJ83" s="123" t="s">
        <v>374</v>
      </c>
      <c r="BK83" s="60">
        <v>1</v>
      </c>
      <c r="BM83" s="135">
        <f t="shared" si="26"/>
        <v>1003</v>
      </c>
      <c r="BN83" s="60">
        <f t="shared" si="27"/>
        <v>1003</v>
      </c>
      <c r="BP83" s="60">
        <f t="shared" si="28"/>
        <v>1003</v>
      </c>
    </row>
    <row r="84" s="60" customFormat="1" spans="1:68">
      <c r="A84" s="161">
        <v>605</v>
      </c>
      <c r="B84" s="133">
        <v>5</v>
      </c>
      <c r="C84" s="121" t="s">
        <v>763</v>
      </c>
      <c r="D84" s="133" t="s">
        <v>764</v>
      </c>
      <c r="E84" s="133">
        <v>606</v>
      </c>
      <c r="F84" s="121">
        <v>30</v>
      </c>
      <c r="G84" s="71">
        <f t="shared" si="23"/>
        <v>50</v>
      </c>
      <c r="H84" s="109">
        <v>0</v>
      </c>
      <c r="I84" s="109">
        <v>0</v>
      </c>
      <c r="J84" s="109">
        <v>0</v>
      </c>
      <c r="K84" s="109">
        <v>0</v>
      </c>
      <c r="L84" s="109">
        <v>0</v>
      </c>
      <c r="M84" s="109">
        <v>0</v>
      </c>
      <c r="N84" s="134" t="s">
        <v>784</v>
      </c>
      <c r="O84" s="110" t="s">
        <v>137</v>
      </c>
      <c r="P84" s="110" t="s">
        <v>137</v>
      </c>
      <c r="Q84" s="110" t="s">
        <v>137</v>
      </c>
      <c r="R84" s="110" t="s">
        <v>137</v>
      </c>
      <c r="S84" s="110" t="s">
        <v>137</v>
      </c>
      <c r="T84" s="121">
        <v>0</v>
      </c>
      <c r="U84" s="64">
        <v>10</v>
      </c>
      <c r="V84" s="133"/>
      <c r="W84" s="121"/>
      <c r="X84" s="121"/>
      <c r="Y84" s="123" t="s">
        <v>141</v>
      </c>
      <c r="Z84" s="123">
        <v>0</v>
      </c>
      <c r="AA84" s="123">
        <v>5</v>
      </c>
      <c r="AB84" s="75">
        <f t="shared" si="24"/>
        <v>35</v>
      </c>
      <c r="AC84" s="75">
        <f t="shared" si="25"/>
        <v>50</v>
      </c>
      <c r="AD84" s="75">
        <v>250</v>
      </c>
      <c r="AE84" s="123">
        <v>5</v>
      </c>
      <c r="AF84" s="124">
        <v>15000</v>
      </c>
      <c r="AG84" s="124">
        <v>20000</v>
      </c>
      <c r="AH84" s="124">
        <v>10</v>
      </c>
      <c r="AI84" s="76">
        <f>出怪成长!D128</f>
        <v>0</v>
      </c>
      <c r="AJ84" s="125">
        <v>0</v>
      </c>
      <c r="AK84" s="123">
        <v>0</v>
      </c>
      <c r="AL84" s="123" t="s">
        <v>766</v>
      </c>
      <c r="AM84" s="125" t="s">
        <v>785</v>
      </c>
      <c r="AN84" s="123">
        <v>0</v>
      </c>
      <c r="AO84" s="116">
        <v>0</v>
      </c>
      <c r="AP84" s="123" t="s">
        <v>710</v>
      </c>
      <c r="AQ84" s="123">
        <v>0</v>
      </c>
      <c r="AR84" s="123" t="str">
        <f t="shared" si="20"/>
        <v>Lv5</v>
      </c>
      <c r="AS84" s="75">
        <v>0</v>
      </c>
      <c r="AT84" s="75">
        <v>0</v>
      </c>
      <c r="AU84" s="70" t="s">
        <v>786</v>
      </c>
      <c r="AV84" s="123">
        <v>0</v>
      </c>
      <c r="AW84" s="116">
        <v>0</v>
      </c>
      <c r="AX84" s="123">
        <v>0</v>
      </c>
      <c r="AY84" s="123" t="s">
        <v>641</v>
      </c>
      <c r="AZ84" s="123" t="s">
        <v>768</v>
      </c>
      <c r="BA84" s="123" t="s">
        <v>769</v>
      </c>
      <c r="BB84" s="75">
        <v>0</v>
      </c>
      <c r="BC84" s="123">
        <v>18</v>
      </c>
      <c r="BD84" s="123">
        <v>180</v>
      </c>
      <c r="BE84" s="123" t="s">
        <v>787</v>
      </c>
      <c r="BF84" s="123" t="s">
        <v>729</v>
      </c>
      <c r="BG84" s="76">
        <v>0</v>
      </c>
      <c r="BH84" s="123">
        <v>5</v>
      </c>
      <c r="BI84" s="70" t="s">
        <v>141</v>
      </c>
      <c r="BJ84" s="123" t="s">
        <v>677</v>
      </c>
      <c r="BK84" s="60">
        <v>5</v>
      </c>
      <c r="BM84" s="135">
        <f t="shared" si="26"/>
        <v>5004</v>
      </c>
      <c r="BN84" s="60">
        <f t="shared" si="27"/>
        <v>5004</v>
      </c>
      <c r="BP84" s="60">
        <f t="shared" si="28"/>
        <v>1004</v>
      </c>
    </row>
    <row r="85" s="60" customFormat="1" spans="1:68">
      <c r="A85" s="161">
        <v>606</v>
      </c>
      <c r="B85" s="133">
        <v>5</v>
      </c>
      <c r="C85" s="121" t="s">
        <v>763</v>
      </c>
      <c r="D85" s="133" t="s">
        <v>764</v>
      </c>
      <c r="E85" s="133">
        <v>607</v>
      </c>
      <c r="F85" s="121">
        <v>35</v>
      </c>
      <c r="G85" s="71">
        <f t="shared" si="23"/>
        <v>55</v>
      </c>
      <c r="H85" s="109">
        <v>0</v>
      </c>
      <c r="I85" s="109">
        <v>0</v>
      </c>
      <c r="J85" s="109">
        <v>0</v>
      </c>
      <c r="K85" s="109">
        <v>0</v>
      </c>
      <c r="L85" s="109">
        <v>0</v>
      </c>
      <c r="M85" s="109">
        <v>0</v>
      </c>
      <c r="N85" s="134" t="s">
        <v>788</v>
      </c>
      <c r="O85" s="110" t="s">
        <v>137</v>
      </c>
      <c r="P85" s="110" t="s">
        <v>137</v>
      </c>
      <c r="Q85" s="110" t="s">
        <v>137</v>
      </c>
      <c r="R85" s="110" t="s">
        <v>137</v>
      </c>
      <c r="S85" s="110" t="s">
        <v>137</v>
      </c>
      <c r="T85" s="121">
        <v>0</v>
      </c>
      <c r="U85" s="64">
        <v>10</v>
      </c>
      <c r="V85" s="133"/>
      <c r="W85" s="121"/>
      <c r="X85" s="121"/>
      <c r="Y85" s="123" t="s">
        <v>141</v>
      </c>
      <c r="Z85" s="123">
        <v>0</v>
      </c>
      <c r="AA85" s="123">
        <v>6</v>
      </c>
      <c r="AB85" s="75">
        <f t="shared" si="24"/>
        <v>41</v>
      </c>
      <c r="AC85" s="75">
        <f t="shared" si="25"/>
        <v>56</v>
      </c>
      <c r="AD85" s="75">
        <v>250</v>
      </c>
      <c r="AE85" s="123">
        <v>5</v>
      </c>
      <c r="AF85" s="124">
        <v>15000</v>
      </c>
      <c r="AG85" s="124">
        <v>20000</v>
      </c>
      <c r="AH85" s="124">
        <v>10</v>
      </c>
      <c r="AI85" s="76">
        <f>出怪成长!D129</f>
        <v>0</v>
      </c>
      <c r="AJ85" s="125">
        <v>0</v>
      </c>
      <c r="AK85" s="123">
        <v>0</v>
      </c>
      <c r="AL85" s="123" t="s">
        <v>766</v>
      </c>
      <c r="AM85" s="125" t="s">
        <v>789</v>
      </c>
      <c r="AN85" s="123">
        <v>0</v>
      </c>
      <c r="AO85" s="116">
        <v>0</v>
      </c>
      <c r="AP85" s="123" t="s">
        <v>710</v>
      </c>
      <c r="AQ85" s="123">
        <v>0</v>
      </c>
      <c r="AR85" s="123" t="str">
        <f t="shared" si="20"/>
        <v>Lv6</v>
      </c>
      <c r="AS85" s="75">
        <v>0</v>
      </c>
      <c r="AT85" s="75">
        <v>0</v>
      </c>
      <c r="AU85" s="70" t="s">
        <v>790</v>
      </c>
      <c r="AV85" s="123">
        <v>0</v>
      </c>
      <c r="AW85" s="116">
        <v>0</v>
      </c>
      <c r="AX85" s="123">
        <v>0</v>
      </c>
      <c r="AY85" s="123" t="s">
        <v>641</v>
      </c>
      <c r="AZ85" s="123" t="s">
        <v>768</v>
      </c>
      <c r="BA85" s="123" t="s">
        <v>769</v>
      </c>
      <c r="BB85" s="75">
        <v>0</v>
      </c>
      <c r="BC85" s="123">
        <v>22</v>
      </c>
      <c r="BD85" s="123">
        <v>220</v>
      </c>
      <c r="BE85" s="123" t="s">
        <v>791</v>
      </c>
      <c r="BF85" s="123" t="s">
        <v>792</v>
      </c>
      <c r="BG85" s="76">
        <v>0</v>
      </c>
      <c r="BH85" s="123">
        <v>5</v>
      </c>
      <c r="BI85" s="70" t="s">
        <v>141</v>
      </c>
      <c r="BJ85" s="123" t="s">
        <v>141</v>
      </c>
      <c r="BK85" s="60">
        <v>6</v>
      </c>
      <c r="BM85" s="135">
        <f t="shared" si="26"/>
        <v>6004</v>
      </c>
      <c r="BN85" s="60">
        <f t="shared" si="27"/>
        <v>6004</v>
      </c>
      <c r="BP85" s="60">
        <f t="shared" si="28"/>
        <v>1004</v>
      </c>
    </row>
    <row r="86" s="60" customFormat="1" spans="1:68">
      <c r="A86" s="161">
        <v>607</v>
      </c>
      <c r="B86" s="133">
        <v>5</v>
      </c>
      <c r="C86" s="121" t="s">
        <v>763</v>
      </c>
      <c r="D86" s="133" t="s">
        <v>764</v>
      </c>
      <c r="E86" s="133">
        <v>608</v>
      </c>
      <c r="F86" s="121">
        <v>40</v>
      </c>
      <c r="G86" s="71">
        <f t="shared" si="23"/>
        <v>60</v>
      </c>
      <c r="H86" s="109">
        <v>0</v>
      </c>
      <c r="I86" s="109">
        <v>0</v>
      </c>
      <c r="J86" s="109">
        <v>0</v>
      </c>
      <c r="K86" s="109">
        <v>0</v>
      </c>
      <c r="L86" s="109">
        <v>0</v>
      </c>
      <c r="M86" s="109">
        <v>0</v>
      </c>
      <c r="N86" s="134" t="s">
        <v>793</v>
      </c>
      <c r="O86" s="110" t="s">
        <v>137</v>
      </c>
      <c r="P86" s="110" t="s">
        <v>137</v>
      </c>
      <c r="Q86" s="110" t="s">
        <v>137</v>
      </c>
      <c r="R86" s="110" t="s">
        <v>137</v>
      </c>
      <c r="S86" s="110" t="s">
        <v>137</v>
      </c>
      <c r="T86" s="121">
        <v>0</v>
      </c>
      <c r="U86" s="64">
        <v>10</v>
      </c>
      <c r="V86" s="133"/>
      <c r="W86" s="121"/>
      <c r="X86" s="121"/>
      <c r="Y86" s="123" t="s">
        <v>141</v>
      </c>
      <c r="Z86" s="123">
        <v>0</v>
      </c>
      <c r="AA86" s="123">
        <v>7</v>
      </c>
      <c r="AB86" s="75">
        <f t="shared" si="24"/>
        <v>47</v>
      </c>
      <c r="AC86" s="75">
        <f t="shared" si="25"/>
        <v>62</v>
      </c>
      <c r="AD86" s="75">
        <v>250</v>
      </c>
      <c r="AE86" s="123">
        <v>6</v>
      </c>
      <c r="AF86" s="124">
        <v>15000</v>
      </c>
      <c r="AG86" s="124">
        <v>20000</v>
      </c>
      <c r="AH86" s="124">
        <v>10</v>
      </c>
      <c r="AI86" s="76">
        <f>出怪成长!D130</f>
        <v>0</v>
      </c>
      <c r="AJ86" s="125">
        <v>0</v>
      </c>
      <c r="AK86" s="123">
        <v>0</v>
      </c>
      <c r="AL86" s="123" t="s">
        <v>766</v>
      </c>
      <c r="AM86" s="125" t="s">
        <v>794</v>
      </c>
      <c r="AN86" s="123">
        <v>0</v>
      </c>
      <c r="AO86" s="116">
        <v>0</v>
      </c>
      <c r="AP86" s="123" t="s">
        <v>710</v>
      </c>
      <c r="AQ86" s="123">
        <v>0</v>
      </c>
      <c r="AR86" s="123" t="str">
        <f t="shared" si="20"/>
        <v>Lv7</v>
      </c>
      <c r="AS86" s="75">
        <v>0</v>
      </c>
      <c r="AT86" s="75">
        <v>0</v>
      </c>
      <c r="AU86" s="70" t="s">
        <v>795</v>
      </c>
      <c r="AV86" s="123">
        <v>0</v>
      </c>
      <c r="AW86" s="116">
        <v>0</v>
      </c>
      <c r="AX86" s="123">
        <v>0</v>
      </c>
      <c r="AY86" s="123" t="s">
        <v>641</v>
      </c>
      <c r="AZ86" s="123" t="s">
        <v>768</v>
      </c>
      <c r="BA86" s="123" t="s">
        <v>769</v>
      </c>
      <c r="BB86" s="75">
        <v>0</v>
      </c>
      <c r="BC86" s="123">
        <v>26</v>
      </c>
      <c r="BD86" s="123">
        <v>260</v>
      </c>
      <c r="BE86" s="123" t="s">
        <v>796</v>
      </c>
      <c r="BF86" s="123" t="s">
        <v>797</v>
      </c>
      <c r="BG86" s="76">
        <v>0</v>
      </c>
      <c r="BH86" s="123">
        <v>6</v>
      </c>
      <c r="BI86" s="70" t="s">
        <v>141</v>
      </c>
      <c r="BJ86" s="123" t="s">
        <v>660</v>
      </c>
      <c r="BK86" s="60">
        <v>4</v>
      </c>
      <c r="BM86" s="135">
        <f t="shared" si="26"/>
        <v>4105</v>
      </c>
      <c r="BN86" s="60">
        <f t="shared" si="27"/>
        <v>4105</v>
      </c>
      <c r="BP86" s="60">
        <f t="shared" si="28"/>
        <v>1105</v>
      </c>
    </row>
    <row r="87" s="60" customFormat="1" spans="1:68">
      <c r="A87" s="161">
        <v>608</v>
      </c>
      <c r="B87" s="133">
        <v>5</v>
      </c>
      <c r="C87" s="121" t="s">
        <v>763</v>
      </c>
      <c r="D87" s="133" t="s">
        <v>764</v>
      </c>
      <c r="E87" s="133">
        <v>609</v>
      </c>
      <c r="F87" s="121">
        <v>45</v>
      </c>
      <c r="G87" s="71">
        <f t="shared" ref="G87:G118" si="29">F87+20</f>
        <v>65</v>
      </c>
      <c r="H87" s="109">
        <v>0</v>
      </c>
      <c r="I87" s="109">
        <v>0</v>
      </c>
      <c r="J87" s="109">
        <v>0</v>
      </c>
      <c r="K87" s="109">
        <v>0</v>
      </c>
      <c r="L87" s="109">
        <v>0</v>
      </c>
      <c r="M87" s="109">
        <v>0</v>
      </c>
      <c r="N87" s="134" t="s">
        <v>798</v>
      </c>
      <c r="O87" s="110" t="s">
        <v>137</v>
      </c>
      <c r="P87" s="110" t="s">
        <v>137</v>
      </c>
      <c r="Q87" s="110" t="s">
        <v>137</v>
      </c>
      <c r="R87" s="110" t="s">
        <v>137</v>
      </c>
      <c r="S87" s="110" t="s">
        <v>137</v>
      </c>
      <c r="T87" s="121">
        <v>0</v>
      </c>
      <c r="U87" s="64">
        <v>10</v>
      </c>
      <c r="V87" s="133"/>
      <c r="W87" s="121"/>
      <c r="X87" s="121"/>
      <c r="Y87" s="123" t="s">
        <v>141</v>
      </c>
      <c r="Z87" s="123">
        <v>0</v>
      </c>
      <c r="AA87" s="123">
        <v>8</v>
      </c>
      <c r="AB87" s="75">
        <f t="shared" ref="AB87:AB118" si="30">F87+AA87+Z87</f>
        <v>53</v>
      </c>
      <c r="AC87" s="75">
        <f t="shared" ref="AC87:AC118" si="31">AB87+15</f>
        <v>68</v>
      </c>
      <c r="AD87" s="75">
        <v>250</v>
      </c>
      <c r="AE87" s="123">
        <v>6</v>
      </c>
      <c r="AF87" s="124">
        <v>15000</v>
      </c>
      <c r="AG87" s="124">
        <v>20000</v>
      </c>
      <c r="AH87" s="124">
        <v>10</v>
      </c>
      <c r="AI87" s="76">
        <f>出怪成长!D131</f>
        <v>0</v>
      </c>
      <c r="AJ87" s="125">
        <v>0</v>
      </c>
      <c r="AK87" s="123">
        <v>0</v>
      </c>
      <c r="AL87" s="123" t="s">
        <v>766</v>
      </c>
      <c r="AM87" s="125" t="s">
        <v>799</v>
      </c>
      <c r="AN87" s="123">
        <v>0</v>
      </c>
      <c r="AO87" s="116">
        <v>0</v>
      </c>
      <c r="AP87" s="123" t="s">
        <v>710</v>
      </c>
      <c r="AQ87" s="123">
        <v>0</v>
      </c>
      <c r="AR87" s="123" t="str">
        <f t="shared" si="20"/>
        <v>Lv8</v>
      </c>
      <c r="AS87" s="75">
        <v>0</v>
      </c>
      <c r="AT87" s="75">
        <v>0</v>
      </c>
      <c r="AU87" s="70" t="s">
        <v>800</v>
      </c>
      <c r="AV87" s="123">
        <v>0</v>
      </c>
      <c r="AW87" s="116">
        <v>0</v>
      </c>
      <c r="AX87" s="123">
        <v>0</v>
      </c>
      <c r="AY87" s="123" t="s">
        <v>641</v>
      </c>
      <c r="AZ87" s="123" t="s">
        <v>768</v>
      </c>
      <c r="BA87" s="123" t="s">
        <v>769</v>
      </c>
      <c r="BB87" s="75">
        <v>0</v>
      </c>
      <c r="BC87" s="123">
        <v>30</v>
      </c>
      <c r="BD87" s="123">
        <v>300</v>
      </c>
      <c r="BE87" s="123" t="s">
        <v>801</v>
      </c>
      <c r="BF87" s="123" t="s">
        <v>802</v>
      </c>
      <c r="BG87" s="76">
        <v>0</v>
      </c>
      <c r="BH87" s="123">
        <v>6</v>
      </c>
      <c r="BI87" s="70" t="s">
        <v>141</v>
      </c>
      <c r="BJ87" s="123" t="s">
        <v>677</v>
      </c>
      <c r="BK87" s="60">
        <v>3</v>
      </c>
      <c r="BM87" s="135">
        <f t="shared" si="26"/>
        <v>3106</v>
      </c>
      <c r="BN87" s="60">
        <f t="shared" si="27"/>
        <v>3106</v>
      </c>
      <c r="BP87" s="60">
        <f t="shared" si="28"/>
        <v>1106</v>
      </c>
    </row>
    <row r="88" s="60" customFormat="1" spans="1:68">
      <c r="A88" s="161">
        <v>609</v>
      </c>
      <c r="B88" s="133">
        <v>5</v>
      </c>
      <c r="C88" s="121" t="s">
        <v>763</v>
      </c>
      <c r="D88" s="133" t="s">
        <v>764</v>
      </c>
      <c r="E88" s="133">
        <v>610</v>
      </c>
      <c r="F88" s="121">
        <v>50</v>
      </c>
      <c r="G88" s="71">
        <f t="shared" si="29"/>
        <v>70</v>
      </c>
      <c r="H88" s="109">
        <v>0</v>
      </c>
      <c r="I88" s="109">
        <v>0</v>
      </c>
      <c r="J88" s="109">
        <v>0</v>
      </c>
      <c r="K88" s="109">
        <v>0</v>
      </c>
      <c r="L88" s="109">
        <v>0</v>
      </c>
      <c r="M88" s="109">
        <v>0</v>
      </c>
      <c r="N88" s="134" t="s">
        <v>803</v>
      </c>
      <c r="O88" s="110" t="s">
        <v>137</v>
      </c>
      <c r="P88" s="110" t="s">
        <v>137</v>
      </c>
      <c r="Q88" s="110" t="s">
        <v>137</v>
      </c>
      <c r="R88" s="110" t="s">
        <v>137</v>
      </c>
      <c r="S88" s="110" t="s">
        <v>137</v>
      </c>
      <c r="T88" s="121">
        <v>0</v>
      </c>
      <c r="U88" s="64">
        <v>10</v>
      </c>
      <c r="V88" s="133"/>
      <c r="W88" s="121"/>
      <c r="X88" s="121"/>
      <c r="Y88" s="123" t="s">
        <v>141</v>
      </c>
      <c r="Z88" s="123">
        <v>0</v>
      </c>
      <c r="AA88" s="123">
        <v>9</v>
      </c>
      <c r="AB88" s="75">
        <f t="shared" si="30"/>
        <v>59</v>
      </c>
      <c r="AC88" s="75">
        <f t="shared" si="31"/>
        <v>74</v>
      </c>
      <c r="AD88" s="75">
        <v>250</v>
      </c>
      <c r="AE88" s="123">
        <v>7</v>
      </c>
      <c r="AF88" s="124">
        <v>15000</v>
      </c>
      <c r="AG88" s="124">
        <v>20000</v>
      </c>
      <c r="AH88" s="124">
        <v>10</v>
      </c>
      <c r="AI88" s="76">
        <f>出怪成长!D132</f>
        <v>0</v>
      </c>
      <c r="AJ88" s="125">
        <v>0</v>
      </c>
      <c r="AK88" s="123">
        <v>0</v>
      </c>
      <c r="AL88" s="123" t="s">
        <v>766</v>
      </c>
      <c r="AM88" s="125" t="s">
        <v>804</v>
      </c>
      <c r="AN88" s="123">
        <v>0</v>
      </c>
      <c r="AO88" s="116">
        <v>0</v>
      </c>
      <c r="AP88" s="123" t="s">
        <v>710</v>
      </c>
      <c r="AQ88" s="123">
        <v>0</v>
      </c>
      <c r="AR88" s="123" t="str">
        <f t="shared" si="20"/>
        <v>Lv9</v>
      </c>
      <c r="AS88" s="75">
        <v>0</v>
      </c>
      <c r="AT88" s="75">
        <v>0</v>
      </c>
      <c r="AU88" s="70" t="s">
        <v>805</v>
      </c>
      <c r="AV88" s="123">
        <v>0</v>
      </c>
      <c r="AW88" s="116">
        <v>0</v>
      </c>
      <c r="AX88" s="123">
        <v>0</v>
      </c>
      <c r="AY88" s="123" t="s">
        <v>641</v>
      </c>
      <c r="AZ88" s="123" t="s">
        <v>768</v>
      </c>
      <c r="BA88" s="123" t="s">
        <v>769</v>
      </c>
      <c r="BB88" s="75">
        <v>0</v>
      </c>
      <c r="BC88" s="123">
        <v>35</v>
      </c>
      <c r="BD88" s="123">
        <v>350</v>
      </c>
      <c r="BE88" s="123" t="s">
        <v>806</v>
      </c>
      <c r="BF88" s="123" t="s">
        <v>807</v>
      </c>
      <c r="BG88" s="76">
        <v>0</v>
      </c>
      <c r="BH88" s="123">
        <v>7</v>
      </c>
      <c r="BI88" s="70" t="s">
        <v>141</v>
      </c>
      <c r="BJ88" s="123" t="s">
        <v>666</v>
      </c>
      <c r="BK88" s="60">
        <v>1</v>
      </c>
      <c r="BM88" s="135">
        <f t="shared" si="26"/>
        <v>1106</v>
      </c>
      <c r="BN88" s="60">
        <f t="shared" si="27"/>
        <v>1106</v>
      </c>
      <c r="BP88" s="60">
        <f t="shared" si="28"/>
        <v>1106</v>
      </c>
    </row>
    <row r="89" s="60" customFormat="1" spans="1:68">
      <c r="A89" s="161">
        <v>610</v>
      </c>
      <c r="B89" s="133">
        <v>5</v>
      </c>
      <c r="C89" s="121" t="s">
        <v>763</v>
      </c>
      <c r="D89" s="133" t="s">
        <v>764</v>
      </c>
      <c r="E89" s="133">
        <v>611</v>
      </c>
      <c r="F89" s="121">
        <v>55</v>
      </c>
      <c r="G89" s="71">
        <f t="shared" si="29"/>
        <v>75</v>
      </c>
      <c r="H89" s="109">
        <v>0</v>
      </c>
      <c r="I89" s="109">
        <v>0</v>
      </c>
      <c r="J89" s="109">
        <v>0</v>
      </c>
      <c r="K89" s="109">
        <v>0</v>
      </c>
      <c r="L89" s="109">
        <v>0</v>
      </c>
      <c r="M89" s="109">
        <v>0</v>
      </c>
      <c r="N89" s="134" t="s">
        <v>808</v>
      </c>
      <c r="O89" s="110" t="s">
        <v>137</v>
      </c>
      <c r="P89" s="110" t="s">
        <v>137</v>
      </c>
      <c r="Q89" s="110" t="s">
        <v>137</v>
      </c>
      <c r="R89" s="110" t="s">
        <v>137</v>
      </c>
      <c r="S89" s="110" t="s">
        <v>137</v>
      </c>
      <c r="T89" s="121">
        <v>0</v>
      </c>
      <c r="U89" s="64">
        <v>10</v>
      </c>
      <c r="V89" s="133"/>
      <c r="W89" s="121"/>
      <c r="X89" s="121"/>
      <c r="Y89" s="123" t="s">
        <v>141</v>
      </c>
      <c r="Z89" s="123">
        <v>0</v>
      </c>
      <c r="AA89" s="123">
        <v>10</v>
      </c>
      <c r="AB89" s="75">
        <f t="shared" si="30"/>
        <v>65</v>
      </c>
      <c r="AC89" s="75">
        <f t="shared" si="31"/>
        <v>80</v>
      </c>
      <c r="AD89" s="75">
        <v>250</v>
      </c>
      <c r="AE89" s="123">
        <v>7</v>
      </c>
      <c r="AF89" s="124">
        <v>15000</v>
      </c>
      <c r="AG89" s="124">
        <v>20000</v>
      </c>
      <c r="AH89" s="124">
        <v>10</v>
      </c>
      <c r="AI89" s="76">
        <f>出怪成长!D133</f>
        <v>0</v>
      </c>
      <c r="AJ89" s="125">
        <v>0</v>
      </c>
      <c r="AK89" s="123">
        <v>0</v>
      </c>
      <c r="AL89" s="123" t="s">
        <v>766</v>
      </c>
      <c r="AM89" s="125" t="s">
        <v>809</v>
      </c>
      <c r="AN89" s="123">
        <v>0</v>
      </c>
      <c r="AO89" s="116">
        <v>0</v>
      </c>
      <c r="AP89" s="123" t="s">
        <v>710</v>
      </c>
      <c r="AQ89" s="123">
        <v>0</v>
      </c>
      <c r="AR89" s="123" t="str">
        <f t="shared" si="20"/>
        <v>Lv10</v>
      </c>
      <c r="AS89" s="75">
        <v>0</v>
      </c>
      <c r="AT89" s="75">
        <v>0</v>
      </c>
      <c r="AU89" s="70" t="s">
        <v>810</v>
      </c>
      <c r="AV89" s="123">
        <v>0</v>
      </c>
      <c r="AW89" s="116">
        <v>0</v>
      </c>
      <c r="AX89" s="123">
        <v>0</v>
      </c>
      <c r="AY89" s="123" t="s">
        <v>641</v>
      </c>
      <c r="AZ89" s="123" t="s">
        <v>768</v>
      </c>
      <c r="BA89" s="123" t="s">
        <v>769</v>
      </c>
      <c r="BB89" s="75">
        <v>0</v>
      </c>
      <c r="BC89" s="123">
        <v>40</v>
      </c>
      <c r="BD89" s="123">
        <v>400</v>
      </c>
      <c r="BE89" s="123" t="s">
        <v>811</v>
      </c>
      <c r="BF89" s="123" t="s">
        <v>692</v>
      </c>
      <c r="BG89" s="76">
        <v>0</v>
      </c>
      <c r="BH89" s="123">
        <v>7</v>
      </c>
      <c r="BI89" s="70" t="s">
        <v>141</v>
      </c>
      <c r="BJ89" s="123" t="s">
        <v>677</v>
      </c>
      <c r="BK89" s="60">
        <v>4</v>
      </c>
      <c r="BM89" s="135">
        <f t="shared" si="26"/>
        <v>4107</v>
      </c>
      <c r="BN89" s="60">
        <f t="shared" si="27"/>
        <v>4107</v>
      </c>
      <c r="BP89" s="60">
        <f t="shared" si="28"/>
        <v>1107</v>
      </c>
    </row>
    <row r="90" s="60" customFormat="1" spans="1:68">
      <c r="A90" s="161">
        <v>611</v>
      </c>
      <c r="B90" s="133">
        <v>5</v>
      </c>
      <c r="C90" s="121" t="s">
        <v>763</v>
      </c>
      <c r="D90" s="133" t="s">
        <v>764</v>
      </c>
      <c r="E90" s="133">
        <v>612</v>
      </c>
      <c r="F90" s="121">
        <v>60</v>
      </c>
      <c r="G90" s="71">
        <f t="shared" si="29"/>
        <v>80</v>
      </c>
      <c r="H90" s="109">
        <v>0</v>
      </c>
      <c r="I90" s="109">
        <v>0</v>
      </c>
      <c r="J90" s="109">
        <v>0</v>
      </c>
      <c r="K90" s="109">
        <v>0</v>
      </c>
      <c r="L90" s="109">
        <v>0</v>
      </c>
      <c r="M90" s="109">
        <v>0</v>
      </c>
      <c r="N90" s="134" t="s">
        <v>812</v>
      </c>
      <c r="O90" s="110" t="s">
        <v>137</v>
      </c>
      <c r="P90" s="110" t="s">
        <v>137</v>
      </c>
      <c r="Q90" s="110" t="s">
        <v>137</v>
      </c>
      <c r="R90" s="110" t="s">
        <v>137</v>
      </c>
      <c r="S90" s="110" t="s">
        <v>137</v>
      </c>
      <c r="T90" s="121">
        <v>0</v>
      </c>
      <c r="U90" s="64">
        <v>10</v>
      </c>
      <c r="V90" s="133"/>
      <c r="W90" s="121"/>
      <c r="X90" s="121"/>
      <c r="Y90" s="123" t="s">
        <v>141</v>
      </c>
      <c r="Z90" s="123">
        <v>0</v>
      </c>
      <c r="AA90" s="123">
        <v>11</v>
      </c>
      <c r="AB90" s="75">
        <f t="shared" si="30"/>
        <v>71</v>
      </c>
      <c r="AC90" s="75">
        <f t="shared" si="31"/>
        <v>86</v>
      </c>
      <c r="AD90" s="75">
        <v>250</v>
      </c>
      <c r="AE90" s="123">
        <v>8</v>
      </c>
      <c r="AF90" s="124">
        <v>15000</v>
      </c>
      <c r="AG90" s="124">
        <v>20000</v>
      </c>
      <c r="AH90" s="124">
        <v>10</v>
      </c>
      <c r="AI90" s="76">
        <f>出怪成长!D134</f>
        <v>0</v>
      </c>
      <c r="AJ90" s="125">
        <v>0</v>
      </c>
      <c r="AK90" s="123">
        <v>0</v>
      </c>
      <c r="AL90" s="123" t="s">
        <v>766</v>
      </c>
      <c r="AM90" s="125" t="s">
        <v>813</v>
      </c>
      <c r="AN90" s="123">
        <v>0</v>
      </c>
      <c r="AO90" s="116">
        <v>0</v>
      </c>
      <c r="AP90" s="123" t="s">
        <v>710</v>
      </c>
      <c r="AQ90" s="123">
        <v>0</v>
      </c>
      <c r="AR90" s="123" t="str">
        <f t="shared" si="20"/>
        <v>Lv11</v>
      </c>
      <c r="AS90" s="75">
        <v>0</v>
      </c>
      <c r="AT90" s="75">
        <v>0</v>
      </c>
      <c r="AU90" s="70" t="s">
        <v>814</v>
      </c>
      <c r="AV90" s="123">
        <v>0</v>
      </c>
      <c r="AW90" s="116">
        <v>0</v>
      </c>
      <c r="AX90" s="123">
        <v>0</v>
      </c>
      <c r="AY90" s="123" t="s">
        <v>641</v>
      </c>
      <c r="AZ90" s="123" t="s">
        <v>768</v>
      </c>
      <c r="BA90" s="123" t="s">
        <v>769</v>
      </c>
      <c r="BB90" s="75">
        <v>0</v>
      </c>
      <c r="BC90" s="123">
        <v>45</v>
      </c>
      <c r="BD90" s="123">
        <v>450</v>
      </c>
      <c r="BE90" s="123" t="s">
        <v>815</v>
      </c>
      <c r="BF90" s="123" t="s">
        <v>697</v>
      </c>
      <c r="BG90" s="76">
        <v>0</v>
      </c>
      <c r="BH90" s="123">
        <v>7</v>
      </c>
      <c r="BI90" s="70" t="s">
        <v>141</v>
      </c>
      <c r="BJ90" s="123" t="s">
        <v>677</v>
      </c>
      <c r="BK90" s="60">
        <v>4</v>
      </c>
      <c r="BM90" s="135">
        <f t="shared" si="26"/>
        <v>4108</v>
      </c>
      <c r="BN90" s="60">
        <f t="shared" si="27"/>
        <v>4108</v>
      </c>
      <c r="BP90" s="60">
        <f t="shared" si="28"/>
        <v>1108</v>
      </c>
    </row>
    <row r="91" s="60" customFormat="1" spans="1:68">
      <c r="A91" s="161">
        <v>612</v>
      </c>
      <c r="B91" s="133">
        <v>5</v>
      </c>
      <c r="C91" s="121" t="s">
        <v>763</v>
      </c>
      <c r="D91" s="133" t="s">
        <v>764</v>
      </c>
      <c r="E91" s="133">
        <v>613</v>
      </c>
      <c r="F91" s="121">
        <v>65</v>
      </c>
      <c r="G91" s="71">
        <f t="shared" si="29"/>
        <v>85</v>
      </c>
      <c r="H91" s="109">
        <v>0</v>
      </c>
      <c r="I91" s="109">
        <v>0</v>
      </c>
      <c r="J91" s="109">
        <v>0</v>
      </c>
      <c r="K91" s="109">
        <v>0</v>
      </c>
      <c r="L91" s="109">
        <v>0</v>
      </c>
      <c r="M91" s="109">
        <v>0</v>
      </c>
      <c r="N91" s="134" t="s">
        <v>816</v>
      </c>
      <c r="O91" s="110" t="s">
        <v>137</v>
      </c>
      <c r="P91" s="110" t="s">
        <v>137</v>
      </c>
      <c r="Q91" s="110" t="s">
        <v>137</v>
      </c>
      <c r="R91" s="110" t="s">
        <v>137</v>
      </c>
      <c r="S91" s="110" t="s">
        <v>137</v>
      </c>
      <c r="T91" s="121">
        <v>0</v>
      </c>
      <c r="U91" s="64">
        <v>10</v>
      </c>
      <c r="V91" s="133"/>
      <c r="W91" s="121"/>
      <c r="X91" s="121"/>
      <c r="Y91" s="123" t="s">
        <v>141</v>
      </c>
      <c r="Z91" s="123">
        <v>0</v>
      </c>
      <c r="AA91" s="123">
        <v>12</v>
      </c>
      <c r="AB91" s="75">
        <f t="shared" si="30"/>
        <v>77</v>
      </c>
      <c r="AC91" s="75">
        <f t="shared" si="31"/>
        <v>92</v>
      </c>
      <c r="AD91" s="75">
        <v>250</v>
      </c>
      <c r="AE91" s="123">
        <v>9</v>
      </c>
      <c r="AF91" s="124">
        <v>15000</v>
      </c>
      <c r="AG91" s="124">
        <v>20000</v>
      </c>
      <c r="AH91" s="124">
        <v>10</v>
      </c>
      <c r="AI91" s="76">
        <f>出怪成长!D135</f>
        <v>0</v>
      </c>
      <c r="AJ91" s="125">
        <v>0</v>
      </c>
      <c r="AK91" s="123">
        <v>0</v>
      </c>
      <c r="AL91" s="123" t="s">
        <v>766</v>
      </c>
      <c r="AM91" s="125" t="s">
        <v>817</v>
      </c>
      <c r="AN91" s="123">
        <v>0</v>
      </c>
      <c r="AO91" s="116">
        <v>0</v>
      </c>
      <c r="AP91" s="123" t="s">
        <v>710</v>
      </c>
      <c r="AQ91" s="123">
        <v>0</v>
      </c>
      <c r="AR91" s="123" t="str">
        <f t="shared" si="20"/>
        <v>Lv12</v>
      </c>
      <c r="AS91" s="75">
        <v>0</v>
      </c>
      <c r="AT91" s="75">
        <v>0</v>
      </c>
      <c r="AU91" s="70" t="s">
        <v>818</v>
      </c>
      <c r="AV91" s="123">
        <v>0</v>
      </c>
      <c r="AW91" s="116">
        <v>0</v>
      </c>
      <c r="AX91" s="123">
        <v>0</v>
      </c>
      <c r="AY91" s="123" t="s">
        <v>641</v>
      </c>
      <c r="AZ91" s="123" t="s">
        <v>768</v>
      </c>
      <c r="BA91" s="123" t="s">
        <v>769</v>
      </c>
      <c r="BB91" s="75">
        <v>0</v>
      </c>
      <c r="BC91" s="123">
        <v>50</v>
      </c>
      <c r="BD91" s="123">
        <v>500</v>
      </c>
      <c r="BE91" s="123" t="s">
        <v>819</v>
      </c>
      <c r="BF91" s="123" t="s">
        <v>820</v>
      </c>
      <c r="BG91" s="76">
        <v>0</v>
      </c>
      <c r="BH91" s="123">
        <v>7</v>
      </c>
      <c r="BI91" s="70" t="s">
        <v>141</v>
      </c>
      <c r="BJ91" s="123" t="s">
        <v>677</v>
      </c>
      <c r="BK91" s="60">
        <v>4</v>
      </c>
      <c r="BM91" s="135">
        <f t="shared" si="26"/>
        <v>4108</v>
      </c>
      <c r="BN91" s="60">
        <f t="shared" si="27"/>
        <v>4108</v>
      </c>
      <c r="BP91" s="60">
        <f t="shared" si="28"/>
        <v>1108</v>
      </c>
    </row>
    <row r="92" s="61" customFormat="1" spans="1:68">
      <c r="A92" s="162">
        <v>613</v>
      </c>
      <c r="B92" s="136">
        <v>5</v>
      </c>
      <c r="C92" s="137" t="s">
        <v>763</v>
      </c>
      <c r="D92" s="136" t="s">
        <v>764</v>
      </c>
      <c r="E92" s="136">
        <v>614</v>
      </c>
      <c r="F92" s="121">
        <v>70</v>
      </c>
      <c r="G92" s="71">
        <f t="shared" si="29"/>
        <v>90</v>
      </c>
      <c r="H92" s="109">
        <v>0</v>
      </c>
      <c r="I92" s="109">
        <v>0</v>
      </c>
      <c r="J92" s="109">
        <v>0</v>
      </c>
      <c r="K92" s="109">
        <v>0</v>
      </c>
      <c r="L92" s="109">
        <v>0</v>
      </c>
      <c r="M92" s="109">
        <v>0</v>
      </c>
      <c r="N92" s="138" t="s">
        <v>821</v>
      </c>
      <c r="O92" s="110" t="s">
        <v>137</v>
      </c>
      <c r="P92" s="110" t="s">
        <v>137</v>
      </c>
      <c r="Q92" s="110" t="s">
        <v>137</v>
      </c>
      <c r="R92" s="110" t="s">
        <v>137</v>
      </c>
      <c r="S92" s="110" t="s">
        <v>137</v>
      </c>
      <c r="T92" s="137">
        <v>0</v>
      </c>
      <c r="U92" s="64">
        <v>10</v>
      </c>
      <c r="V92" s="136"/>
      <c r="W92" s="137"/>
      <c r="X92" s="137"/>
      <c r="Y92" s="139" t="s">
        <v>141</v>
      </c>
      <c r="Z92" s="139">
        <v>0</v>
      </c>
      <c r="AA92" s="139">
        <v>13</v>
      </c>
      <c r="AB92" s="75">
        <f t="shared" si="30"/>
        <v>83</v>
      </c>
      <c r="AC92" s="75">
        <f t="shared" si="31"/>
        <v>98</v>
      </c>
      <c r="AD92" s="75">
        <v>250</v>
      </c>
      <c r="AE92" s="139">
        <v>10</v>
      </c>
      <c r="AF92" s="140">
        <v>15000</v>
      </c>
      <c r="AG92" s="140">
        <v>20000</v>
      </c>
      <c r="AH92" s="140">
        <v>10</v>
      </c>
      <c r="AI92" s="76">
        <f>出怪成长!D136</f>
        <v>0</v>
      </c>
      <c r="AJ92" s="141">
        <v>0</v>
      </c>
      <c r="AK92" s="139">
        <v>0</v>
      </c>
      <c r="AL92" s="139" t="s">
        <v>766</v>
      </c>
      <c r="AM92" s="141" t="s">
        <v>822</v>
      </c>
      <c r="AN92" s="139">
        <v>0</v>
      </c>
      <c r="AO92" s="142">
        <v>0</v>
      </c>
      <c r="AP92" s="139" t="s">
        <v>710</v>
      </c>
      <c r="AQ92" s="139">
        <v>0</v>
      </c>
      <c r="AR92" s="139" t="str">
        <f t="shared" si="20"/>
        <v>Lv13</v>
      </c>
      <c r="AS92" s="75">
        <v>0</v>
      </c>
      <c r="AT92" s="75">
        <v>0</v>
      </c>
      <c r="AU92" s="70" t="s">
        <v>823</v>
      </c>
      <c r="AV92" s="139">
        <v>0</v>
      </c>
      <c r="AW92" s="142">
        <v>0</v>
      </c>
      <c r="AX92" s="139">
        <v>0</v>
      </c>
      <c r="AY92" s="139" t="s">
        <v>641</v>
      </c>
      <c r="AZ92" s="139" t="s">
        <v>768</v>
      </c>
      <c r="BA92" s="139" t="s">
        <v>769</v>
      </c>
      <c r="BB92" s="75">
        <v>0</v>
      </c>
      <c r="BC92" s="139">
        <v>60</v>
      </c>
      <c r="BD92" s="139">
        <v>600</v>
      </c>
      <c r="BE92" s="139" t="s">
        <v>824</v>
      </c>
      <c r="BF92" s="139" t="s">
        <v>825</v>
      </c>
      <c r="BG92" s="76">
        <v>0</v>
      </c>
      <c r="BH92" s="139">
        <v>7</v>
      </c>
      <c r="BI92" s="70" t="s">
        <v>141</v>
      </c>
      <c r="BJ92" s="139" t="s">
        <v>677</v>
      </c>
      <c r="BK92" s="61">
        <v>4</v>
      </c>
      <c r="BM92" s="143">
        <f t="shared" si="26"/>
        <v>4209</v>
      </c>
      <c r="BN92" s="61">
        <f t="shared" si="27"/>
        <v>4209</v>
      </c>
      <c r="BP92" s="61">
        <f t="shared" si="28"/>
        <v>1209</v>
      </c>
    </row>
    <row r="93" s="53" customFormat="1" spans="1:68">
      <c r="A93" s="154">
        <v>701</v>
      </c>
      <c r="B93" s="64">
        <v>6</v>
      </c>
      <c r="C93" s="71" t="s">
        <v>826</v>
      </c>
      <c r="D93" s="64" t="s">
        <v>827</v>
      </c>
      <c r="E93" s="64">
        <v>702</v>
      </c>
      <c r="F93" s="71">
        <v>27</v>
      </c>
      <c r="G93" s="71">
        <f t="shared" si="29"/>
        <v>47</v>
      </c>
      <c r="H93" s="109">
        <v>0</v>
      </c>
      <c r="I93" s="109">
        <v>0</v>
      </c>
      <c r="J93" s="109">
        <v>0</v>
      </c>
      <c r="K93" s="109">
        <v>0</v>
      </c>
      <c r="L93" s="109">
        <v>0</v>
      </c>
      <c r="M93" s="109">
        <v>0</v>
      </c>
      <c r="N93" s="144" t="s">
        <v>828</v>
      </c>
      <c r="O93" s="110" t="s">
        <v>137</v>
      </c>
      <c r="P93" s="110" t="s">
        <v>137</v>
      </c>
      <c r="Q93" s="110" t="s">
        <v>137</v>
      </c>
      <c r="R93" s="110" t="s">
        <v>137</v>
      </c>
      <c r="S93" s="110" t="s">
        <v>137</v>
      </c>
      <c r="T93" s="71">
        <v>0</v>
      </c>
      <c r="U93" s="64">
        <v>10</v>
      </c>
      <c r="V93" s="64"/>
      <c r="W93" s="71"/>
      <c r="X93" s="71"/>
      <c r="Y93" s="75" t="s">
        <v>141</v>
      </c>
      <c r="Z93" s="75">
        <v>0</v>
      </c>
      <c r="AA93" s="75">
        <v>1</v>
      </c>
      <c r="AB93" s="75">
        <f t="shared" si="30"/>
        <v>28</v>
      </c>
      <c r="AC93" s="75">
        <f t="shared" si="31"/>
        <v>43</v>
      </c>
      <c r="AD93" s="75">
        <v>250</v>
      </c>
      <c r="AE93" s="75">
        <v>3</v>
      </c>
      <c r="AF93" s="76">
        <v>15000</v>
      </c>
      <c r="AG93" s="76">
        <v>20000</v>
      </c>
      <c r="AH93" s="76">
        <v>10</v>
      </c>
      <c r="AI93" s="76">
        <f>出怪成长!D137</f>
        <v>0</v>
      </c>
      <c r="AJ93" s="85" t="s">
        <v>829</v>
      </c>
      <c r="AK93" s="75">
        <v>0</v>
      </c>
      <c r="AL93" s="76" t="s">
        <v>472</v>
      </c>
      <c r="AM93" s="85" t="s">
        <v>662</v>
      </c>
      <c r="AN93" s="75">
        <v>0</v>
      </c>
      <c r="AO93" s="86">
        <v>0</v>
      </c>
      <c r="AP93" s="75" t="s">
        <v>710</v>
      </c>
      <c r="AQ93" s="75">
        <v>0</v>
      </c>
      <c r="AR93" s="75" t="str">
        <f t="shared" si="20"/>
        <v>Lv1</v>
      </c>
      <c r="AS93" s="75">
        <v>0</v>
      </c>
      <c r="AT93" s="75">
        <v>0</v>
      </c>
      <c r="AU93" s="70" t="s">
        <v>830</v>
      </c>
      <c r="AV93" s="75">
        <v>0</v>
      </c>
      <c r="AW93" s="86">
        <v>0</v>
      </c>
      <c r="AX93" s="75">
        <v>0</v>
      </c>
      <c r="AY93" s="75" t="s">
        <v>641</v>
      </c>
      <c r="AZ93" s="75" t="s">
        <v>831</v>
      </c>
      <c r="BA93" s="75">
        <f>[1]BoxReward!AQ4</f>
        <v>0</v>
      </c>
      <c r="BB93" s="75">
        <v>0</v>
      </c>
      <c r="BC93" s="75">
        <v>1</v>
      </c>
      <c r="BD93" s="75">
        <v>10</v>
      </c>
      <c r="BE93" s="75" t="s">
        <v>832</v>
      </c>
      <c r="BF93" s="75" t="s">
        <v>645</v>
      </c>
      <c r="BG93" s="76">
        <v>0</v>
      </c>
      <c r="BH93" s="75">
        <v>3</v>
      </c>
      <c r="BI93" s="70" t="s">
        <v>141</v>
      </c>
      <c r="BJ93" s="75" t="s">
        <v>275</v>
      </c>
      <c r="BK93" s="53">
        <v>1</v>
      </c>
      <c r="BM93" s="95">
        <f t="shared" si="26"/>
        <v>1001</v>
      </c>
      <c r="BN93" s="53">
        <f t="shared" ref="BN93:BN107" si="32">BM93</f>
        <v>1001</v>
      </c>
    </row>
    <row r="94" s="53" customFormat="1" spans="1:68">
      <c r="A94" s="154">
        <v>702</v>
      </c>
      <c r="B94" s="64">
        <v>6</v>
      </c>
      <c r="C94" s="71" t="s">
        <v>826</v>
      </c>
      <c r="D94" s="64" t="s">
        <v>827</v>
      </c>
      <c r="E94" s="64">
        <v>703</v>
      </c>
      <c r="F94" s="71">
        <v>28</v>
      </c>
      <c r="G94" s="71">
        <f t="shared" si="29"/>
        <v>48</v>
      </c>
      <c r="H94" s="109">
        <v>0</v>
      </c>
      <c r="I94" s="109">
        <v>0</v>
      </c>
      <c r="J94" s="109">
        <v>0</v>
      </c>
      <c r="K94" s="109">
        <v>0</v>
      </c>
      <c r="L94" s="109">
        <v>0</v>
      </c>
      <c r="M94" s="109">
        <v>0</v>
      </c>
      <c r="N94" s="144" t="s">
        <v>833</v>
      </c>
      <c r="O94" s="110" t="s">
        <v>137</v>
      </c>
      <c r="P94" s="110" t="s">
        <v>137</v>
      </c>
      <c r="Q94" s="110" t="s">
        <v>137</v>
      </c>
      <c r="R94" s="110" t="s">
        <v>137</v>
      </c>
      <c r="S94" s="110" t="s">
        <v>137</v>
      </c>
      <c r="T94" s="71">
        <v>0</v>
      </c>
      <c r="U94" s="64">
        <v>10</v>
      </c>
      <c r="V94" s="64"/>
      <c r="W94" s="71"/>
      <c r="X94" s="71"/>
      <c r="Y94" s="75" t="s">
        <v>141</v>
      </c>
      <c r="Z94" s="75">
        <v>0</v>
      </c>
      <c r="AA94" s="75">
        <v>2</v>
      </c>
      <c r="AB94" s="75">
        <f t="shared" si="30"/>
        <v>30</v>
      </c>
      <c r="AC94" s="75">
        <f t="shared" si="31"/>
        <v>45</v>
      </c>
      <c r="AD94" s="75">
        <v>250</v>
      </c>
      <c r="AE94" s="75">
        <v>3</v>
      </c>
      <c r="AF94" s="76">
        <v>15000</v>
      </c>
      <c r="AG94" s="76">
        <v>20000</v>
      </c>
      <c r="AH94" s="76">
        <v>10</v>
      </c>
      <c r="AI94" s="76">
        <f>出怪成长!D138</f>
        <v>0</v>
      </c>
      <c r="AJ94" s="85" t="s">
        <v>829</v>
      </c>
      <c r="AK94" s="75">
        <v>0</v>
      </c>
      <c r="AL94" s="76" t="s">
        <v>472</v>
      </c>
      <c r="AM94" s="85" t="s">
        <v>662</v>
      </c>
      <c r="AN94" s="75">
        <v>0</v>
      </c>
      <c r="AO94" s="86">
        <v>0</v>
      </c>
      <c r="AP94" s="75" t="s">
        <v>710</v>
      </c>
      <c r="AQ94" s="75">
        <v>0</v>
      </c>
      <c r="AR94" s="75" t="str">
        <f t="shared" si="20"/>
        <v>Lv2</v>
      </c>
      <c r="AS94" s="75">
        <v>0</v>
      </c>
      <c r="AT94" s="75">
        <v>0</v>
      </c>
      <c r="AU94" s="70" t="s">
        <v>834</v>
      </c>
      <c r="AV94" s="75">
        <v>0</v>
      </c>
      <c r="AW94" s="86">
        <v>0</v>
      </c>
      <c r="AX94" s="75">
        <v>0</v>
      </c>
      <c r="AY94" s="75" t="s">
        <v>641</v>
      </c>
      <c r="AZ94" s="75" t="s">
        <v>831</v>
      </c>
      <c r="BA94" s="75">
        <f>[1]BoxReward!AQ5</f>
        <v>0</v>
      </c>
      <c r="BB94" s="75">
        <v>0</v>
      </c>
      <c r="BC94" s="75">
        <v>2.5</v>
      </c>
      <c r="BD94" s="75">
        <v>25</v>
      </c>
      <c r="BE94" s="75" t="s">
        <v>835</v>
      </c>
      <c r="BF94" s="75" t="s">
        <v>718</v>
      </c>
      <c r="BG94" s="76">
        <v>0</v>
      </c>
      <c r="BH94" s="75">
        <v>3</v>
      </c>
      <c r="BI94" s="70" t="s">
        <v>141</v>
      </c>
      <c r="BJ94" s="75" t="s">
        <v>374</v>
      </c>
      <c r="BK94" s="53">
        <v>2</v>
      </c>
      <c r="BM94" s="95">
        <f t="shared" si="26"/>
        <v>2002</v>
      </c>
      <c r="BN94" s="53">
        <f t="shared" si="32"/>
        <v>2002</v>
      </c>
    </row>
    <row r="95" s="53" customFormat="1" spans="1:68">
      <c r="A95" s="154">
        <v>703</v>
      </c>
      <c r="B95" s="64">
        <v>6</v>
      </c>
      <c r="C95" s="71" t="s">
        <v>826</v>
      </c>
      <c r="D95" s="64" t="s">
        <v>827</v>
      </c>
      <c r="E95" s="64">
        <v>704</v>
      </c>
      <c r="F95" s="71">
        <f>F94+1</f>
        <v>29</v>
      </c>
      <c r="G95" s="71">
        <f t="shared" si="29"/>
        <v>49</v>
      </c>
      <c r="H95" s="109">
        <v>0</v>
      </c>
      <c r="I95" s="109">
        <v>0</v>
      </c>
      <c r="J95" s="109">
        <v>0</v>
      </c>
      <c r="K95" s="109">
        <v>0</v>
      </c>
      <c r="L95" s="109">
        <v>0</v>
      </c>
      <c r="M95" s="109">
        <v>0</v>
      </c>
      <c r="N95" s="144" t="s">
        <v>836</v>
      </c>
      <c r="O95" s="110" t="s">
        <v>137</v>
      </c>
      <c r="P95" s="110" t="s">
        <v>137</v>
      </c>
      <c r="Q95" s="110" t="s">
        <v>137</v>
      </c>
      <c r="R95" s="110" t="s">
        <v>137</v>
      </c>
      <c r="S95" s="110" t="s">
        <v>137</v>
      </c>
      <c r="T95" s="71">
        <v>0</v>
      </c>
      <c r="U95" s="64">
        <v>10</v>
      </c>
      <c r="V95" s="64"/>
      <c r="W95" s="71"/>
      <c r="X95" s="71"/>
      <c r="Y95" s="75" t="s">
        <v>141</v>
      </c>
      <c r="Z95" s="75">
        <v>0</v>
      </c>
      <c r="AA95" s="75">
        <v>3</v>
      </c>
      <c r="AB95" s="75">
        <f t="shared" si="30"/>
        <v>32</v>
      </c>
      <c r="AC95" s="75">
        <f t="shared" si="31"/>
        <v>47</v>
      </c>
      <c r="AD95" s="75">
        <v>250</v>
      </c>
      <c r="AE95" s="75">
        <v>4</v>
      </c>
      <c r="AF95" s="76">
        <v>15000</v>
      </c>
      <c r="AG95" s="76">
        <v>20000</v>
      </c>
      <c r="AH95" s="76">
        <v>10</v>
      </c>
      <c r="AI95" s="76">
        <f>出怪成长!D139</f>
        <v>0</v>
      </c>
      <c r="AJ95" s="85" t="s">
        <v>829</v>
      </c>
      <c r="AK95" s="75">
        <v>0</v>
      </c>
      <c r="AL95" s="76" t="s">
        <v>472</v>
      </c>
      <c r="AM95" s="85" t="s">
        <v>662</v>
      </c>
      <c r="AN95" s="75">
        <v>0</v>
      </c>
      <c r="AO95" s="86">
        <v>0</v>
      </c>
      <c r="AP95" s="75" t="s">
        <v>710</v>
      </c>
      <c r="AQ95" s="75">
        <v>0</v>
      </c>
      <c r="AR95" s="75" t="str">
        <f t="shared" si="20"/>
        <v>Lv3</v>
      </c>
      <c r="AS95" s="75">
        <v>0</v>
      </c>
      <c r="AT95" s="75">
        <v>0</v>
      </c>
      <c r="AU95" s="70" t="s">
        <v>837</v>
      </c>
      <c r="AV95" s="75">
        <v>0</v>
      </c>
      <c r="AW95" s="86">
        <v>0</v>
      </c>
      <c r="AX95" s="75">
        <v>0</v>
      </c>
      <c r="AY95" s="75" t="s">
        <v>641</v>
      </c>
      <c r="AZ95" s="75" t="s">
        <v>831</v>
      </c>
      <c r="BA95" s="75">
        <f>[1]BoxReward!AQ6</f>
        <v>0</v>
      </c>
      <c r="BB95" s="75">
        <v>0</v>
      </c>
      <c r="BC95" s="75">
        <v>8</v>
      </c>
      <c r="BD95" s="75">
        <v>80</v>
      </c>
      <c r="BE95" s="75" t="s">
        <v>838</v>
      </c>
      <c r="BF95" s="75" t="s">
        <v>839</v>
      </c>
      <c r="BG95" s="76">
        <v>0</v>
      </c>
      <c r="BH95" s="75">
        <v>4</v>
      </c>
      <c r="BI95" s="70" t="s">
        <v>141</v>
      </c>
      <c r="BJ95" s="75" t="s">
        <v>666</v>
      </c>
      <c r="BK95" s="53">
        <v>6</v>
      </c>
      <c r="BM95" s="95">
        <f t="shared" si="26"/>
        <v>6002</v>
      </c>
      <c r="BN95" s="53">
        <f t="shared" si="32"/>
        <v>6002</v>
      </c>
    </row>
    <row r="96" s="53" customFormat="1" spans="1:68">
      <c r="A96" s="154">
        <v>704</v>
      </c>
      <c r="B96" s="64">
        <v>6</v>
      </c>
      <c r="C96" s="71" t="s">
        <v>826</v>
      </c>
      <c r="D96" s="64" t="s">
        <v>827</v>
      </c>
      <c r="E96" s="64">
        <v>705</v>
      </c>
      <c r="F96" s="71">
        <v>29</v>
      </c>
      <c r="G96" s="71">
        <f t="shared" si="29"/>
        <v>49</v>
      </c>
      <c r="H96" s="109">
        <v>0</v>
      </c>
      <c r="I96" s="109">
        <v>0</v>
      </c>
      <c r="J96" s="109">
        <v>0</v>
      </c>
      <c r="K96" s="109">
        <v>0</v>
      </c>
      <c r="L96" s="109">
        <v>0</v>
      </c>
      <c r="M96" s="109">
        <v>0</v>
      </c>
      <c r="N96" s="144" t="s">
        <v>840</v>
      </c>
      <c r="O96" s="110" t="s">
        <v>137</v>
      </c>
      <c r="P96" s="110" t="s">
        <v>137</v>
      </c>
      <c r="Q96" s="110" t="s">
        <v>137</v>
      </c>
      <c r="R96" s="110" t="s">
        <v>137</v>
      </c>
      <c r="S96" s="110" t="s">
        <v>137</v>
      </c>
      <c r="T96" s="71">
        <v>0</v>
      </c>
      <c r="U96" s="64">
        <v>10</v>
      </c>
      <c r="V96" s="64"/>
      <c r="W96" s="71"/>
      <c r="X96" s="71"/>
      <c r="Y96" s="75" t="s">
        <v>141</v>
      </c>
      <c r="Z96" s="75">
        <v>0</v>
      </c>
      <c r="AA96" s="75">
        <v>4</v>
      </c>
      <c r="AB96" s="75">
        <f t="shared" si="30"/>
        <v>33</v>
      </c>
      <c r="AC96" s="75">
        <f t="shared" si="31"/>
        <v>48</v>
      </c>
      <c r="AD96" s="75">
        <v>250</v>
      </c>
      <c r="AE96" s="75">
        <v>4</v>
      </c>
      <c r="AF96" s="76">
        <v>15000</v>
      </c>
      <c r="AG96" s="76">
        <v>20000</v>
      </c>
      <c r="AH96" s="76">
        <v>10</v>
      </c>
      <c r="AI96" s="76">
        <f>出怪成长!D140</f>
        <v>0</v>
      </c>
      <c r="AJ96" s="85" t="s">
        <v>829</v>
      </c>
      <c r="AK96" s="75">
        <v>0</v>
      </c>
      <c r="AL96" s="76" t="s">
        <v>472</v>
      </c>
      <c r="AM96" s="85" t="s">
        <v>662</v>
      </c>
      <c r="AN96" s="75">
        <v>0</v>
      </c>
      <c r="AO96" s="86">
        <v>0</v>
      </c>
      <c r="AP96" s="75" t="s">
        <v>710</v>
      </c>
      <c r="AQ96" s="75">
        <v>0</v>
      </c>
      <c r="AR96" s="75" t="str">
        <f t="shared" si="20"/>
        <v>Lv4</v>
      </c>
      <c r="AS96" s="75">
        <v>0</v>
      </c>
      <c r="AT96" s="75">
        <v>0</v>
      </c>
      <c r="AU96" s="70" t="s">
        <v>841</v>
      </c>
      <c r="AV96" s="75">
        <v>0</v>
      </c>
      <c r="AW96" s="86">
        <v>0</v>
      </c>
      <c r="AX96" s="75">
        <v>0</v>
      </c>
      <c r="AY96" s="75" t="s">
        <v>641</v>
      </c>
      <c r="AZ96" s="75" t="s">
        <v>831</v>
      </c>
      <c r="BA96" s="75">
        <f>[1]BoxReward!AQ7</f>
        <v>0</v>
      </c>
      <c r="BB96" s="75">
        <v>0</v>
      </c>
      <c r="BC96" s="75">
        <v>14</v>
      </c>
      <c r="BD96" s="75">
        <v>140</v>
      </c>
      <c r="BE96" s="75" t="s">
        <v>400</v>
      </c>
      <c r="BF96" s="75" t="s">
        <v>842</v>
      </c>
      <c r="BG96" s="76">
        <v>0</v>
      </c>
      <c r="BH96" s="75">
        <v>4</v>
      </c>
      <c r="BI96" s="70" t="s">
        <v>141</v>
      </c>
      <c r="BJ96" s="75" t="s">
        <v>651</v>
      </c>
      <c r="BK96" s="53">
        <v>3</v>
      </c>
      <c r="BM96" s="95">
        <f t="shared" si="26"/>
        <v>3003</v>
      </c>
      <c r="BN96" s="53">
        <f t="shared" si="32"/>
        <v>3003</v>
      </c>
    </row>
    <row r="97" s="53" customFormat="1" spans="1:68">
      <c r="A97" s="154">
        <v>705</v>
      </c>
      <c r="B97" s="64">
        <v>6</v>
      </c>
      <c r="C97" s="71" t="s">
        <v>826</v>
      </c>
      <c r="D97" s="64" t="s">
        <v>827</v>
      </c>
      <c r="E97" s="64">
        <v>706</v>
      </c>
      <c r="F97" s="71">
        <f>F96+1</f>
        <v>30</v>
      </c>
      <c r="G97" s="71">
        <f t="shared" si="29"/>
        <v>50</v>
      </c>
      <c r="H97" s="109">
        <v>0</v>
      </c>
      <c r="I97" s="109">
        <v>0</v>
      </c>
      <c r="J97" s="109">
        <v>0</v>
      </c>
      <c r="K97" s="109">
        <v>0</v>
      </c>
      <c r="L97" s="109">
        <v>0</v>
      </c>
      <c r="M97" s="109">
        <v>0</v>
      </c>
      <c r="N97" s="144" t="s">
        <v>843</v>
      </c>
      <c r="O97" s="110" t="s">
        <v>137</v>
      </c>
      <c r="P97" s="110" t="s">
        <v>137</v>
      </c>
      <c r="Q97" s="110" t="s">
        <v>137</v>
      </c>
      <c r="R97" s="110" t="s">
        <v>137</v>
      </c>
      <c r="S97" s="110" t="s">
        <v>137</v>
      </c>
      <c r="T97" s="71">
        <v>0</v>
      </c>
      <c r="U97" s="64">
        <v>10</v>
      </c>
      <c r="V97" s="64"/>
      <c r="W97" s="71"/>
      <c r="X97" s="71"/>
      <c r="Y97" s="75" t="s">
        <v>141</v>
      </c>
      <c r="Z97" s="75">
        <v>0</v>
      </c>
      <c r="AA97" s="75">
        <v>5</v>
      </c>
      <c r="AB97" s="75">
        <f t="shared" si="30"/>
        <v>35</v>
      </c>
      <c r="AC97" s="75">
        <f t="shared" si="31"/>
        <v>50</v>
      </c>
      <c r="AD97" s="75">
        <v>250</v>
      </c>
      <c r="AE97" s="75">
        <v>5</v>
      </c>
      <c r="AF97" s="76">
        <v>15000</v>
      </c>
      <c r="AG97" s="76">
        <v>20000</v>
      </c>
      <c r="AH97" s="76">
        <v>10</v>
      </c>
      <c r="AI97" s="76">
        <f>出怪成长!D141</f>
        <v>0</v>
      </c>
      <c r="AJ97" s="85" t="s">
        <v>829</v>
      </c>
      <c r="AK97" s="75">
        <v>0</v>
      </c>
      <c r="AL97" s="76" t="s">
        <v>472</v>
      </c>
      <c r="AM97" s="85" t="s">
        <v>662</v>
      </c>
      <c r="AN97" s="75">
        <v>0</v>
      </c>
      <c r="AO97" s="86">
        <v>0</v>
      </c>
      <c r="AP97" s="75" t="s">
        <v>710</v>
      </c>
      <c r="AQ97" s="75">
        <v>0</v>
      </c>
      <c r="AR97" s="75" t="str">
        <f t="shared" si="20"/>
        <v>Lv5</v>
      </c>
      <c r="AS97" s="75">
        <v>0</v>
      </c>
      <c r="AT97" s="75">
        <v>0</v>
      </c>
      <c r="AU97" s="70" t="s">
        <v>844</v>
      </c>
      <c r="AV97" s="75">
        <v>0</v>
      </c>
      <c r="AW97" s="86">
        <v>0</v>
      </c>
      <c r="AX97" s="75">
        <v>0</v>
      </c>
      <c r="AY97" s="75" t="s">
        <v>641</v>
      </c>
      <c r="AZ97" s="75" t="s">
        <v>831</v>
      </c>
      <c r="BA97" s="75">
        <f>[1]BoxReward!AQ8</f>
        <v>0</v>
      </c>
      <c r="BB97" s="75">
        <v>0</v>
      </c>
      <c r="BC97" s="75">
        <v>18</v>
      </c>
      <c r="BD97" s="75">
        <v>180</v>
      </c>
      <c r="BE97" s="75" t="s">
        <v>845</v>
      </c>
      <c r="BF97" s="75" t="s">
        <v>846</v>
      </c>
      <c r="BG97" s="76">
        <v>0</v>
      </c>
      <c r="BH97" s="75">
        <v>5</v>
      </c>
      <c r="BI97" s="70" t="s">
        <v>141</v>
      </c>
      <c r="BJ97" s="75" t="s">
        <v>481</v>
      </c>
      <c r="BK97" s="53">
        <v>6</v>
      </c>
      <c r="BM97" s="95">
        <f t="shared" si="26"/>
        <v>6004</v>
      </c>
      <c r="BN97" s="53">
        <f t="shared" si="32"/>
        <v>6004</v>
      </c>
    </row>
    <row r="98" s="53" customFormat="1" spans="1:68">
      <c r="A98" s="154">
        <v>706</v>
      </c>
      <c r="B98" s="64">
        <v>6</v>
      </c>
      <c r="C98" s="71" t="s">
        <v>826</v>
      </c>
      <c r="D98" s="64" t="s">
        <v>827</v>
      </c>
      <c r="E98" s="64">
        <v>707</v>
      </c>
      <c r="F98" s="71">
        <v>30</v>
      </c>
      <c r="G98" s="71">
        <f t="shared" si="29"/>
        <v>50</v>
      </c>
      <c r="H98" s="109">
        <v>0</v>
      </c>
      <c r="I98" s="109">
        <v>0</v>
      </c>
      <c r="J98" s="109">
        <v>0</v>
      </c>
      <c r="K98" s="109">
        <v>0</v>
      </c>
      <c r="L98" s="109">
        <v>0</v>
      </c>
      <c r="M98" s="109">
        <v>0</v>
      </c>
      <c r="N98" s="144" t="s">
        <v>847</v>
      </c>
      <c r="O98" s="110" t="s">
        <v>137</v>
      </c>
      <c r="P98" s="110" t="s">
        <v>137</v>
      </c>
      <c r="Q98" s="110" t="s">
        <v>137</v>
      </c>
      <c r="R98" s="110" t="s">
        <v>137</v>
      </c>
      <c r="S98" s="110" t="s">
        <v>137</v>
      </c>
      <c r="T98" s="71">
        <v>0</v>
      </c>
      <c r="U98" s="64">
        <v>10</v>
      </c>
      <c r="V98" s="64"/>
      <c r="W98" s="71"/>
      <c r="X98" s="71"/>
      <c r="Y98" s="75" t="s">
        <v>141</v>
      </c>
      <c r="Z98" s="75">
        <v>0</v>
      </c>
      <c r="AA98" s="75">
        <v>6</v>
      </c>
      <c r="AB98" s="75">
        <f t="shared" si="30"/>
        <v>36</v>
      </c>
      <c r="AC98" s="75">
        <f t="shared" si="31"/>
        <v>51</v>
      </c>
      <c r="AD98" s="75">
        <v>250</v>
      </c>
      <c r="AE98" s="75">
        <v>5</v>
      </c>
      <c r="AF98" s="76">
        <v>15000</v>
      </c>
      <c r="AG98" s="76">
        <v>20000</v>
      </c>
      <c r="AH98" s="76">
        <v>10</v>
      </c>
      <c r="AI98" s="76">
        <f>出怪成长!D142</f>
        <v>0</v>
      </c>
      <c r="AJ98" s="85" t="s">
        <v>829</v>
      </c>
      <c r="AK98" s="75">
        <v>0</v>
      </c>
      <c r="AL98" s="76" t="s">
        <v>472</v>
      </c>
      <c r="AM98" s="85" t="s">
        <v>662</v>
      </c>
      <c r="AN98" s="75">
        <v>0</v>
      </c>
      <c r="AO98" s="86">
        <v>0</v>
      </c>
      <c r="AP98" s="75" t="s">
        <v>710</v>
      </c>
      <c r="AQ98" s="75">
        <v>0</v>
      </c>
      <c r="AR98" s="75" t="str">
        <f t="shared" ref="AR98:AR107" si="33">"Lv"&amp;AA98&amp;""</f>
        <v>Lv6</v>
      </c>
      <c r="AS98" s="75">
        <v>0</v>
      </c>
      <c r="AT98" s="75">
        <v>0</v>
      </c>
      <c r="AU98" s="70" t="s">
        <v>848</v>
      </c>
      <c r="AV98" s="75">
        <v>0</v>
      </c>
      <c r="AW98" s="86">
        <v>0</v>
      </c>
      <c r="AX98" s="75">
        <v>0</v>
      </c>
      <c r="AY98" s="75" t="s">
        <v>641</v>
      </c>
      <c r="AZ98" s="75" t="s">
        <v>831</v>
      </c>
      <c r="BA98" s="75">
        <f>[1]BoxReward!AQ9</f>
        <v>0</v>
      </c>
      <c r="BB98" s="75">
        <v>0</v>
      </c>
      <c r="BC98" s="75">
        <v>22</v>
      </c>
      <c r="BD98" s="75">
        <v>220</v>
      </c>
      <c r="BE98" s="75" t="s">
        <v>849</v>
      </c>
      <c r="BF98" s="75" t="s">
        <v>850</v>
      </c>
      <c r="BG98" s="76">
        <v>0</v>
      </c>
      <c r="BH98" s="75">
        <v>5</v>
      </c>
      <c r="BI98" s="70" t="s">
        <v>141</v>
      </c>
      <c r="BJ98" s="75" t="s">
        <v>677</v>
      </c>
      <c r="BK98" s="53">
        <v>5</v>
      </c>
      <c r="BM98" s="95">
        <f t="shared" si="26"/>
        <v>5004</v>
      </c>
      <c r="BN98" s="53">
        <f t="shared" si="32"/>
        <v>5004</v>
      </c>
    </row>
    <row r="99" s="53" customFormat="1" spans="1:68">
      <c r="A99" s="154">
        <v>707</v>
      </c>
      <c r="B99" s="64">
        <v>6</v>
      </c>
      <c r="C99" s="71" t="s">
        <v>826</v>
      </c>
      <c r="D99" s="64" t="s">
        <v>827</v>
      </c>
      <c r="E99" s="64">
        <v>708</v>
      </c>
      <c r="F99" s="71">
        <f>F98+1</f>
        <v>31</v>
      </c>
      <c r="G99" s="71">
        <f t="shared" si="29"/>
        <v>51</v>
      </c>
      <c r="H99" s="109">
        <v>0</v>
      </c>
      <c r="I99" s="109">
        <v>0</v>
      </c>
      <c r="J99" s="109">
        <v>0</v>
      </c>
      <c r="K99" s="109">
        <v>0</v>
      </c>
      <c r="L99" s="109">
        <v>0</v>
      </c>
      <c r="M99" s="109">
        <v>0</v>
      </c>
      <c r="N99" s="144" t="s">
        <v>851</v>
      </c>
      <c r="O99" s="110" t="s">
        <v>137</v>
      </c>
      <c r="P99" s="110" t="s">
        <v>137</v>
      </c>
      <c r="Q99" s="110" t="s">
        <v>137</v>
      </c>
      <c r="R99" s="110" t="s">
        <v>137</v>
      </c>
      <c r="S99" s="110" t="s">
        <v>137</v>
      </c>
      <c r="T99" s="71">
        <v>0</v>
      </c>
      <c r="U99" s="64">
        <v>10</v>
      </c>
      <c r="V99" s="64"/>
      <c r="W99" s="71"/>
      <c r="X99" s="71"/>
      <c r="Y99" s="75" t="s">
        <v>141</v>
      </c>
      <c r="Z99" s="75">
        <v>0</v>
      </c>
      <c r="AA99" s="75">
        <v>7</v>
      </c>
      <c r="AB99" s="75">
        <f t="shared" si="30"/>
        <v>38</v>
      </c>
      <c r="AC99" s="75">
        <f t="shared" si="31"/>
        <v>53</v>
      </c>
      <c r="AD99" s="75">
        <v>250</v>
      </c>
      <c r="AE99" s="75">
        <v>6</v>
      </c>
      <c r="AF99" s="76">
        <v>15000</v>
      </c>
      <c r="AG99" s="76">
        <v>20000</v>
      </c>
      <c r="AH99" s="76">
        <v>10</v>
      </c>
      <c r="AI99" s="76">
        <f>出怪成长!D143</f>
        <v>0</v>
      </c>
      <c r="AJ99" s="85" t="s">
        <v>829</v>
      </c>
      <c r="AK99" s="75">
        <v>0</v>
      </c>
      <c r="AL99" s="76" t="s">
        <v>472</v>
      </c>
      <c r="AM99" s="85" t="s">
        <v>662</v>
      </c>
      <c r="AN99" s="75">
        <v>0</v>
      </c>
      <c r="AO99" s="86">
        <v>0</v>
      </c>
      <c r="AP99" s="75" t="s">
        <v>710</v>
      </c>
      <c r="AQ99" s="75">
        <v>0</v>
      </c>
      <c r="AR99" s="75" t="str">
        <f t="shared" si="33"/>
        <v>Lv7</v>
      </c>
      <c r="AS99" s="75">
        <v>0</v>
      </c>
      <c r="AT99" s="75">
        <v>0</v>
      </c>
      <c r="AU99" s="70" t="s">
        <v>852</v>
      </c>
      <c r="AV99" s="75">
        <v>0</v>
      </c>
      <c r="AW99" s="86">
        <v>0</v>
      </c>
      <c r="AX99" s="75">
        <v>0</v>
      </c>
      <c r="AY99" s="75" t="s">
        <v>641</v>
      </c>
      <c r="AZ99" s="75" t="s">
        <v>831</v>
      </c>
      <c r="BA99" s="75">
        <f>[1]BoxReward!AQ10</f>
        <v>0</v>
      </c>
      <c r="BB99" s="75">
        <v>0</v>
      </c>
      <c r="BC99" s="75">
        <v>26</v>
      </c>
      <c r="BD99" s="75">
        <v>260</v>
      </c>
      <c r="BE99" s="75" t="s">
        <v>502</v>
      </c>
      <c r="BF99" s="75" t="s">
        <v>853</v>
      </c>
      <c r="BG99" s="76">
        <v>0</v>
      </c>
      <c r="BH99" s="75">
        <v>6</v>
      </c>
      <c r="BI99" s="70" t="s">
        <v>141</v>
      </c>
      <c r="BJ99" s="75" t="s">
        <v>660</v>
      </c>
      <c r="BK99" s="53">
        <v>3</v>
      </c>
      <c r="BM99" s="95">
        <f t="shared" si="26"/>
        <v>3105</v>
      </c>
      <c r="BN99" s="53">
        <f t="shared" si="32"/>
        <v>3105</v>
      </c>
    </row>
    <row r="100" s="53" customFormat="1" spans="1:68">
      <c r="A100" s="154">
        <v>708</v>
      </c>
      <c r="B100" s="64">
        <v>6</v>
      </c>
      <c r="C100" s="71" t="s">
        <v>826</v>
      </c>
      <c r="D100" s="64" t="s">
        <v>827</v>
      </c>
      <c r="E100" s="64">
        <v>709</v>
      </c>
      <c r="F100" s="71">
        <v>31</v>
      </c>
      <c r="G100" s="71">
        <f t="shared" si="29"/>
        <v>51</v>
      </c>
      <c r="H100" s="109">
        <v>0</v>
      </c>
      <c r="I100" s="109">
        <v>0</v>
      </c>
      <c r="J100" s="109">
        <v>0</v>
      </c>
      <c r="K100" s="109">
        <v>0</v>
      </c>
      <c r="L100" s="109">
        <v>0</v>
      </c>
      <c r="M100" s="109">
        <v>0</v>
      </c>
      <c r="N100" s="144" t="s">
        <v>854</v>
      </c>
      <c r="O100" s="110" t="s">
        <v>137</v>
      </c>
      <c r="P100" s="110" t="s">
        <v>137</v>
      </c>
      <c r="Q100" s="110" t="s">
        <v>137</v>
      </c>
      <c r="R100" s="110" t="s">
        <v>137</v>
      </c>
      <c r="S100" s="110" t="s">
        <v>137</v>
      </c>
      <c r="T100" s="71">
        <v>0</v>
      </c>
      <c r="U100" s="64">
        <v>10</v>
      </c>
      <c r="V100" s="64"/>
      <c r="W100" s="71"/>
      <c r="X100" s="71"/>
      <c r="Y100" s="75" t="s">
        <v>141</v>
      </c>
      <c r="Z100" s="75">
        <v>0</v>
      </c>
      <c r="AA100" s="75">
        <v>8</v>
      </c>
      <c r="AB100" s="75">
        <f t="shared" si="30"/>
        <v>39</v>
      </c>
      <c r="AC100" s="75">
        <f t="shared" si="31"/>
        <v>54</v>
      </c>
      <c r="AD100" s="75">
        <v>250</v>
      </c>
      <c r="AE100" s="75">
        <v>6</v>
      </c>
      <c r="AF100" s="76">
        <v>15000</v>
      </c>
      <c r="AG100" s="76">
        <v>20000</v>
      </c>
      <c r="AH100" s="76">
        <v>10</v>
      </c>
      <c r="AI100" s="76">
        <f>出怪成长!D144</f>
        <v>0</v>
      </c>
      <c r="AJ100" s="85" t="s">
        <v>829</v>
      </c>
      <c r="AK100" s="75">
        <v>0</v>
      </c>
      <c r="AL100" s="76" t="s">
        <v>472</v>
      </c>
      <c r="AM100" s="85" t="s">
        <v>662</v>
      </c>
      <c r="AN100" s="75">
        <v>0</v>
      </c>
      <c r="AO100" s="86">
        <v>0</v>
      </c>
      <c r="AP100" s="75" t="s">
        <v>710</v>
      </c>
      <c r="AQ100" s="75">
        <v>0</v>
      </c>
      <c r="AR100" s="75" t="str">
        <f t="shared" si="33"/>
        <v>Lv8</v>
      </c>
      <c r="AS100" s="75">
        <v>0</v>
      </c>
      <c r="AT100" s="75">
        <v>0</v>
      </c>
      <c r="AU100" s="70" t="s">
        <v>855</v>
      </c>
      <c r="AV100" s="75">
        <v>0</v>
      </c>
      <c r="AW100" s="86">
        <v>0</v>
      </c>
      <c r="AX100" s="75">
        <v>0</v>
      </c>
      <c r="AY100" s="75" t="s">
        <v>641</v>
      </c>
      <c r="AZ100" s="75" t="s">
        <v>831</v>
      </c>
      <c r="BA100" s="75">
        <f>[1]BoxReward!AQ11</f>
        <v>0</v>
      </c>
      <c r="BB100" s="75">
        <v>0</v>
      </c>
      <c r="BC100" s="75">
        <v>30</v>
      </c>
      <c r="BD100" s="75">
        <v>300</v>
      </c>
      <c r="BE100" s="75" t="s">
        <v>856</v>
      </c>
      <c r="BF100" s="75" t="s">
        <v>857</v>
      </c>
      <c r="BG100" s="76">
        <v>0</v>
      </c>
      <c r="BH100" s="75">
        <v>6</v>
      </c>
      <c r="BI100" s="70" t="s">
        <v>141</v>
      </c>
      <c r="BJ100" s="75" t="s">
        <v>141</v>
      </c>
      <c r="BK100" s="53">
        <v>1</v>
      </c>
      <c r="BM100" s="95">
        <f t="shared" si="26"/>
        <v>1106</v>
      </c>
      <c r="BN100" s="53">
        <f t="shared" si="32"/>
        <v>1106</v>
      </c>
    </row>
    <row r="101" s="53" customFormat="1" spans="1:68">
      <c r="A101" s="154">
        <v>709</v>
      </c>
      <c r="B101" s="64">
        <v>6</v>
      </c>
      <c r="C101" s="71" t="s">
        <v>826</v>
      </c>
      <c r="D101" s="64" t="s">
        <v>827</v>
      </c>
      <c r="E101" s="64">
        <v>710</v>
      </c>
      <c r="F101" s="71">
        <f>F100+1</f>
        <v>32</v>
      </c>
      <c r="G101" s="71">
        <f t="shared" si="29"/>
        <v>52</v>
      </c>
      <c r="H101" s="109">
        <v>0</v>
      </c>
      <c r="I101" s="109">
        <v>0</v>
      </c>
      <c r="J101" s="109">
        <v>0</v>
      </c>
      <c r="K101" s="109">
        <v>0</v>
      </c>
      <c r="L101" s="109">
        <v>0</v>
      </c>
      <c r="M101" s="109">
        <v>0</v>
      </c>
      <c r="N101" s="144" t="s">
        <v>858</v>
      </c>
      <c r="O101" s="110" t="s">
        <v>137</v>
      </c>
      <c r="P101" s="110" t="s">
        <v>137</v>
      </c>
      <c r="Q101" s="110" t="s">
        <v>137</v>
      </c>
      <c r="R101" s="110" t="s">
        <v>137</v>
      </c>
      <c r="S101" s="110" t="s">
        <v>137</v>
      </c>
      <c r="T101" s="71">
        <v>0</v>
      </c>
      <c r="U101" s="64">
        <v>10</v>
      </c>
      <c r="V101" s="64"/>
      <c r="W101" s="71"/>
      <c r="X101" s="71"/>
      <c r="Y101" s="75" t="s">
        <v>141</v>
      </c>
      <c r="Z101" s="75">
        <v>0</v>
      </c>
      <c r="AA101" s="75">
        <v>9</v>
      </c>
      <c r="AB101" s="75">
        <f t="shared" si="30"/>
        <v>41</v>
      </c>
      <c r="AC101" s="75">
        <f t="shared" si="31"/>
        <v>56</v>
      </c>
      <c r="AD101" s="75">
        <v>250</v>
      </c>
      <c r="AE101" s="75">
        <v>7</v>
      </c>
      <c r="AF101" s="76">
        <v>15000</v>
      </c>
      <c r="AG101" s="76">
        <v>20000</v>
      </c>
      <c r="AH101" s="76">
        <v>10</v>
      </c>
      <c r="AI101" s="76">
        <f>出怪成长!D145</f>
        <v>0</v>
      </c>
      <c r="AJ101" s="85" t="s">
        <v>829</v>
      </c>
      <c r="AK101" s="75">
        <v>0</v>
      </c>
      <c r="AL101" s="76" t="s">
        <v>472</v>
      </c>
      <c r="AM101" s="85" t="s">
        <v>662</v>
      </c>
      <c r="AN101" s="75">
        <v>0</v>
      </c>
      <c r="AO101" s="86">
        <v>0</v>
      </c>
      <c r="AP101" s="75" t="s">
        <v>710</v>
      </c>
      <c r="AQ101" s="75">
        <v>0</v>
      </c>
      <c r="AR101" s="75" t="str">
        <f t="shared" si="33"/>
        <v>Lv9</v>
      </c>
      <c r="AS101" s="75">
        <v>0</v>
      </c>
      <c r="AT101" s="75">
        <v>0</v>
      </c>
      <c r="AU101" s="70" t="s">
        <v>859</v>
      </c>
      <c r="AV101" s="75">
        <v>0</v>
      </c>
      <c r="AW101" s="86">
        <v>0</v>
      </c>
      <c r="AX101" s="75">
        <v>0</v>
      </c>
      <c r="AY101" s="75" t="s">
        <v>641</v>
      </c>
      <c r="AZ101" s="75" t="s">
        <v>831</v>
      </c>
      <c r="BA101" s="75">
        <f>[1]BoxReward!AQ12</f>
        <v>0</v>
      </c>
      <c r="BB101" s="75">
        <v>0</v>
      </c>
      <c r="BC101" s="75">
        <v>35</v>
      </c>
      <c r="BD101" s="75">
        <v>350</v>
      </c>
      <c r="BE101" s="75" t="s">
        <v>860</v>
      </c>
      <c r="BF101" s="75" t="s">
        <v>687</v>
      </c>
      <c r="BG101" s="76">
        <v>0</v>
      </c>
      <c r="BH101" s="75">
        <v>7</v>
      </c>
      <c r="BI101" s="70" t="s">
        <v>141</v>
      </c>
      <c r="BJ101" s="75" t="s">
        <v>677</v>
      </c>
      <c r="BK101" s="53">
        <v>5</v>
      </c>
      <c r="BM101" s="95">
        <f t="shared" si="26"/>
        <v>5106</v>
      </c>
      <c r="BN101" s="53">
        <f t="shared" si="32"/>
        <v>5106</v>
      </c>
    </row>
    <row r="102" s="53" customFormat="1" spans="1:68">
      <c r="A102" s="154">
        <v>710</v>
      </c>
      <c r="B102" s="64">
        <v>6</v>
      </c>
      <c r="C102" s="71" t="s">
        <v>826</v>
      </c>
      <c r="D102" s="64" t="s">
        <v>827</v>
      </c>
      <c r="E102" s="64">
        <v>711</v>
      </c>
      <c r="F102" s="71">
        <v>32</v>
      </c>
      <c r="G102" s="71">
        <f t="shared" si="29"/>
        <v>52</v>
      </c>
      <c r="H102" s="109">
        <v>0</v>
      </c>
      <c r="I102" s="109">
        <v>0</v>
      </c>
      <c r="J102" s="109">
        <v>0</v>
      </c>
      <c r="K102" s="109">
        <v>0</v>
      </c>
      <c r="L102" s="109">
        <v>0</v>
      </c>
      <c r="M102" s="109">
        <v>0</v>
      </c>
      <c r="N102" s="144" t="s">
        <v>861</v>
      </c>
      <c r="O102" s="110" t="s">
        <v>137</v>
      </c>
      <c r="P102" s="110" t="s">
        <v>137</v>
      </c>
      <c r="Q102" s="110" t="s">
        <v>137</v>
      </c>
      <c r="R102" s="110" t="s">
        <v>137</v>
      </c>
      <c r="S102" s="110" t="s">
        <v>137</v>
      </c>
      <c r="T102" s="71">
        <v>0</v>
      </c>
      <c r="U102" s="64">
        <v>10</v>
      </c>
      <c r="V102" s="64"/>
      <c r="W102" s="71"/>
      <c r="X102" s="71"/>
      <c r="Y102" s="75" t="s">
        <v>141</v>
      </c>
      <c r="Z102" s="75">
        <v>0</v>
      </c>
      <c r="AA102" s="75">
        <v>10</v>
      </c>
      <c r="AB102" s="75">
        <f t="shared" si="30"/>
        <v>42</v>
      </c>
      <c r="AC102" s="75">
        <f t="shared" si="31"/>
        <v>57</v>
      </c>
      <c r="AD102" s="75">
        <v>250</v>
      </c>
      <c r="AE102" s="75">
        <v>7</v>
      </c>
      <c r="AF102" s="76">
        <v>15000</v>
      </c>
      <c r="AG102" s="76">
        <v>20000</v>
      </c>
      <c r="AH102" s="76">
        <v>10</v>
      </c>
      <c r="AI102" s="76">
        <f>出怪成长!D146</f>
        <v>0</v>
      </c>
      <c r="AJ102" s="85" t="s">
        <v>829</v>
      </c>
      <c r="AK102" s="75">
        <v>0</v>
      </c>
      <c r="AL102" s="76" t="s">
        <v>472</v>
      </c>
      <c r="AM102" s="85" t="s">
        <v>662</v>
      </c>
      <c r="AN102" s="75">
        <v>0</v>
      </c>
      <c r="AO102" s="86">
        <v>0</v>
      </c>
      <c r="AP102" s="75" t="s">
        <v>710</v>
      </c>
      <c r="AQ102" s="75">
        <v>0</v>
      </c>
      <c r="AR102" s="75" t="str">
        <f t="shared" si="33"/>
        <v>Lv10</v>
      </c>
      <c r="AS102" s="75">
        <v>0</v>
      </c>
      <c r="AT102" s="75">
        <v>0</v>
      </c>
      <c r="AU102" s="70" t="s">
        <v>862</v>
      </c>
      <c r="AV102" s="75">
        <v>0</v>
      </c>
      <c r="AW102" s="86">
        <v>0</v>
      </c>
      <c r="AX102" s="75">
        <v>0</v>
      </c>
      <c r="AY102" s="75" t="s">
        <v>641</v>
      </c>
      <c r="AZ102" s="75" t="s">
        <v>831</v>
      </c>
      <c r="BA102" s="75">
        <f>[1]BoxReward!AQ13</f>
        <v>0</v>
      </c>
      <c r="BB102" s="75">
        <v>0</v>
      </c>
      <c r="BC102" s="75">
        <v>40</v>
      </c>
      <c r="BD102" s="75">
        <v>400</v>
      </c>
      <c r="BE102" s="75" t="s">
        <v>863</v>
      </c>
      <c r="BF102" s="75" t="s">
        <v>748</v>
      </c>
      <c r="BG102" s="76">
        <v>0</v>
      </c>
      <c r="BH102" s="75">
        <v>7</v>
      </c>
      <c r="BI102" s="70" t="s">
        <v>141</v>
      </c>
      <c r="BJ102" s="75" t="s">
        <v>666</v>
      </c>
      <c r="BK102" s="53">
        <v>5</v>
      </c>
      <c r="BM102" s="95">
        <f t="shared" si="26"/>
        <v>5107</v>
      </c>
      <c r="BN102" s="53">
        <f t="shared" si="32"/>
        <v>5107</v>
      </c>
    </row>
    <row r="103" s="53" customFormat="1" spans="1:68">
      <c r="A103" s="154">
        <v>711</v>
      </c>
      <c r="B103" s="64">
        <v>6</v>
      </c>
      <c r="C103" s="71" t="s">
        <v>826</v>
      </c>
      <c r="D103" s="64" t="s">
        <v>827</v>
      </c>
      <c r="E103" s="64">
        <v>712</v>
      </c>
      <c r="F103" s="71">
        <f>F102+1</f>
        <v>33</v>
      </c>
      <c r="G103" s="71">
        <f t="shared" si="29"/>
        <v>53</v>
      </c>
      <c r="H103" s="109">
        <v>0</v>
      </c>
      <c r="I103" s="109">
        <v>0</v>
      </c>
      <c r="J103" s="109">
        <v>0</v>
      </c>
      <c r="K103" s="109">
        <v>0</v>
      </c>
      <c r="L103" s="109">
        <v>0</v>
      </c>
      <c r="M103" s="109">
        <v>0</v>
      </c>
      <c r="N103" s="144" t="s">
        <v>864</v>
      </c>
      <c r="O103" s="110" t="s">
        <v>137</v>
      </c>
      <c r="P103" s="110" t="s">
        <v>137</v>
      </c>
      <c r="Q103" s="110" t="s">
        <v>137</v>
      </c>
      <c r="R103" s="110" t="s">
        <v>137</v>
      </c>
      <c r="S103" s="110" t="s">
        <v>137</v>
      </c>
      <c r="T103" s="71">
        <v>0</v>
      </c>
      <c r="U103" s="64">
        <v>10</v>
      </c>
      <c r="V103" s="64"/>
      <c r="W103" s="71"/>
      <c r="X103" s="71"/>
      <c r="Y103" s="75" t="s">
        <v>141</v>
      </c>
      <c r="Z103" s="75">
        <v>0</v>
      </c>
      <c r="AA103" s="75">
        <v>11</v>
      </c>
      <c r="AB103" s="75">
        <f t="shared" si="30"/>
        <v>44</v>
      </c>
      <c r="AC103" s="75">
        <f t="shared" si="31"/>
        <v>59</v>
      </c>
      <c r="AD103" s="75">
        <v>250</v>
      </c>
      <c r="AE103" s="75">
        <v>8</v>
      </c>
      <c r="AF103" s="76">
        <v>15000</v>
      </c>
      <c r="AG103" s="76">
        <v>20000</v>
      </c>
      <c r="AH103" s="76">
        <v>10</v>
      </c>
      <c r="AI103" s="76">
        <f>出怪成长!D147</f>
        <v>0</v>
      </c>
      <c r="AJ103" s="85" t="s">
        <v>829</v>
      </c>
      <c r="AK103" s="75">
        <v>0</v>
      </c>
      <c r="AL103" s="76" t="s">
        <v>472</v>
      </c>
      <c r="AM103" s="85" t="s">
        <v>662</v>
      </c>
      <c r="AN103" s="75">
        <v>0</v>
      </c>
      <c r="AO103" s="86">
        <v>0</v>
      </c>
      <c r="AP103" s="75" t="s">
        <v>710</v>
      </c>
      <c r="AQ103" s="75">
        <v>0</v>
      </c>
      <c r="AR103" s="75" t="str">
        <f t="shared" si="33"/>
        <v>Lv11</v>
      </c>
      <c r="AS103" s="75">
        <v>0</v>
      </c>
      <c r="AT103" s="75">
        <v>0</v>
      </c>
      <c r="AU103" s="70" t="s">
        <v>865</v>
      </c>
      <c r="AV103" s="75">
        <v>0</v>
      </c>
      <c r="AW103" s="86">
        <v>0</v>
      </c>
      <c r="AX103" s="75">
        <v>0</v>
      </c>
      <c r="AY103" s="75" t="s">
        <v>641</v>
      </c>
      <c r="AZ103" s="75" t="s">
        <v>831</v>
      </c>
      <c r="BA103" s="75">
        <f>[1]BoxReward!AQ14</f>
        <v>0</v>
      </c>
      <c r="BB103" s="75">
        <v>0</v>
      </c>
      <c r="BC103" s="75">
        <v>45</v>
      </c>
      <c r="BD103" s="75">
        <v>450</v>
      </c>
      <c r="BE103" s="75" t="s">
        <v>866</v>
      </c>
      <c r="BF103" s="75" t="s">
        <v>752</v>
      </c>
      <c r="BG103" s="76">
        <v>0</v>
      </c>
      <c r="BH103" s="75">
        <v>7</v>
      </c>
      <c r="BI103" s="70" t="s">
        <v>141</v>
      </c>
      <c r="BJ103" s="75" t="s">
        <v>666</v>
      </c>
      <c r="BK103" s="53">
        <v>5</v>
      </c>
      <c r="BM103" s="95">
        <f t="shared" si="26"/>
        <v>5108</v>
      </c>
      <c r="BN103" s="53">
        <f t="shared" si="32"/>
        <v>5108</v>
      </c>
    </row>
    <row r="104" s="53" customFormat="1" spans="1:68">
      <c r="A104" s="154">
        <v>712</v>
      </c>
      <c r="B104" s="64">
        <v>6</v>
      </c>
      <c r="C104" s="71" t="s">
        <v>826</v>
      </c>
      <c r="D104" s="64" t="s">
        <v>827</v>
      </c>
      <c r="E104" s="64">
        <v>713</v>
      </c>
      <c r="F104" s="71">
        <v>33</v>
      </c>
      <c r="G104" s="71">
        <f t="shared" si="29"/>
        <v>53</v>
      </c>
      <c r="H104" s="109">
        <v>0</v>
      </c>
      <c r="I104" s="109">
        <v>0</v>
      </c>
      <c r="J104" s="109">
        <v>0</v>
      </c>
      <c r="K104" s="109">
        <v>0</v>
      </c>
      <c r="L104" s="109">
        <v>0</v>
      </c>
      <c r="M104" s="109">
        <v>0</v>
      </c>
      <c r="N104" s="144" t="s">
        <v>867</v>
      </c>
      <c r="O104" s="110" t="s">
        <v>137</v>
      </c>
      <c r="P104" s="110" t="s">
        <v>137</v>
      </c>
      <c r="Q104" s="110" t="s">
        <v>137</v>
      </c>
      <c r="R104" s="110" t="s">
        <v>137</v>
      </c>
      <c r="S104" s="110" t="s">
        <v>137</v>
      </c>
      <c r="T104" s="71">
        <v>0</v>
      </c>
      <c r="U104" s="64">
        <v>10</v>
      </c>
      <c r="V104" s="64"/>
      <c r="W104" s="71"/>
      <c r="X104" s="71"/>
      <c r="Y104" s="75" t="s">
        <v>141</v>
      </c>
      <c r="Z104" s="75">
        <v>0</v>
      </c>
      <c r="AA104" s="75">
        <v>12</v>
      </c>
      <c r="AB104" s="75">
        <f t="shared" si="30"/>
        <v>45</v>
      </c>
      <c r="AC104" s="75">
        <f t="shared" si="31"/>
        <v>60</v>
      </c>
      <c r="AD104" s="75">
        <v>250</v>
      </c>
      <c r="AE104" s="75">
        <v>9</v>
      </c>
      <c r="AF104" s="76">
        <v>15000</v>
      </c>
      <c r="AG104" s="76">
        <v>20000</v>
      </c>
      <c r="AH104" s="76">
        <v>10</v>
      </c>
      <c r="AI104" s="76">
        <f>出怪成长!D148</f>
        <v>0</v>
      </c>
      <c r="AJ104" s="85" t="s">
        <v>829</v>
      </c>
      <c r="AK104" s="75">
        <v>0</v>
      </c>
      <c r="AL104" s="76" t="s">
        <v>472</v>
      </c>
      <c r="AM104" s="85" t="s">
        <v>662</v>
      </c>
      <c r="AN104" s="75">
        <v>0</v>
      </c>
      <c r="AO104" s="86">
        <v>0</v>
      </c>
      <c r="AP104" s="75" t="s">
        <v>710</v>
      </c>
      <c r="AQ104" s="75">
        <v>0</v>
      </c>
      <c r="AR104" s="75" t="str">
        <f t="shared" si="33"/>
        <v>Lv12</v>
      </c>
      <c r="AS104" s="75">
        <v>0</v>
      </c>
      <c r="AT104" s="75">
        <v>0</v>
      </c>
      <c r="AU104" s="70" t="s">
        <v>868</v>
      </c>
      <c r="AV104" s="75">
        <v>0</v>
      </c>
      <c r="AW104" s="86">
        <v>0</v>
      </c>
      <c r="AX104" s="75">
        <v>0</v>
      </c>
      <c r="AY104" s="75" t="s">
        <v>641</v>
      </c>
      <c r="AZ104" s="75" t="s">
        <v>831</v>
      </c>
      <c r="BA104" s="75">
        <f>[1]BoxReward!AQ15</f>
        <v>0</v>
      </c>
      <c r="BB104" s="75">
        <v>0</v>
      </c>
      <c r="BC104" s="75">
        <v>50</v>
      </c>
      <c r="BD104" s="75">
        <v>500</v>
      </c>
      <c r="BE104" s="75" t="s">
        <v>869</v>
      </c>
      <c r="BF104" s="75" t="s">
        <v>757</v>
      </c>
      <c r="BG104" s="76">
        <v>0</v>
      </c>
      <c r="BH104" s="75">
        <v>7</v>
      </c>
      <c r="BI104" s="70" t="s">
        <v>141</v>
      </c>
      <c r="BJ104" s="75" t="s">
        <v>666</v>
      </c>
      <c r="BK104" s="53">
        <v>5</v>
      </c>
      <c r="BM104" s="95">
        <f t="shared" si="26"/>
        <v>5108</v>
      </c>
      <c r="BN104" s="53">
        <f t="shared" si="32"/>
        <v>5108</v>
      </c>
    </row>
    <row r="105" s="53" customFormat="1" spans="1:68">
      <c r="A105" s="154">
        <v>713</v>
      </c>
      <c r="B105" s="64">
        <v>6</v>
      </c>
      <c r="C105" s="71" t="s">
        <v>826</v>
      </c>
      <c r="D105" s="64" t="s">
        <v>827</v>
      </c>
      <c r="E105" s="64">
        <v>714</v>
      </c>
      <c r="F105" s="71">
        <f>F104+1</f>
        <v>34</v>
      </c>
      <c r="G105" s="71">
        <f t="shared" si="29"/>
        <v>54</v>
      </c>
      <c r="H105" s="109">
        <v>0</v>
      </c>
      <c r="I105" s="109">
        <v>0</v>
      </c>
      <c r="J105" s="109">
        <v>0</v>
      </c>
      <c r="K105" s="109">
        <v>0</v>
      </c>
      <c r="L105" s="109">
        <v>0</v>
      </c>
      <c r="M105" s="109">
        <v>0</v>
      </c>
      <c r="N105" s="144" t="s">
        <v>870</v>
      </c>
      <c r="O105" s="110" t="s">
        <v>137</v>
      </c>
      <c r="P105" s="110" t="s">
        <v>137</v>
      </c>
      <c r="Q105" s="110" t="s">
        <v>137</v>
      </c>
      <c r="R105" s="110" t="s">
        <v>137</v>
      </c>
      <c r="S105" s="110" t="s">
        <v>137</v>
      </c>
      <c r="T105" s="71">
        <v>0</v>
      </c>
      <c r="U105" s="64">
        <v>10</v>
      </c>
      <c r="V105" s="64"/>
      <c r="W105" s="71"/>
      <c r="X105" s="71"/>
      <c r="Y105" s="75" t="s">
        <v>141</v>
      </c>
      <c r="Z105" s="75">
        <v>0</v>
      </c>
      <c r="AA105" s="75">
        <v>13</v>
      </c>
      <c r="AB105" s="75">
        <f t="shared" si="30"/>
        <v>47</v>
      </c>
      <c r="AC105" s="75">
        <f t="shared" si="31"/>
        <v>62</v>
      </c>
      <c r="AD105" s="75">
        <v>250</v>
      </c>
      <c r="AE105" s="75">
        <v>10</v>
      </c>
      <c r="AF105" s="76">
        <v>15000</v>
      </c>
      <c r="AG105" s="76">
        <v>20000</v>
      </c>
      <c r="AH105" s="76">
        <v>10</v>
      </c>
      <c r="AI105" s="76">
        <f>出怪成长!D149</f>
        <v>0</v>
      </c>
      <c r="AJ105" s="85" t="s">
        <v>829</v>
      </c>
      <c r="AK105" s="75">
        <v>0</v>
      </c>
      <c r="AL105" s="76" t="s">
        <v>472</v>
      </c>
      <c r="AM105" s="85" t="s">
        <v>662</v>
      </c>
      <c r="AN105" s="75">
        <v>0</v>
      </c>
      <c r="AO105" s="86">
        <v>0</v>
      </c>
      <c r="AP105" s="75" t="s">
        <v>710</v>
      </c>
      <c r="AQ105" s="75">
        <v>0</v>
      </c>
      <c r="AR105" s="75" t="str">
        <f t="shared" si="33"/>
        <v>Lv13</v>
      </c>
      <c r="AS105" s="75">
        <v>0</v>
      </c>
      <c r="AT105" s="75">
        <v>0</v>
      </c>
      <c r="AU105" s="70" t="s">
        <v>871</v>
      </c>
      <c r="AV105" s="75">
        <v>0</v>
      </c>
      <c r="AW105" s="86">
        <v>0</v>
      </c>
      <c r="AX105" s="75">
        <v>0</v>
      </c>
      <c r="AY105" s="75" t="s">
        <v>641</v>
      </c>
      <c r="AZ105" s="75" t="s">
        <v>831</v>
      </c>
      <c r="BA105" s="75">
        <f>[1]BoxReward!AQ16</f>
        <v>0</v>
      </c>
      <c r="BB105" s="75">
        <v>0</v>
      </c>
      <c r="BC105" s="75">
        <v>60</v>
      </c>
      <c r="BD105" s="75">
        <v>600</v>
      </c>
      <c r="BE105" s="75" t="s">
        <v>872</v>
      </c>
      <c r="BF105" s="75" t="s">
        <v>762</v>
      </c>
      <c r="BG105" s="76">
        <v>0</v>
      </c>
      <c r="BH105" s="75">
        <v>7</v>
      </c>
      <c r="BI105" s="70" t="s">
        <v>141</v>
      </c>
      <c r="BJ105" s="75" t="s">
        <v>666</v>
      </c>
      <c r="BK105" s="53">
        <v>5</v>
      </c>
      <c r="BM105" s="95">
        <f t="shared" si="26"/>
        <v>5209</v>
      </c>
      <c r="BN105" s="53">
        <f t="shared" si="32"/>
        <v>5209</v>
      </c>
    </row>
    <row r="106" s="53" customFormat="1" spans="1:68">
      <c r="A106" s="154">
        <v>714</v>
      </c>
      <c r="B106" s="64">
        <v>6</v>
      </c>
      <c r="C106" s="71" t="s">
        <v>826</v>
      </c>
      <c r="D106" s="64" t="s">
        <v>827</v>
      </c>
      <c r="E106" s="64">
        <v>715</v>
      </c>
      <c r="F106" s="71">
        <v>34</v>
      </c>
      <c r="G106" s="71">
        <f t="shared" si="29"/>
        <v>54</v>
      </c>
      <c r="H106" s="109">
        <v>0</v>
      </c>
      <c r="I106" s="109">
        <v>0</v>
      </c>
      <c r="J106" s="109">
        <v>0</v>
      </c>
      <c r="K106" s="109">
        <v>0</v>
      </c>
      <c r="L106" s="109">
        <v>0</v>
      </c>
      <c r="M106" s="109">
        <v>0</v>
      </c>
      <c r="N106" s="144" t="s">
        <v>873</v>
      </c>
      <c r="O106" s="110" t="s">
        <v>137</v>
      </c>
      <c r="P106" s="110" t="s">
        <v>137</v>
      </c>
      <c r="Q106" s="110" t="s">
        <v>137</v>
      </c>
      <c r="R106" s="110" t="s">
        <v>137</v>
      </c>
      <c r="S106" s="110" t="s">
        <v>137</v>
      </c>
      <c r="T106" s="71">
        <v>0</v>
      </c>
      <c r="U106" s="64">
        <v>10</v>
      </c>
      <c r="V106" s="64"/>
      <c r="W106" s="71"/>
      <c r="X106" s="71"/>
      <c r="Y106" s="75" t="s">
        <v>141</v>
      </c>
      <c r="Z106" s="75">
        <v>0</v>
      </c>
      <c r="AA106" s="75">
        <v>14</v>
      </c>
      <c r="AB106" s="75">
        <f t="shared" si="30"/>
        <v>48</v>
      </c>
      <c r="AC106" s="75">
        <f t="shared" si="31"/>
        <v>63</v>
      </c>
      <c r="AD106" s="75">
        <v>250</v>
      </c>
      <c r="AE106" s="75">
        <v>11</v>
      </c>
      <c r="AF106" s="76">
        <v>15000</v>
      </c>
      <c r="AG106" s="76">
        <v>20000</v>
      </c>
      <c r="AH106" s="76">
        <v>10</v>
      </c>
      <c r="AI106" s="76">
        <f>出怪成长!D150</f>
        <v>0</v>
      </c>
      <c r="AJ106" s="85" t="s">
        <v>829</v>
      </c>
      <c r="AK106" s="75">
        <v>0</v>
      </c>
      <c r="AL106" s="76" t="s">
        <v>472</v>
      </c>
      <c r="AM106" s="85" t="s">
        <v>662</v>
      </c>
      <c r="AN106" s="75">
        <v>0</v>
      </c>
      <c r="AO106" s="86">
        <v>0</v>
      </c>
      <c r="AP106" s="75" t="s">
        <v>710</v>
      </c>
      <c r="AQ106" s="75">
        <v>0</v>
      </c>
      <c r="AR106" s="75" t="str">
        <f t="shared" si="33"/>
        <v>Lv14</v>
      </c>
      <c r="AS106" s="75">
        <v>0</v>
      </c>
      <c r="AT106" s="75">
        <v>0</v>
      </c>
      <c r="AU106" s="70" t="s">
        <v>874</v>
      </c>
      <c r="AV106" s="75">
        <v>0</v>
      </c>
      <c r="AW106" s="86">
        <v>0</v>
      </c>
      <c r="AX106" s="75">
        <v>0</v>
      </c>
      <c r="AY106" s="75" t="s">
        <v>641</v>
      </c>
      <c r="AZ106" s="75" t="s">
        <v>831</v>
      </c>
      <c r="BA106" s="75">
        <f>[1]BoxReward!AQ17</f>
        <v>0</v>
      </c>
      <c r="BB106" s="75">
        <v>0</v>
      </c>
      <c r="BC106" s="75">
        <v>70</v>
      </c>
      <c r="BD106" s="75">
        <v>700</v>
      </c>
      <c r="BE106" s="75" t="s">
        <v>875</v>
      </c>
      <c r="BF106" s="75" t="s">
        <v>876</v>
      </c>
      <c r="BG106" s="76">
        <v>0</v>
      </c>
      <c r="BH106" s="75">
        <v>7</v>
      </c>
      <c r="BI106" s="70" t="s">
        <v>141</v>
      </c>
      <c r="BJ106" s="75" t="s">
        <v>666</v>
      </c>
      <c r="BK106" s="53">
        <v>5</v>
      </c>
      <c r="BM106" s="95">
        <f t="shared" si="26"/>
        <v>5209</v>
      </c>
      <c r="BN106" s="53">
        <f t="shared" si="32"/>
        <v>5209</v>
      </c>
    </row>
    <row r="107" s="53" customFormat="1" spans="1:68">
      <c r="A107" s="154">
        <v>715</v>
      </c>
      <c r="B107" s="64">
        <v>6</v>
      </c>
      <c r="C107" s="71" t="s">
        <v>826</v>
      </c>
      <c r="D107" s="64" t="s">
        <v>827</v>
      </c>
      <c r="E107" s="64">
        <v>716</v>
      </c>
      <c r="F107" s="71">
        <f>F106+1</f>
        <v>35</v>
      </c>
      <c r="G107" s="71">
        <f t="shared" si="29"/>
        <v>55</v>
      </c>
      <c r="H107" s="109">
        <v>0</v>
      </c>
      <c r="I107" s="109">
        <v>0</v>
      </c>
      <c r="J107" s="109">
        <v>0</v>
      </c>
      <c r="K107" s="109">
        <v>0</v>
      </c>
      <c r="L107" s="109">
        <v>0</v>
      </c>
      <c r="M107" s="109">
        <v>0</v>
      </c>
      <c r="N107" s="144" t="s">
        <v>877</v>
      </c>
      <c r="O107" s="110" t="s">
        <v>137</v>
      </c>
      <c r="P107" s="110" t="s">
        <v>137</v>
      </c>
      <c r="Q107" s="110" t="s">
        <v>137</v>
      </c>
      <c r="R107" s="110" t="s">
        <v>137</v>
      </c>
      <c r="S107" s="110" t="s">
        <v>137</v>
      </c>
      <c r="T107" s="71">
        <v>0</v>
      </c>
      <c r="U107" s="64">
        <v>10</v>
      </c>
      <c r="V107" s="64"/>
      <c r="W107" s="71"/>
      <c r="X107" s="71"/>
      <c r="Y107" s="75" t="s">
        <v>141</v>
      </c>
      <c r="Z107" s="75">
        <v>0</v>
      </c>
      <c r="AA107" s="75">
        <v>15</v>
      </c>
      <c r="AB107" s="75">
        <f t="shared" si="30"/>
        <v>50</v>
      </c>
      <c r="AC107" s="75">
        <f t="shared" si="31"/>
        <v>65</v>
      </c>
      <c r="AD107" s="75">
        <v>250</v>
      </c>
      <c r="AE107" s="75">
        <v>12</v>
      </c>
      <c r="AF107" s="76">
        <v>15000</v>
      </c>
      <c r="AG107" s="76">
        <v>20000</v>
      </c>
      <c r="AH107" s="76">
        <v>10</v>
      </c>
      <c r="AI107" s="76">
        <f>出怪成长!D151</f>
        <v>0</v>
      </c>
      <c r="AJ107" s="85" t="s">
        <v>829</v>
      </c>
      <c r="AK107" s="75">
        <v>0</v>
      </c>
      <c r="AL107" s="76" t="s">
        <v>472</v>
      </c>
      <c r="AM107" s="85" t="s">
        <v>662</v>
      </c>
      <c r="AN107" s="75">
        <v>0</v>
      </c>
      <c r="AO107" s="86">
        <v>0</v>
      </c>
      <c r="AP107" s="75" t="s">
        <v>710</v>
      </c>
      <c r="AQ107" s="75">
        <v>0</v>
      </c>
      <c r="AR107" s="75" t="str">
        <f t="shared" si="33"/>
        <v>Lv15</v>
      </c>
      <c r="AS107" s="75">
        <v>0</v>
      </c>
      <c r="AT107" s="75">
        <v>0</v>
      </c>
      <c r="AU107" s="70" t="s">
        <v>878</v>
      </c>
      <c r="AV107" s="75">
        <v>0</v>
      </c>
      <c r="AW107" s="86">
        <v>0</v>
      </c>
      <c r="AX107" s="75">
        <v>0</v>
      </c>
      <c r="AY107" s="75" t="s">
        <v>641</v>
      </c>
      <c r="AZ107" s="75" t="s">
        <v>831</v>
      </c>
      <c r="BA107" s="75">
        <f>[1]BoxReward!AQ18</f>
        <v>0</v>
      </c>
      <c r="BB107" s="75">
        <v>0</v>
      </c>
      <c r="BC107" s="75">
        <v>80</v>
      </c>
      <c r="BD107" s="75">
        <v>800</v>
      </c>
      <c r="BE107" s="75" t="s">
        <v>879</v>
      </c>
      <c r="BF107" s="75" t="s">
        <v>880</v>
      </c>
      <c r="BG107" s="76">
        <v>0</v>
      </c>
      <c r="BH107" s="75">
        <v>7</v>
      </c>
      <c r="BI107" s="70" t="s">
        <v>141</v>
      </c>
      <c r="BJ107" s="75" t="s">
        <v>666</v>
      </c>
      <c r="BK107" s="53">
        <v>5</v>
      </c>
      <c r="BM107" s="95">
        <f t="shared" si="26"/>
        <v>5209</v>
      </c>
      <c r="BN107" s="53">
        <f t="shared" si="32"/>
        <v>5209</v>
      </c>
    </row>
    <row r="108" s="62" customFormat="1" ht="16.5" customHeight="1" spans="1:68">
      <c r="A108" s="163">
        <v>201</v>
      </c>
      <c r="B108" s="145">
        <v>1</v>
      </c>
      <c r="C108" s="71" t="s">
        <v>881</v>
      </c>
      <c r="D108" s="145">
        <v>0</v>
      </c>
      <c r="E108" s="145">
        <v>202</v>
      </c>
      <c r="F108" s="71">
        <v>35</v>
      </c>
      <c r="G108" s="71">
        <f t="shared" si="29"/>
        <v>55</v>
      </c>
      <c r="H108" s="109">
        <v>0</v>
      </c>
      <c r="I108" s="109">
        <v>0</v>
      </c>
      <c r="J108" s="109">
        <v>0</v>
      </c>
      <c r="K108" s="109">
        <v>0</v>
      </c>
      <c r="L108" s="109">
        <v>0</v>
      </c>
      <c r="M108" s="109">
        <v>0</v>
      </c>
      <c r="N108" s="145" t="s">
        <v>882</v>
      </c>
      <c r="O108" s="110" t="s">
        <v>137</v>
      </c>
      <c r="P108" s="110" t="s">
        <v>137</v>
      </c>
      <c r="Q108" s="110" t="s">
        <v>137</v>
      </c>
      <c r="R108" s="110" t="s">
        <v>137</v>
      </c>
      <c r="S108" s="110" t="s">
        <v>137</v>
      </c>
      <c r="T108" s="71">
        <v>0</v>
      </c>
      <c r="U108" s="64">
        <v>10</v>
      </c>
      <c r="V108" s="64"/>
      <c r="W108" s="71"/>
      <c r="X108" s="71"/>
      <c r="Y108" s="75" t="s">
        <v>141</v>
      </c>
      <c r="Z108" s="75">
        <v>0</v>
      </c>
      <c r="AA108" s="75">
        <f>辅助!E17</f>
        <v>25</v>
      </c>
      <c r="AB108" s="75">
        <f t="shared" si="30"/>
        <v>60</v>
      </c>
      <c r="AC108" s="75">
        <f t="shared" si="31"/>
        <v>75</v>
      </c>
      <c r="AD108" s="75">
        <v>250</v>
      </c>
      <c r="AE108" s="76">
        <v>2</v>
      </c>
      <c r="AF108" s="76">
        <v>15000</v>
      </c>
      <c r="AG108" s="76">
        <v>20000</v>
      </c>
      <c r="AH108" s="76">
        <v>10</v>
      </c>
      <c r="AI108" s="76">
        <f>出怪成长!D152</f>
        <v>0</v>
      </c>
      <c r="AJ108" s="85" t="s">
        <v>829</v>
      </c>
      <c r="AK108" s="76">
        <v>0</v>
      </c>
      <c r="AL108" s="76" t="s">
        <v>472</v>
      </c>
      <c r="AM108" s="85" t="s">
        <v>662</v>
      </c>
      <c r="AN108" s="75">
        <v>0</v>
      </c>
      <c r="AO108" s="86">
        <v>0</v>
      </c>
      <c r="AP108" s="75" t="s">
        <v>710</v>
      </c>
      <c r="AQ108" s="75">
        <v>0</v>
      </c>
      <c r="AR108" s="75">
        <v>0</v>
      </c>
      <c r="AS108" s="75">
        <v>0</v>
      </c>
      <c r="AT108" s="75">
        <v>0</v>
      </c>
      <c r="AU108" s="70" t="s">
        <v>883</v>
      </c>
      <c r="AV108" s="76">
        <v>0</v>
      </c>
      <c r="AW108" s="86">
        <v>0</v>
      </c>
      <c r="AX108" s="76">
        <v>0</v>
      </c>
      <c r="AY108" s="75" t="s">
        <v>884</v>
      </c>
      <c r="AZ108" s="75">
        <v>0</v>
      </c>
      <c r="BA108" s="75">
        <v>0</v>
      </c>
      <c r="BB108" s="76">
        <v>0</v>
      </c>
      <c r="BC108" s="75">
        <v>0</v>
      </c>
      <c r="BD108" s="76">
        <v>0</v>
      </c>
      <c r="BE108" s="76">
        <v>0</v>
      </c>
      <c r="BF108" s="75" t="s">
        <v>885</v>
      </c>
      <c r="BG108" s="76">
        <v>0</v>
      </c>
      <c r="BH108" s="76">
        <v>0</v>
      </c>
      <c r="BI108" s="70" t="s">
        <v>141</v>
      </c>
      <c r="BJ108" s="75" t="s">
        <v>141</v>
      </c>
      <c r="BM108" s="62">
        <v>1</v>
      </c>
      <c r="BN108" s="62">
        <v>10</v>
      </c>
      <c r="BO108" s="62" t="e">
        <f>""&amp;BN108&amp;"#"&amp;BM108&amp;"*"&amp;BP108&amp;"*"&amp;BP108*0.1&amp;""</f>
        <v>#REF!</v>
      </c>
      <c r="BP108" s="62" t="e">
        <f>INT((#REF!/(CHOOSE(BM108,辅助!$C$5,辅助!$C$6,辅助!$C$7,辅助!$C$8,辅助!$C$9,辅助!$C$10,辅助!$C$11,辅助!$C$12,辅助!$C$13)))*10)*0.1</f>
        <v>#REF!</v>
      </c>
    </row>
    <row r="109" s="62" customFormat="1" ht="16.5" customHeight="1" spans="1:68">
      <c r="A109" s="163">
        <v>202</v>
      </c>
      <c r="B109" s="145">
        <v>1</v>
      </c>
      <c r="C109" s="71" t="s">
        <v>886</v>
      </c>
      <c r="D109" s="145">
        <v>0</v>
      </c>
      <c r="E109" s="145">
        <v>203</v>
      </c>
      <c r="F109" s="71">
        <f>F108+1</f>
        <v>36</v>
      </c>
      <c r="G109" s="71">
        <f t="shared" si="29"/>
        <v>56</v>
      </c>
      <c r="H109" s="109">
        <v>0</v>
      </c>
      <c r="I109" s="109">
        <v>0</v>
      </c>
      <c r="J109" s="109">
        <v>0</v>
      </c>
      <c r="K109" s="109">
        <v>0</v>
      </c>
      <c r="L109" s="109">
        <v>0</v>
      </c>
      <c r="M109" s="109">
        <v>0</v>
      </c>
      <c r="N109" s="145" t="s">
        <v>887</v>
      </c>
      <c r="O109" s="110" t="s">
        <v>137</v>
      </c>
      <c r="P109" s="110" t="s">
        <v>137</v>
      </c>
      <c r="Q109" s="110" t="s">
        <v>137</v>
      </c>
      <c r="R109" s="110" t="s">
        <v>137</v>
      </c>
      <c r="S109" s="110" t="s">
        <v>137</v>
      </c>
      <c r="T109" s="71">
        <v>0</v>
      </c>
      <c r="U109" s="64">
        <v>10</v>
      </c>
      <c r="V109" s="64"/>
      <c r="W109" s="71"/>
      <c r="X109" s="71"/>
      <c r="Y109" s="75" t="s">
        <v>141</v>
      </c>
      <c r="Z109" s="75">
        <v>0</v>
      </c>
      <c r="AA109" s="75">
        <f>辅助!E18</f>
        <v>26</v>
      </c>
      <c r="AB109" s="75">
        <f t="shared" si="30"/>
        <v>62</v>
      </c>
      <c r="AC109" s="75">
        <f t="shared" si="31"/>
        <v>77</v>
      </c>
      <c r="AD109" s="75">
        <v>250</v>
      </c>
      <c r="AE109" s="76">
        <v>4</v>
      </c>
      <c r="AF109" s="76">
        <v>15000</v>
      </c>
      <c r="AG109" s="76">
        <v>20000</v>
      </c>
      <c r="AH109" s="76">
        <v>10</v>
      </c>
      <c r="AI109" s="76">
        <f>出怪成长!D153</f>
        <v>0</v>
      </c>
      <c r="AJ109" s="85" t="s">
        <v>829</v>
      </c>
      <c r="AK109" s="76">
        <v>0</v>
      </c>
      <c r="AL109" s="76" t="s">
        <v>472</v>
      </c>
      <c r="AM109" s="85" t="s">
        <v>662</v>
      </c>
      <c r="AN109" s="75">
        <v>0</v>
      </c>
      <c r="AO109" s="86">
        <v>0</v>
      </c>
      <c r="AP109" s="75" t="s">
        <v>710</v>
      </c>
      <c r="AQ109" s="75">
        <v>0</v>
      </c>
      <c r="AR109" s="75">
        <v>0</v>
      </c>
      <c r="AS109" s="75">
        <v>0</v>
      </c>
      <c r="AT109" s="75">
        <v>0</v>
      </c>
      <c r="AU109" s="70" t="s">
        <v>888</v>
      </c>
      <c r="AV109" s="76">
        <v>0</v>
      </c>
      <c r="AW109" s="86">
        <v>0</v>
      </c>
      <c r="AX109" s="76">
        <v>0</v>
      </c>
      <c r="AY109" s="75" t="s">
        <v>884</v>
      </c>
      <c r="AZ109" s="75">
        <v>0</v>
      </c>
      <c r="BA109" s="75">
        <v>0</v>
      </c>
      <c r="BB109" s="76">
        <v>0</v>
      </c>
      <c r="BC109" s="75">
        <v>0</v>
      </c>
      <c r="BD109" s="76">
        <v>0</v>
      </c>
      <c r="BE109" s="76">
        <v>0</v>
      </c>
      <c r="BF109" s="75" t="s">
        <v>889</v>
      </c>
      <c r="BG109" s="76">
        <v>0</v>
      </c>
      <c r="BH109" s="76">
        <v>0</v>
      </c>
      <c r="BI109" s="70" t="s">
        <v>141</v>
      </c>
      <c r="BJ109" s="75" t="s">
        <v>141</v>
      </c>
      <c r="BM109" s="62">
        <v>4</v>
      </c>
      <c r="BN109" s="62">
        <v>15</v>
      </c>
    </row>
    <row r="110" s="62" customFormat="1" ht="16.5" customHeight="1" spans="1:68">
      <c r="A110" s="163">
        <v>203</v>
      </c>
      <c r="B110" s="145">
        <v>1</v>
      </c>
      <c r="C110" s="71" t="s">
        <v>890</v>
      </c>
      <c r="D110" s="145">
        <v>0</v>
      </c>
      <c r="E110" s="145">
        <v>204</v>
      </c>
      <c r="F110" s="71">
        <v>36</v>
      </c>
      <c r="G110" s="71">
        <f t="shared" si="29"/>
        <v>56</v>
      </c>
      <c r="H110" s="109">
        <v>0</v>
      </c>
      <c r="I110" s="109">
        <v>0</v>
      </c>
      <c r="J110" s="109">
        <v>0</v>
      </c>
      <c r="K110" s="109">
        <v>0</v>
      </c>
      <c r="L110" s="109">
        <v>0</v>
      </c>
      <c r="M110" s="109">
        <v>0</v>
      </c>
      <c r="N110" s="145" t="s">
        <v>891</v>
      </c>
      <c r="O110" s="110" t="s">
        <v>137</v>
      </c>
      <c r="P110" s="110" t="s">
        <v>137</v>
      </c>
      <c r="Q110" s="110" t="s">
        <v>137</v>
      </c>
      <c r="R110" s="110" t="s">
        <v>137</v>
      </c>
      <c r="S110" s="110" t="s">
        <v>137</v>
      </c>
      <c r="T110" s="71">
        <v>0</v>
      </c>
      <c r="U110" s="64">
        <v>10</v>
      </c>
      <c r="V110" s="64"/>
      <c r="W110" s="71"/>
      <c r="X110" s="71"/>
      <c r="Y110" s="75" t="s">
        <v>141</v>
      </c>
      <c r="Z110" s="75">
        <v>0</v>
      </c>
      <c r="AA110" s="75">
        <f>辅助!E19</f>
        <v>27</v>
      </c>
      <c r="AB110" s="75">
        <f t="shared" si="30"/>
        <v>63</v>
      </c>
      <c r="AC110" s="75">
        <f t="shared" si="31"/>
        <v>78</v>
      </c>
      <c r="AD110" s="75">
        <v>250</v>
      </c>
      <c r="AE110" s="76">
        <v>6</v>
      </c>
      <c r="AF110" s="76">
        <v>15000</v>
      </c>
      <c r="AG110" s="76">
        <v>20000</v>
      </c>
      <c r="AH110" s="76">
        <v>10</v>
      </c>
      <c r="AI110" s="76">
        <f>出怪成长!D154</f>
        <v>0</v>
      </c>
      <c r="AJ110" s="85" t="s">
        <v>829</v>
      </c>
      <c r="AK110" s="76">
        <v>0</v>
      </c>
      <c r="AL110" s="76" t="s">
        <v>472</v>
      </c>
      <c r="AM110" s="85" t="s">
        <v>662</v>
      </c>
      <c r="AN110" s="75">
        <v>0</v>
      </c>
      <c r="AO110" s="86">
        <v>0</v>
      </c>
      <c r="AP110" s="75" t="s">
        <v>710</v>
      </c>
      <c r="AQ110" s="75">
        <v>0</v>
      </c>
      <c r="AR110" s="75">
        <v>0</v>
      </c>
      <c r="AS110" s="75">
        <v>0</v>
      </c>
      <c r="AT110" s="75">
        <v>0</v>
      </c>
      <c r="AU110" s="70" t="s">
        <v>892</v>
      </c>
      <c r="AV110" s="76">
        <v>0</v>
      </c>
      <c r="AW110" s="86">
        <v>0</v>
      </c>
      <c r="AX110" s="76">
        <v>0</v>
      </c>
      <c r="AY110" s="75" t="s">
        <v>884</v>
      </c>
      <c r="AZ110" s="75">
        <v>0</v>
      </c>
      <c r="BA110" s="75">
        <v>0</v>
      </c>
      <c r="BB110" s="76">
        <v>0</v>
      </c>
      <c r="BC110" s="75">
        <v>0</v>
      </c>
      <c r="BD110" s="76">
        <v>0</v>
      </c>
      <c r="BE110" s="76">
        <v>0</v>
      </c>
      <c r="BF110" s="75" t="s">
        <v>893</v>
      </c>
      <c r="BG110" s="76">
        <v>0</v>
      </c>
      <c r="BH110" s="76">
        <v>0</v>
      </c>
      <c r="BI110" s="70" t="s">
        <v>141</v>
      </c>
      <c r="BJ110" s="75" t="s">
        <v>141</v>
      </c>
      <c r="BM110" s="62">
        <v>7</v>
      </c>
      <c r="BN110" s="62">
        <v>20</v>
      </c>
    </row>
    <row r="111" s="63" customFormat="1" ht="16.5" customHeight="1" spans="1:68">
      <c r="A111" s="154">
        <v>301</v>
      </c>
      <c r="B111" s="64">
        <v>2</v>
      </c>
      <c r="C111" s="71" t="s">
        <v>894</v>
      </c>
      <c r="D111" s="64">
        <v>0</v>
      </c>
      <c r="E111" s="64">
        <v>302</v>
      </c>
      <c r="F111" s="71">
        <f>F110+1</f>
        <v>37</v>
      </c>
      <c r="G111" s="71">
        <f t="shared" si="29"/>
        <v>57</v>
      </c>
      <c r="H111" s="109">
        <v>0</v>
      </c>
      <c r="I111" s="109">
        <v>0</v>
      </c>
      <c r="J111" s="109">
        <v>0</v>
      </c>
      <c r="K111" s="109">
        <v>0</v>
      </c>
      <c r="L111" s="109">
        <v>0</v>
      </c>
      <c r="M111" s="109">
        <v>0</v>
      </c>
      <c r="N111" s="64" t="s">
        <v>882</v>
      </c>
      <c r="O111" s="110" t="s">
        <v>137</v>
      </c>
      <c r="P111" s="110" t="s">
        <v>137</v>
      </c>
      <c r="Q111" s="110" t="s">
        <v>137</v>
      </c>
      <c r="R111" s="110" t="s">
        <v>137</v>
      </c>
      <c r="S111" s="110" t="s">
        <v>137</v>
      </c>
      <c r="T111" s="71">
        <v>0</v>
      </c>
      <c r="U111" s="64">
        <v>10</v>
      </c>
      <c r="V111" s="64"/>
      <c r="W111" s="71"/>
      <c r="X111" s="71"/>
      <c r="Y111" s="75" t="s">
        <v>141</v>
      </c>
      <c r="Z111" s="75">
        <v>0</v>
      </c>
      <c r="AA111" s="75">
        <f>辅助!E20</f>
        <v>28</v>
      </c>
      <c r="AB111" s="75">
        <f t="shared" si="30"/>
        <v>65</v>
      </c>
      <c r="AC111" s="75">
        <f t="shared" si="31"/>
        <v>80</v>
      </c>
      <c r="AD111" s="75">
        <v>250</v>
      </c>
      <c r="AE111" s="76">
        <v>2</v>
      </c>
      <c r="AF111" s="76">
        <v>15000</v>
      </c>
      <c r="AG111" s="76">
        <v>20000</v>
      </c>
      <c r="AH111" s="76">
        <v>10</v>
      </c>
      <c r="AI111" s="76">
        <f>出怪成长!D155</f>
        <v>0</v>
      </c>
      <c r="AJ111" s="85" t="s">
        <v>829</v>
      </c>
      <c r="AK111" s="76">
        <v>0</v>
      </c>
      <c r="AL111" s="76" t="s">
        <v>472</v>
      </c>
      <c r="AM111" s="85" t="s">
        <v>662</v>
      </c>
      <c r="AN111" s="75">
        <v>0</v>
      </c>
      <c r="AO111" s="86">
        <v>0</v>
      </c>
      <c r="AP111" s="75" t="s">
        <v>710</v>
      </c>
      <c r="AQ111" s="75">
        <v>0</v>
      </c>
      <c r="AR111" s="75">
        <v>0</v>
      </c>
      <c r="AS111" s="75">
        <v>0</v>
      </c>
      <c r="AT111" s="75">
        <v>0</v>
      </c>
      <c r="AU111" s="70" t="s">
        <v>895</v>
      </c>
      <c r="AV111" s="76">
        <v>0</v>
      </c>
      <c r="AW111" s="86">
        <v>0</v>
      </c>
      <c r="AX111" s="76">
        <v>0</v>
      </c>
      <c r="AY111" s="75" t="s">
        <v>641</v>
      </c>
      <c r="AZ111" s="75">
        <v>0</v>
      </c>
      <c r="BA111" s="75">
        <v>0</v>
      </c>
      <c r="BB111" s="76">
        <v>0</v>
      </c>
      <c r="BC111" s="75">
        <v>0</v>
      </c>
      <c r="BD111" s="76">
        <v>0</v>
      </c>
      <c r="BE111" s="76">
        <v>0</v>
      </c>
      <c r="BF111" s="75" t="s">
        <v>885</v>
      </c>
      <c r="BG111" s="76">
        <v>0</v>
      </c>
      <c r="BH111" s="76">
        <v>0</v>
      </c>
      <c r="BI111" s="70" t="s">
        <v>141</v>
      </c>
      <c r="BJ111" s="75" t="s">
        <v>141</v>
      </c>
      <c r="BM111" s="62">
        <v>1</v>
      </c>
      <c r="BN111" s="62">
        <v>10</v>
      </c>
      <c r="BO111" s="62"/>
    </row>
    <row r="112" s="63" customFormat="1" ht="16.5" customHeight="1" spans="1:68">
      <c r="A112" s="154">
        <v>302</v>
      </c>
      <c r="B112" s="64">
        <v>2</v>
      </c>
      <c r="C112" s="71" t="s">
        <v>896</v>
      </c>
      <c r="D112" s="64">
        <v>0</v>
      </c>
      <c r="E112" s="64">
        <v>303</v>
      </c>
      <c r="F112" s="71">
        <v>37</v>
      </c>
      <c r="G112" s="71">
        <f t="shared" si="29"/>
        <v>57</v>
      </c>
      <c r="H112" s="109">
        <v>0</v>
      </c>
      <c r="I112" s="109">
        <v>0</v>
      </c>
      <c r="J112" s="109">
        <v>0</v>
      </c>
      <c r="K112" s="109">
        <v>0</v>
      </c>
      <c r="L112" s="109">
        <v>0</v>
      </c>
      <c r="M112" s="109">
        <v>0</v>
      </c>
      <c r="N112" s="64" t="s">
        <v>887</v>
      </c>
      <c r="O112" s="110" t="s">
        <v>137</v>
      </c>
      <c r="P112" s="110" t="s">
        <v>137</v>
      </c>
      <c r="Q112" s="110" t="s">
        <v>137</v>
      </c>
      <c r="R112" s="110" t="s">
        <v>137</v>
      </c>
      <c r="S112" s="110" t="s">
        <v>137</v>
      </c>
      <c r="T112" s="71">
        <v>0</v>
      </c>
      <c r="U112" s="64">
        <v>10</v>
      </c>
      <c r="V112" s="64"/>
      <c r="W112" s="71"/>
      <c r="X112" s="71"/>
      <c r="Y112" s="75" t="s">
        <v>141</v>
      </c>
      <c r="Z112" s="75">
        <v>0</v>
      </c>
      <c r="AA112" s="75">
        <f>辅助!E21</f>
        <v>29</v>
      </c>
      <c r="AB112" s="75">
        <f t="shared" si="30"/>
        <v>66</v>
      </c>
      <c r="AC112" s="75">
        <f t="shared" si="31"/>
        <v>81</v>
      </c>
      <c r="AD112" s="75">
        <v>250</v>
      </c>
      <c r="AE112" s="76">
        <v>4</v>
      </c>
      <c r="AF112" s="76">
        <v>15000</v>
      </c>
      <c r="AG112" s="76">
        <v>20000</v>
      </c>
      <c r="AH112" s="76">
        <v>10</v>
      </c>
      <c r="AI112" s="76">
        <f>出怪成长!D156</f>
        <v>0</v>
      </c>
      <c r="AJ112" s="85" t="s">
        <v>829</v>
      </c>
      <c r="AK112" s="76">
        <v>0</v>
      </c>
      <c r="AL112" s="76" t="s">
        <v>472</v>
      </c>
      <c r="AM112" s="85" t="s">
        <v>662</v>
      </c>
      <c r="AN112" s="75">
        <v>0</v>
      </c>
      <c r="AO112" s="86">
        <v>0</v>
      </c>
      <c r="AP112" s="75" t="s">
        <v>710</v>
      </c>
      <c r="AQ112" s="75">
        <v>0</v>
      </c>
      <c r="AR112" s="75">
        <v>0</v>
      </c>
      <c r="AS112" s="75">
        <v>0</v>
      </c>
      <c r="AT112" s="75">
        <v>0</v>
      </c>
      <c r="AU112" s="70" t="s">
        <v>897</v>
      </c>
      <c r="AV112" s="76">
        <v>0</v>
      </c>
      <c r="AW112" s="86">
        <v>0</v>
      </c>
      <c r="AX112" s="76">
        <v>0</v>
      </c>
      <c r="AY112" s="75" t="s">
        <v>641</v>
      </c>
      <c r="AZ112" s="75">
        <v>0</v>
      </c>
      <c r="BA112" s="75">
        <v>0</v>
      </c>
      <c r="BB112" s="76">
        <v>0</v>
      </c>
      <c r="BC112" s="75">
        <v>0</v>
      </c>
      <c r="BD112" s="76">
        <v>0</v>
      </c>
      <c r="BE112" s="76">
        <v>0</v>
      </c>
      <c r="BF112" s="75" t="s">
        <v>889</v>
      </c>
      <c r="BG112" s="76">
        <v>0</v>
      </c>
      <c r="BH112" s="76">
        <v>0</v>
      </c>
      <c r="BI112" s="70" t="s">
        <v>141</v>
      </c>
      <c r="BJ112" s="75" t="s">
        <v>141</v>
      </c>
      <c r="BM112" s="62">
        <v>4</v>
      </c>
      <c r="BN112" s="62">
        <v>15</v>
      </c>
      <c r="BO112" s="62"/>
    </row>
    <row r="113" s="63" customFormat="1" ht="16.5" customHeight="1" spans="1:70">
      <c r="A113" s="154">
        <v>303</v>
      </c>
      <c r="B113" s="64">
        <v>2</v>
      </c>
      <c r="C113" s="71" t="s">
        <v>898</v>
      </c>
      <c r="D113" s="64">
        <v>0</v>
      </c>
      <c r="E113" s="64">
        <v>304</v>
      </c>
      <c r="F113" s="71">
        <f>F112+1</f>
        <v>38</v>
      </c>
      <c r="G113" s="71">
        <f t="shared" si="29"/>
        <v>58</v>
      </c>
      <c r="H113" s="109">
        <v>0</v>
      </c>
      <c r="I113" s="109">
        <v>0</v>
      </c>
      <c r="J113" s="109">
        <v>0</v>
      </c>
      <c r="K113" s="109">
        <v>0</v>
      </c>
      <c r="L113" s="109">
        <v>0</v>
      </c>
      <c r="M113" s="109">
        <v>0</v>
      </c>
      <c r="N113" s="64" t="s">
        <v>891</v>
      </c>
      <c r="O113" s="110" t="s">
        <v>137</v>
      </c>
      <c r="P113" s="110" t="s">
        <v>137</v>
      </c>
      <c r="Q113" s="110" t="s">
        <v>137</v>
      </c>
      <c r="R113" s="110" t="s">
        <v>137</v>
      </c>
      <c r="S113" s="110" t="s">
        <v>137</v>
      </c>
      <c r="T113" s="71">
        <v>0</v>
      </c>
      <c r="U113" s="64">
        <v>10</v>
      </c>
      <c r="V113" s="64"/>
      <c r="W113" s="71"/>
      <c r="X113" s="71"/>
      <c r="Y113" s="75" t="s">
        <v>141</v>
      </c>
      <c r="Z113" s="75">
        <v>0</v>
      </c>
      <c r="AA113" s="75">
        <f>辅助!E22</f>
        <v>30</v>
      </c>
      <c r="AB113" s="75">
        <f t="shared" si="30"/>
        <v>68</v>
      </c>
      <c r="AC113" s="75">
        <f t="shared" si="31"/>
        <v>83</v>
      </c>
      <c r="AD113" s="75">
        <v>250</v>
      </c>
      <c r="AE113" s="76">
        <v>6</v>
      </c>
      <c r="AF113" s="76">
        <v>15000</v>
      </c>
      <c r="AG113" s="76">
        <v>20000</v>
      </c>
      <c r="AH113" s="76">
        <v>10</v>
      </c>
      <c r="AI113" s="76">
        <f>出怪成长!D157</f>
        <v>0</v>
      </c>
      <c r="AJ113" s="85" t="s">
        <v>829</v>
      </c>
      <c r="AK113" s="76">
        <v>0</v>
      </c>
      <c r="AL113" s="76" t="s">
        <v>472</v>
      </c>
      <c r="AM113" s="85" t="s">
        <v>662</v>
      </c>
      <c r="AN113" s="75">
        <v>0</v>
      </c>
      <c r="AO113" s="86">
        <v>0</v>
      </c>
      <c r="AP113" s="75" t="s">
        <v>710</v>
      </c>
      <c r="AQ113" s="75">
        <v>0</v>
      </c>
      <c r="AR113" s="75">
        <v>0</v>
      </c>
      <c r="AS113" s="75">
        <v>0</v>
      </c>
      <c r="AT113" s="75">
        <v>0</v>
      </c>
      <c r="AU113" s="70" t="s">
        <v>899</v>
      </c>
      <c r="AV113" s="76">
        <v>0</v>
      </c>
      <c r="AW113" s="86">
        <v>0</v>
      </c>
      <c r="AX113" s="76">
        <v>0</v>
      </c>
      <c r="AY113" s="75" t="s">
        <v>641</v>
      </c>
      <c r="AZ113" s="75">
        <v>0</v>
      </c>
      <c r="BA113" s="75">
        <v>0</v>
      </c>
      <c r="BB113" s="76">
        <v>0</v>
      </c>
      <c r="BC113" s="75">
        <v>0</v>
      </c>
      <c r="BD113" s="76">
        <v>0</v>
      </c>
      <c r="BE113" s="76">
        <v>0</v>
      </c>
      <c r="BF113" s="75" t="s">
        <v>893</v>
      </c>
      <c r="BG113" s="76">
        <v>0</v>
      </c>
      <c r="BH113" s="76">
        <v>0</v>
      </c>
      <c r="BI113" s="70" t="s">
        <v>141</v>
      </c>
      <c r="BJ113" s="75" t="s">
        <v>141</v>
      </c>
      <c r="BM113" s="62">
        <v>7</v>
      </c>
      <c r="BN113" s="62">
        <v>20</v>
      </c>
      <c r="BO113" s="62"/>
    </row>
    <row r="114" s="64" customFormat="1" spans="1:70">
      <c r="A114" s="154">
        <v>999</v>
      </c>
      <c r="B114" s="64">
        <v>8</v>
      </c>
      <c r="C114" s="71" t="s">
        <v>900</v>
      </c>
      <c r="D114" s="64">
        <v>0</v>
      </c>
      <c r="E114" s="64">
        <v>0</v>
      </c>
      <c r="F114" s="71">
        <v>38</v>
      </c>
      <c r="G114" s="71">
        <f t="shared" si="29"/>
        <v>58</v>
      </c>
      <c r="H114" s="109">
        <v>0</v>
      </c>
      <c r="I114" s="109">
        <v>0</v>
      </c>
      <c r="J114" s="109">
        <v>0</v>
      </c>
      <c r="K114" s="109">
        <v>0</v>
      </c>
      <c r="L114" s="109">
        <v>0</v>
      </c>
      <c r="M114" s="109">
        <v>0</v>
      </c>
      <c r="N114" s="64">
        <v>0</v>
      </c>
      <c r="O114" s="110" t="s">
        <v>137</v>
      </c>
      <c r="P114" s="110" t="s">
        <v>137</v>
      </c>
      <c r="Q114" s="110" t="s">
        <v>137</v>
      </c>
      <c r="R114" s="110" t="s">
        <v>137</v>
      </c>
      <c r="S114" s="110" t="s">
        <v>137</v>
      </c>
      <c r="T114" s="71">
        <v>0</v>
      </c>
      <c r="U114" s="64">
        <v>10</v>
      </c>
      <c r="W114" s="71"/>
      <c r="X114" s="71"/>
      <c r="Y114" s="75" t="s">
        <v>141</v>
      </c>
      <c r="Z114" s="75">
        <v>0</v>
      </c>
      <c r="AA114" s="75">
        <v>0</v>
      </c>
      <c r="AB114" s="75">
        <f t="shared" si="30"/>
        <v>38</v>
      </c>
      <c r="AC114" s="75">
        <f t="shared" si="31"/>
        <v>53</v>
      </c>
      <c r="AD114" s="75">
        <v>250</v>
      </c>
      <c r="AE114" s="75">
        <v>0</v>
      </c>
      <c r="AF114" s="76">
        <v>15000</v>
      </c>
      <c r="AG114" s="76">
        <v>20000</v>
      </c>
      <c r="AH114" s="76">
        <v>10</v>
      </c>
      <c r="AI114" s="76">
        <f>出怪成长!D158</f>
        <v>0</v>
      </c>
      <c r="AJ114" s="85" t="s">
        <v>829</v>
      </c>
      <c r="AK114" s="75">
        <v>0</v>
      </c>
      <c r="AL114" s="76" t="s">
        <v>472</v>
      </c>
      <c r="AM114" s="85" t="s">
        <v>662</v>
      </c>
      <c r="AN114" s="75">
        <v>0</v>
      </c>
      <c r="AO114" s="75">
        <v>0</v>
      </c>
      <c r="AP114" s="75" t="s">
        <v>710</v>
      </c>
      <c r="AQ114" s="75">
        <v>0</v>
      </c>
      <c r="AR114" s="75">
        <v>0</v>
      </c>
      <c r="AS114" s="75">
        <v>0</v>
      </c>
      <c r="AT114" s="75">
        <v>0</v>
      </c>
      <c r="AU114" s="70" t="s">
        <v>901</v>
      </c>
      <c r="AV114" s="75">
        <v>0</v>
      </c>
      <c r="AW114" s="75">
        <v>0</v>
      </c>
      <c r="AX114" s="75">
        <v>0</v>
      </c>
      <c r="AY114" s="75">
        <v>0</v>
      </c>
      <c r="AZ114" s="75">
        <v>0</v>
      </c>
      <c r="BA114" s="75">
        <v>0</v>
      </c>
      <c r="BB114" s="75">
        <v>0</v>
      </c>
      <c r="BC114" s="75">
        <v>0</v>
      </c>
      <c r="BD114" s="75">
        <v>0</v>
      </c>
      <c r="BE114" s="75">
        <v>0</v>
      </c>
      <c r="BF114" s="75">
        <v>0</v>
      </c>
      <c r="BG114" s="76">
        <v>0</v>
      </c>
      <c r="BH114" s="75">
        <v>0</v>
      </c>
      <c r="BI114" s="70" t="s">
        <v>141</v>
      </c>
      <c r="BJ114" s="75" t="s">
        <v>666</v>
      </c>
      <c r="BR114" s="53"/>
    </row>
    <row r="115" s="55" customFormat="1" ht="16.5" customHeight="1" spans="1:70">
      <c r="A115" s="164">
        <v>901</v>
      </c>
      <c r="B115" s="146">
        <v>7</v>
      </c>
      <c r="C115" s="71" t="s">
        <v>902</v>
      </c>
      <c r="D115" s="147" t="s">
        <v>137</v>
      </c>
      <c r="E115" s="148">
        <v>0</v>
      </c>
      <c r="F115" s="71">
        <f>F114+1</f>
        <v>39</v>
      </c>
      <c r="G115" s="71">
        <f t="shared" si="29"/>
        <v>59</v>
      </c>
      <c r="H115" s="109">
        <v>0</v>
      </c>
      <c r="I115" s="109">
        <v>0</v>
      </c>
      <c r="J115" s="109">
        <v>0</v>
      </c>
      <c r="K115" s="109">
        <v>0</v>
      </c>
      <c r="L115" s="109">
        <v>0</v>
      </c>
      <c r="M115" s="109">
        <v>0</v>
      </c>
      <c r="N115" s="149">
        <v>0</v>
      </c>
      <c r="O115" s="110" t="s">
        <v>137</v>
      </c>
      <c r="P115" s="110" t="s">
        <v>137</v>
      </c>
      <c r="Q115" s="110" t="s">
        <v>137</v>
      </c>
      <c r="R115" s="110" t="s">
        <v>137</v>
      </c>
      <c r="S115" s="110" t="s">
        <v>137</v>
      </c>
      <c r="T115" s="71">
        <v>0</v>
      </c>
      <c r="U115" s="64">
        <v>10</v>
      </c>
      <c r="V115" s="64"/>
      <c r="W115" s="71"/>
      <c r="X115" s="71"/>
      <c r="Y115" s="70" t="s">
        <v>141</v>
      </c>
      <c r="Z115" s="75">
        <v>0</v>
      </c>
      <c r="AA115" s="75">
        <v>0</v>
      </c>
      <c r="AB115" s="75">
        <f t="shared" si="30"/>
        <v>39</v>
      </c>
      <c r="AC115" s="75">
        <f t="shared" si="31"/>
        <v>54</v>
      </c>
      <c r="AD115" s="75">
        <v>250</v>
      </c>
      <c r="AE115" s="76">
        <v>0</v>
      </c>
      <c r="AF115" s="76">
        <v>15000</v>
      </c>
      <c r="AG115" s="76">
        <v>20000</v>
      </c>
      <c r="AH115" s="76">
        <v>10</v>
      </c>
      <c r="AI115" s="76">
        <f>出怪成长!D159</f>
        <v>0</v>
      </c>
      <c r="AJ115" s="85" t="s">
        <v>829</v>
      </c>
      <c r="AK115" s="76">
        <v>0</v>
      </c>
      <c r="AL115" s="76" t="s">
        <v>472</v>
      </c>
      <c r="AM115" s="85" t="s">
        <v>662</v>
      </c>
      <c r="AN115" s="75">
        <v>0</v>
      </c>
      <c r="AO115" s="68">
        <v>0</v>
      </c>
      <c r="AP115" s="75" t="s">
        <v>710</v>
      </c>
      <c r="AQ115" s="75">
        <v>0</v>
      </c>
      <c r="AR115" s="75" t="s">
        <v>28</v>
      </c>
      <c r="AS115" s="75">
        <v>0</v>
      </c>
      <c r="AT115" s="75">
        <v>0</v>
      </c>
      <c r="AU115" s="70" t="s">
        <v>903</v>
      </c>
      <c r="AV115" s="68">
        <v>0</v>
      </c>
      <c r="AW115" s="68">
        <v>0</v>
      </c>
      <c r="AX115" s="68">
        <v>0</v>
      </c>
      <c r="AY115" s="68">
        <v>0</v>
      </c>
      <c r="AZ115" s="75">
        <v>0</v>
      </c>
      <c r="BA115" s="75">
        <v>0</v>
      </c>
      <c r="BB115" s="76">
        <v>1</v>
      </c>
      <c r="BC115" s="76">
        <v>0</v>
      </c>
      <c r="BD115" s="76">
        <v>1</v>
      </c>
      <c r="BE115" s="76">
        <v>0</v>
      </c>
      <c r="BF115" s="75">
        <v>0</v>
      </c>
      <c r="BG115" s="76">
        <v>0</v>
      </c>
      <c r="BH115" s="75">
        <v>0</v>
      </c>
      <c r="BI115" s="70" t="s">
        <v>141</v>
      </c>
      <c r="BJ115" s="75" t="s">
        <v>141</v>
      </c>
    </row>
    <row r="116" s="55" customFormat="1" ht="16.5" customHeight="1" spans="1:70">
      <c r="A116" s="164">
        <v>902</v>
      </c>
      <c r="B116" s="146">
        <v>7</v>
      </c>
      <c r="C116" s="71" t="s">
        <v>902</v>
      </c>
      <c r="D116" s="147" t="s">
        <v>137</v>
      </c>
      <c r="E116" s="148">
        <v>0</v>
      </c>
      <c r="F116" s="71">
        <v>39</v>
      </c>
      <c r="G116" s="71">
        <f t="shared" si="29"/>
        <v>59</v>
      </c>
      <c r="H116" s="109">
        <v>0</v>
      </c>
      <c r="I116" s="109">
        <v>0</v>
      </c>
      <c r="J116" s="109">
        <v>0</v>
      </c>
      <c r="K116" s="109">
        <v>0</v>
      </c>
      <c r="L116" s="109">
        <v>0</v>
      </c>
      <c r="M116" s="109">
        <v>0</v>
      </c>
      <c r="N116" s="149">
        <v>0</v>
      </c>
      <c r="O116" s="110" t="s">
        <v>137</v>
      </c>
      <c r="P116" s="110" t="s">
        <v>137</v>
      </c>
      <c r="Q116" s="110" t="s">
        <v>137</v>
      </c>
      <c r="R116" s="110" t="s">
        <v>137</v>
      </c>
      <c r="S116" s="110" t="s">
        <v>137</v>
      </c>
      <c r="T116" s="71">
        <v>0</v>
      </c>
      <c r="U116" s="64">
        <v>10</v>
      </c>
      <c r="V116" s="64"/>
      <c r="W116" s="71"/>
      <c r="X116" s="71"/>
      <c r="Y116" s="70" t="s">
        <v>141</v>
      </c>
      <c r="Z116" s="75">
        <v>0</v>
      </c>
      <c r="AA116" s="75">
        <v>0</v>
      </c>
      <c r="AB116" s="75">
        <f t="shared" si="30"/>
        <v>39</v>
      </c>
      <c r="AC116" s="75">
        <f t="shared" si="31"/>
        <v>54</v>
      </c>
      <c r="AD116" s="75">
        <v>250</v>
      </c>
      <c r="AE116" s="76">
        <v>0</v>
      </c>
      <c r="AF116" s="76">
        <v>15000</v>
      </c>
      <c r="AG116" s="76">
        <v>20000</v>
      </c>
      <c r="AH116" s="76">
        <v>10</v>
      </c>
      <c r="AI116" s="76">
        <f>出怪成长!D160</f>
        <v>0</v>
      </c>
      <c r="AJ116" s="85" t="s">
        <v>829</v>
      </c>
      <c r="AK116" s="76">
        <v>0</v>
      </c>
      <c r="AL116" s="76" t="s">
        <v>472</v>
      </c>
      <c r="AM116" s="85" t="s">
        <v>662</v>
      </c>
      <c r="AN116" s="75">
        <v>0</v>
      </c>
      <c r="AO116" s="68">
        <v>0</v>
      </c>
      <c r="AP116" s="75" t="s">
        <v>710</v>
      </c>
      <c r="AQ116" s="75">
        <v>0</v>
      </c>
      <c r="AR116" s="75" t="s">
        <v>904</v>
      </c>
      <c r="AS116" s="75">
        <v>0</v>
      </c>
      <c r="AT116" s="75">
        <v>0</v>
      </c>
      <c r="AU116" s="70" t="s">
        <v>905</v>
      </c>
      <c r="AV116" s="68">
        <v>0</v>
      </c>
      <c r="AW116" s="68">
        <v>0</v>
      </c>
      <c r="AX116" s="68">
        <v>0</v>
      </c>
      <c r="AY116" s="68">
        <v>0</v>
      </c>
      <c r="AZ116" s="75">
        <v>0</v>
      </c>
      <c r="BA116" s="75">
        <v>0</v>
      </c>
      <c r="BB116" s="76">
        <v>2</v>
      </c>
      <c r="BC116" s="76">
        <v>0</v>
      </c>
      <c r="BD116" s="76">
        <v>2</v>
      </c>
      <c r="BE116" s="76">
        <v>0</v>
      </c>
      <c r="BF116" s="75">
        <v>0</v>
      </c>
      <c r="BG116" s="76">
        <v>0</v>
      </c>
      <c r="BH116" s="75">
        <v>0</v>
      </c>
      <c r="BI116" s="70" t="s">
        <v>141</v>
      </c>
      <c r="BJ116" s="75" t="s">
        <v>141</v>
      </c>
    </row>
    <row r="117" s="55" customFormat="1" ht="16.5" customHeight="1" spans="1:70">
      <c r="A117" s="164">
        <v>903</v>
      </c>
      <c r="B117" s="146">
        <v>7</v>
      </c>
      <c r="C117" s="71" t="s">
        <v>902</v>
      </c>
      <c r="D117" s="147" t="s">
        <v>137</v>
      </c>
      <c r="E117" s="148">
        <v>0</v>
      </c>
      <c r="F117" s="71">
        <f>F116+1</f>
        <v>40</v>
      </c>
      <c r="G117" s="71">
        <f t="shared" si="29"/>
        <v>60</v>
      </c>
      <c r="H117" s="109">
        <v>0</v>
      </c>
      <c r="I117" s="109">
        <v>0</v>
      </c>
      <c r="J117" s="109">
        <v>0</v>
      </c>
      <c r="K117" s="109">
        <v>0</v>
      </c>
      <c r="L117" s="109">
        <v>0</v>
      </c>
      <c r="M117" s="109">
        <v>0</v>
      </c>
      <c r="N117" s="149">
        <v>0</v>
      </c>
      <c r="O117" s="110" t="s">
        <v>137</v>
      </c>
      <c r="P117" s="110" t="s">
        <v>137</v>
      </c>
      <c r="Q117" s="110" t="s">
        <v>137</v>
      </c>
      <c r="R117" s="110" t="s">
        <v>137</v>
      </c>
      <c r="S117" s="110" t="s">
        <v>137</v>
      </c>
      <c r="T117" s="71">
        <v>0</v>
      </c>
      <c r="U117" s="64">
        <v>10</v>
      </c>
      <c r="V117" s="64"/>
      <c r="W117" s="71"/>
      <c r="X117" s="71"/>
      <c r="Y117" s="70" t="s">
        <v>141</v>
      </c>
      <c r="Z117" s="75">
        <v>0</v>
      </c>
      <c r="AA117" s="75">
        <v>0</v>
      </c>
      <c r="AB117" s="75">
        <f t="shared" si="30"/>
        <v>40</v>
      </c>
      <c r="AC117" s="75">
        <f t="shared" si="31"/>
        <v>55</v>
      </c>
      <c r="AD117" s="75">
        <v>250</v>
      </c>
      <c r="AE117" s="76">
        <v>0</v>
      </c>
      <c r="AF117" s="76">
        <v>15000</v>
      </c>
      <c r="AG117" s="76">
        <v>20000</v>
      </c>
      <c r="AH117" s="76">
        <v>10</v>
      </c>
      <c r="AI117" s="76">
        <f>出怪成长!D161</f>
        <v>0</v>
      </c>
      <c r="AJ117" s="85" t="s">
        <v>829</v>
      </c>
      <c r="AK117" s="76">
        <v>0</v>
      </c>
      <c r="AL117" s="76" t="s">
        <v>472</v>
      </c>
      <c r="AM117" s="85" t="s">
        <v>662</v>
      </c>
      <c r="AN117" s="75">
        <v>0</v>
      </c>
      <c r="AO117" s="68">
        <v>0</v>
      </c>
      <c r="AP117" s="75" t="s">
        <v>710</v>
      </c>
      <c r="AQ117" s="75">
        <v>0</v>
      </c>
      <c r="AR117" s="75" t="s">
        <v>906</v>
      </c>
      <c r="AS117" s="75">
        <v>0</v>
      </c>
      <c r="AT117" s="75">
        <v>0</v>
      </c>
      <c r="AU117" s="70" t="s">
        <v>907</v>
      </c>
      <c r="AV117" s="68">
        <v>0</v>
      </c>
      <c r="AW117" s="68">
        <v>0</v>
      </c>
      <c r="AX117" s="68">
        <v>0</v>
      </c>
      <c r="AY117" s="68">
        <v>0</v>
      </c>
      <c r="AZ117" s="75">
        <v>0</v>
      </c>
      <c r="BA117" s="75">
        <v>0</v>
      </c>
      <c r="BB117" s="76">
        <v>3</v>
      </c>
      <c r="BC117" s="76">
        <v>0</v>
      </c>
      <c r="BD117" s="76">
        <v>3</v>
      </c>
      <c r="BE117" s="76">
        <v>0</v>
      </c>
      <c r="BF117" s="75">
        <v>0</v>
      </c>
      <c r="BG117" s="76">
        <v>0</v>
      </c>
      <c r="BH117" s="75">
        <v>0</v>
      </c>
      <c r="BI117" s="70" t="s">
        <v>141</v>
      </c>
      <c r="BJ117" s="75" t="s">
        <v>141</v>
      </c>
    </row>
    <row r="118" s="65" customFormat="1" ht="16.5" customHeight="1" spans="1:70">
      <c r="A118" s="165">
        <v>931</v>
      </c>
      <c r="B118" s="146">
        <v>8</v>
      </c>
      <c r="C118" s="71" t="s">
        <v>908</v>
      </c>
      <c r="D118" s="151" t="s">
        <v>137</v>
      </c>
      <c r="E118" s="152">
        <v>0</v>
      </c>
      <c r="F118" s="71">
        <v>40</v>
      </c>
      <c r="G118" s="71">
        <f t="shared" si="29"/>
        <v>60</v>
      </c>
      <c r="H118" s="109">
        <v>0</v>
      </c>
      <c r="I118" s="109">
        <v>0</v>
      </c>
      <c r="J118" s="109">
        <v>0</v>
      </c>
      <c r="K118" s="109">
        <v>0</v>
      </c>
      <c r="L118" s="109">
        <v>0</v>
      </c>
      <c r="M118" s="109">
        <v>0</v>
      </c>
      <c r="N118" s="149">
        <v>0</v>
      </c>
      <c r="O118" s="110" t="s">
        <v>137</v>
      </c>
      <c r="P118" s="110" t="s">
        <v>137</v>
      </c>
      <c r="Q118" s="110" t="s">
        <v>137</v>
      </c>
      <c r="R118" s="110" t="s">
        <v>137</v>
      </c>
      <c r="S118" s="110" t="s">
        <v>137</v>
      </c>
      <c r="T118" s="71">
        <v>0</v>
      </c>
      <c r="U118" s="64">
        <v>10</v>
      </c>
      <c r="V118" s="64"/>
      <c r="W118" s="71"/>
      <c r="X118" s="71"/>
      <c r="Y118" s="70" t="s">
        <v>141</v>
      </c>
      <c r="Z118" s="75">
        <v>0</v>
      </c>
      <c r="AA118" s="75">
        <v>0</v>
      </c>
      <c r="AB118" s="75">
        <f t="shared" si="30"/>
        <v>40</v>
      </c>
      <c r="AC118" s="75">
        <f t="shared" si="31"/>
        <v>55</v>
      </c>
      <c r="AD118" s="75">
        <v>250</v>
      </c>
      <c r="AE118" s="76">
        <v>0</v>
      </c>
      <c r="AF118" s="76">
        <v>15000</v>
      </c>
      <c r="AG118" s="76">
        <v>20000</v>
      </c>
      <c r="AH118" s="76">
        <v>10</v>
      </c>
      <c r="AI118" s="76">
        <f>出怪成长!D162</f>
        <v>0</v>
      </c>
      <c r="AJ118" s="85" t="s">
        <v>829</v>
      </c>
      <c r="AK118" s="76">
        <v>0</v>
      </c>
      <c r="AL118" s="76" t="s">
        <v>472</v>
      </c>
      <c r="AM118" s="85" t="s">
        <v>662</v>
      </c>
      <c r="AN118" s="75">
        <v>0</v>
      </c>
      <c r="AO118" s="68">
        <v>0</v>
      </c>
      <c r="AP118" s="75" t="s">
        <v>710</v>
      </c>
      <c r="AQ118" s="75">
        <v>0</v>
      </c>
      <c r="AR118" s="75">
        <v>0</v>
      </c>
      <c r="AS118" s="75">
        <v>0</v>
      </c>
      <c r="AT118" s="75">
        <v>0</v>
      </c>
      <c r="AU118" s="70" t="s">
        <v>909</v>
      </c>
      <c r="AV118" s="68">
        <v>0</v>
      </c>
      <c r="AW118" s="68">
        <v>0</v>
      </c>
      <c r="AX118" s="68">
        <v>0</v>
      </c>
      <c r="AY118" s="68">
        <v>0</v>
      </c>
      <c r="AZ118" s="75">
        <v>0</v>
      </c>
      <c r="BA118" s="75">
        <v>0</v>
      </c>
      <c r="BB118" s="76">
        <v>0</v>
      </c>
      <c r="BC118" s="76">
        <v>0</v>
      </c>
      <c r="BD118" s="76">
        <v>0</v>
      </c>
      <c r="BE118" s="76">
        <v>0</v>
      </c>
      <c r="BF118" s="75" t="s">
        <v>910</v>
      </c>
      <c r="BG118" s="76">
        <v>0</v>
      </c>
      <c r="BH118" s="75">
        <v>0</v>
      </c>
      <c r="BI118" s="70" t="s">
        <v>141</v>
      </c>
      <c r="BJ118" s="75" t="s">
        <v>141</v>
      </c>
    </row>
  </sheetData>
  <autoFilter xmlns:etc="http://www.wps.cn/officeDocument/2017/etCustomData" ref="A1:BR11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8"/>
  <sheetViews>
    <sheetView topLeftCell="A19" workbookViewId="0">
      <selection activeCell="A14" sqref="$A14:$XFD33"/>
    </sheetView>
  </sheetViews>
  <sheetFormatPr defaultColWidth="9" defaultRowHeight="13.5"/>
  <cols>
    <col min="1" max="2" width="6.5" style="53" customWidth="1"/>
    <col min="3" max="3" width="17.75" style="66" customWidth="1"/>
    <col min="4" max="4" width="17.75" style="53" customWidth="1"/>
    <col min="5" max="5" width="13.375" style="53" customWidth="1"/>
    <col min="6" max="6" width="17.625" style="66" customWidth="1"/>
    <col min="7" max="7" width="15.75" style="66" customWidth="1"/>
    <col min="8" max="9" width="71.125" style="53" customWidth="1"/>
    <col min="10" max="10" width="18.75" style="66" customWidth="1"/>
    <col min="11" max="11" width="10.25" style="53" customWidth="1"/>
    <col min="12" max="13" width="17.75" style="67" customWidth="1"/>
    <col min="14" max="16" width="13.375" style="67" customWidth="1"/>
    <col min="17" max="17" width="9.875" style="67" customWidth="1"/>
    <col min="18" max="18" width="12" style="67" customWidth="1"/>
    <col min="19" max="20" width="12.875" style="67" customWidth="1"/>
    <col min="21" max="21" width="13.625" style="67" customWidth="1"/>
    <col min="22" max="22" width="40.375" style="68" customWidth="1"/>
    <col min="23" max="23" width="66.5" style="67" customWidth="1"/>
    <col min="24" max="24" width="70.125" style="67" customWidth="1"/>
    <col min="25" max="25" width="33.625" style="67" customWidth="1"/>
    <col min="26" max="26" width="13.75" style="67" customWidth="1"/>
    <col min="27" max="27" width="56" style="67" customWidth="1"/>
    <col min="28" max="28" width="21.625" style="67" customWidth="1"/>
    <col min="29" max="29" width="34.625" style="67" customWidth="1"/>
    <col min="30" max="30" width="10.5" style="67" customWidth="1"/>
    <col min="31" max="31" width="10.875" style="67" customWidth="1"/>
    <col min="32" max="33" width="18.5" style="67" customWidth="1"/>
    <col min="34" max="34" width="28.125" style="69" customWidth="1"/>
    <col min="35" max="35" width="57.25" style="67" customWidth="1"/>
    <col min="36" max="36" width="47.25" style="67" customWidth="1"/>
    <col min="37" max="37" width="34.125" style="67" customWidth="1"/>
    <col min="38" max="38" width="72" style="67" customWidth="1"/>
    <col min="39" max="39" width="51.875" style="67" customWidth="1"/>
    <col min="40" max="40" width="88.75" style="67" customWidth="1"/>
    <col min="41" max="41" width="12.625" style="67"/>
    <col min="42" max="42" width="23.375" style="67" customWidth="1"/>
    <col min="43" max="43" width="12.625" style="67"/>
    <col min="44" max="44" width="17.625" style="67" customWidth="1"/>
    <col min="45" max="45" width="12.5" style="67" customWidth="1"/>
    <col min="46" max="46" width="14.625" style="67" customWidth="1"/>
    <col min="47" max="47" width="13.5" style="67" customWidth="1"/>
    <col min="48" max="48" width="20" style="70" customWidth="1"/>
    <col min="49" max="49" width="24.375" style="67" customWidth="1"/>
    <col min="50" max="51" width="9" style="53"/>
    <col min="52" max="52" width="12.625" style="53"/>
    <col min="53" max="16384" width="9" style="53"/>
  </cols>
  <sheetData>
    <row r="1" s="53" customFormat="1" spans="1:57">
      <c r="A1" s="64" t="s">
        <v>0</v>
      </c>
      <c r="B1" s="64" t="s">
        <v>1</v>
      </c>
      <c r="C1" s="71" t="s">
        <v>2</v>
      </c>
      <c r="D1" s="64" t="s">
        <v>3</v>
      </c>
      <c r="E1" s="64" t="s">
        <v>4</v>
      </c>
      <c r="F1" s="72" t="s">
        <v>5</v>
      </c>
      <c r="G1" s="72" t="s">
        <v>6</v>
      </c>
      <c r="H1" s="64" t="s">
        <v>13</v>
      </c>
      <c r="I1" s="64" t="s">
        <v>16</v>
      </c>
      <c r="J1" s="73" t="s">
        <v>19</v>
      </c>
      <c r="K1" s="74" t="s">
        <v>20</v>
      </c>
      <c r="L1" s="75" t="s">
        <v>24</v>
      </c>
      <c r="M1" s="75" t="s">
        <v>25</v>
      </c>
      <c r="N1" s="75" t="s">
        <v>26</v>
      </c>
      <c r="O1" s="76" t="s">
        <v>27</v>
      </c>
      <c r="P1" s="76" t="s">
        <v>28</v>
      </c>
      <c r="Q1" s="76" t="s">
        <v>29</v>
      </c>
      <c r="R1" s="76" t="s">
        <v>30</v>
      </c>
      <c r="S1" s="76" t="s">
        <v>31</v>
      </c>
      <c r="T1" s="76" t="s">
        <v>32</v>
      </c>
      <c r="U1" s="76" t="s">
        <v>33</v>
      </c>
      <c r="V1" s="77" t="s">
        <v>34</v>
      </c>
      <c r="W1" s="77" t="s">
        <v>35</v>
      </c>
      <c r="X1" s="77" t="s">
        <v>36</v>
      </c>
      <c r="Y1" s="77" t="s">
        <v>37</v>
      </c>
      <c r="Z1" s="75" t="s">
        <v>38</v>
      </c>
      <c r="AA1" s="77" t="s">
        <v>39</v>
      </c>
      <c r="AB1" s="75" t="s">
        <v>40</v>
      </c>
      <c r="AC1" s="77" t="s">
        <v>41</v>
      </c>
      <c r="AD1" s="77" t="s">
        <v>42</v>
      </c>
      <c r="AE1" s="75" t="s">
        <v>43</v>
      </c>
      <c r="AF1" s="77" t="s">
        <v>44</v>
      </c>
      <c r="AG1" s="77" t="s">
        <v>45</v>
      </c>
      <c r="AH1" s="78" t="s">
        <v>46</v>
      </c>
      <c r="AI1" s="75" t="s">
        <v>47</v>
      </c>
      <c r="AJ1" s="75" t="s">
        <v>48</v>
      </c>
      <c r="AK1" s="75" t="s">
        <v>49</v>
      </c>
      <c r="AL1" s="75" t="s">
        <v>50</v>
      </c>
      <c r="AM1" s="75" t="s">
        <v>51</v>
      </c>
      <c r="AN1" s="75" t="s">
        <v>52</v>
      </c>
      <c r="AO1" s="75" t="s">
        <v>53</v>
      </c>
      <c r="AP1" s="75" t="s">
        <v>54</v>
      </c>
      <c r="AQ1" s="75" t="s">
        <v>53</v>
      </c>
      <c r="AR1" s="75" t="s">
        <v>55</v>
      </c>
      <c r="AS1" s="75" t="s">
        <v>56</v>
      </c>
      <c r="AT1" s="75" t="s">
        <v>57</v>
      </c>
      <c r="AU1" s="75" t="s">
        <v>58</v>
      </c>
      <c r="AV1" s="70" t="s">
        <v>59</v>
      </c>
      <c r="AW1" s="75" t="s">
        <v>60</v>
      </c>
    </row>
    <row r="2" s="53" customFormat="1" spans="1:57">
      <c r="A2" s="64" t="s">
        <v>61</v>
      </c>
      <c r="B2" s="64" t="s">
        <v>61</v>
      </c>
      <c r="C2" s="71" t="s">
        <v>62</v>
      </c>
      <c r="D2" s="64" t="s">
        <v>62</v>
      </c>
      <c r="E2" s="64" t="s">
        <v>61</v>
      </c>
      <c r="F2" s="72" t="s">
        <v>61</v>
      </c>
      <c r="G2" s="72" t="s">
        <v>61</v>
      </c>
      <c r="H2" s="64" t="s">
        <v>62</v>
      </c>
      <c r="I2" s="64" t="s">
        <v>62</v>
      </c>
      <c r="J2" s="73" t="s">
        <v>62</v>
      </c>
      <c r="K2" s="74" t="s">
        <v>61</v>
      </c>
      <c r="L2" s="75" t="s">
        <v>62</v>
      </c>
      <c r="M2" s="75" t="s">
        <v>61</v>
      </c>
      <c r="N2" s="75" t="s">
        <v>61</v>
      </c>
      <c r="O2" s="76" t="s">
        <v>61</v>
      </c>
      <c r="P2" s="76" t="s">
        <v>61</v>
      </c>
      <c r="Q2" s="76" t="s">
        <v>61</v>
      </c>
      <c r="R2" s="76" t="s">
        <v>61</v>
      </c>
      <c r="S2" s="76" t="s">
        <v>61</v>
      </c>
      <c r="T2" s="76" t="s">
        <v>61</v>
      </c>
      <c r="U2" s="76" t="s">
        <v>61</v>
      </c>
      <c r="V2" s="77" t="s">
        <v>62</v>
      </c>
      <c r="W2" s="77" t="s">
        <v>62</v>
      </c>
      <c r="X2" s="77" t="s">
        <v>62</v>
      </c>
      <c r="Y2" s="77" t="s">
        <v>62</v>
      </c>
      <c r="Z2" s="75" t="s">
        <v>62</v>
      </c>
      <c r="AA2" s="77" t="s">
        <v>62</v>
      </c>
      <c r="AB2" s="75" t="s">
        <v>62</v>
      </c>
      <c r="AC2" s="77" t="s">
        <v>62</v>
      </c>
      <c r="AD2" s="77" t="s">
        <v>61</v>
      </c>
      <c r="AE2" s="75" t="s">
        <v>62</v>
      </c>
      <c r="AF2" s="77" t="s">
        <v>62</v>
      </c>
      <c r="AG2" s="77" t="s">
        <v>62</v>
      </c>
      <c r="AH2" s="78" t="s">
        <v>62</v>
      </c>
      <c r="AI2" s="75" t="s">
        <v>62</v>
      </c>
      <c r="AJ2" s="75" t="s">
        <v>62</v>
      </c>
      <c r="AK2" s="75" t="s">
        <v>61</v>
      </c>
      <c r="AL2" s="75" t="s">
        <v>62</v>
      </c>
      <c r="AM2" s="75" t="s">
        <v>62</v>
      </c>
      <c r="AN2" s="75" t="s">
        <v>62</v>
      </c>
      <c r="AO2" s="75" t="s">
        <v>61</v>
      </c>
      <c r="AP2" s="75" t="s">
        <v>63</v>
      </c>
      <c r="AQ2" s="75" t="s">
        <v>61</v>
      </c>
      <c r="AR2" s="75" t="s">
        <v>62</v>
      </c>
      <c r="AS2" s="75" t="s">
        <v>62</v>
      </c>
      <c r="AT2" s="75" t="s">
        <v>62</v>
      </c>
      <c r="AU2" s="75" t="s">
        <v>61</v>
      </c>
      <c r="AV2" s="70" t="s">
        <v>62</v>
      </c>
      <c r="AW2" s="75" t="s">
        <v>62</v>
      </c>
    </row>
    <row r="3" s="53" customFormat="1" ht="121.5" spans="1:57">
      <c r="A3" s="64" t="s">
        <v>64</v>
      </c>
      <c r="B3" s="79" t="s">
        <v>65</v>
      </c>
      <c r="C3" s="71" t="s">
        <v>66</v>
      </c>
      <c r="D3" s="64" t="s">
        <v>67</v>
      </c>
      <c r="E3" s="64" t="s">
        <v>68</v>
      </c>
      <c r="F3" s="72" t="s">
        <v>69</v>
      </c>
      <c r="G3" s="80" t="s">
        <v>70</v>
      </c>
      <c r="H3" s="64" t="s">
        <v>911</v>
      </c>
      <c r="I3" s="64" t="s">
        <v>912</v>
      </c>
      <c r="J3" s="73" t="s">
        <v>83</v>
      </c>
      <c r="K3" s="74" t="s">
        <v>84</v>
      </c>
      <c r="L3" s="75" t="s">
        <v>88</v>
      </c>
      <c r="M3" s="75" t="s">
        <v>89</v>
      </c>
      <c r="N3" s="75" t="s">
        <v>90</v>
      </c>
      <c r="O3" s="76" t="s">
        <v>91</v>
      </c>
      <c r="P3" s="76" t="s">
        <v>92</v>
      </c>
      <c r="Q3" s="76" t="s">
        <v>93</v>
      </c>
      <c r="R3" s="76" t="s">
        <v>94</v>
      </c>
      <c r="S3" s="81" t="s">
        <v>95</v>
      </c>
      <c r="T3" s="81" t="s">
        <v>96</v>
      </c>
      <c r="U3" s="76" t="s">
        <v>97</v>
      </c>
      <c r="V3" s="77" t="s">
        <v>98</v>
      </c>
      <c r="W3" s="77" t="s">
        <v>99</v>
      </c>
      <c r="X3" s="77" t="s">
        <v>100</v>
      </c>
      <c r="Y3" s="77" t="s">
        <v>101</v>
      </c>
      <c r="Z3" s="75" t="s">
        <v>102</v>
      </c>
      <c r="AA3" s="77" t="s">
        <v>103</v>
      </c>
      <c r="AB3" s="75" t="s">
        <v>104</v>
      </c>
      <c r="AC3" s="77" t="s">
        <v>105</v>
      </c>
      <c r="AD3" s="77" t="s">
        <v>106</v>
      </c>
      <c r="AE3" s="75" t="s">
        <v>107</v>
      </c>
      <c r="AF3" s="77" t="s">
        <v>108</v>
      </c>
      <c r="AG3" s="77" t="s">
        <v>109</v>
      </c>
      <c r="AH3" s="78" t="s">
        <v>110</v>
      </c>
      <c r="AI3" s="75" t="s">
        <v>111</v>
      </c>
      <c r="AJ3" s="75" t="s">
        <v>112</v>
      </c>
      <c r="AK3" s="75" t="s">
        <v>113</v>
      </c>
      <c r="AL3" s="75" t="s">
        <v>114</v>
      </c>
      <c r="AM3" s="75" t="s">
        <v>115</v>
      </c>
      <c r="AN3" s="75" t="s">
        <v>116</v>
      </c>
      <c r="AO3" s="75" t="s">
        <v>117</v>
      </c>
      <c r="AP3" s="75" t="s">
        <v>118</v>
      </c>
      <c r="AQ3" s="75" t="s">
        <v>117</v>
      </c>
      <c r="AR3" s="75" t="s">
        <v>119</v>
      </c>
      <c r="AS3" s="75" t="s">
        <v>120</v>
      </c>
      <c r="AT3" s="75" t="s">
        <v>121</v>
      </c>
      <c r="AU3" s="75" t="s">
        <v>122</v>
      </c>
      <c r="AV3" s="70" t="s">
        <v>123</v>
      </c>
      <c r="AW3" s="75" t="s">
        <v>115</v>
      </c>
      <c r="AY3" s="53" t="s">
        <v>124</v>
      </c>
      <c r="AZ3" s="53" t="s">
        <v>125</v>
      </c>
      <c r="BA3" s="53" t="s">
        <v>126</v>
      </c>
      <c r="BB3" s="53" t="s">
        <v>127</v>
      </c>
      <c r="BC3" s="53" t="s">
        <v>128</v>
      </c>
    </row>
    <row r="4" s="53" customFormat="1" ht="27" spans="1:57">
      <c r="A4" s="64">
        <v>11</v>
      </c>
      <c r="B4" s="64">
        <v>0</v>
      </c>
      <c r="C4" s="71" t="s">
        <v>913</v>
      </c>
      <c r="D4" s="64" t="s">
        <v>130</v>
      </c>
      <c r="E4" s="64">
        <f t="shared" ref="E4:E52" si="0">A5</f>
        <v>12</v>
      </c>
      <c r="F4" s="82">
        <v>1</v>
      </c>
      <c r="G4" s="71">
        <f t="shared" ref="G4:G67" si="1">F4+20</f>
        <v>21</v>
      </c>
      <c r="H4" s="79" t="s">
        <v>914</v>
      </c>
      <c r="I4" s="79" t="s">
        <v>915</v>
      </c>
      <c r="J4" s="83" t="s">
        <v>137</v>
      </c>
      <c r="K4" s="64">
        <v>10</v>
      </c>
      <c r="L4" s="75" t="s">
        <v>141</v>
      </c>
      <c r="M4" s="75">
        <v>1</v>
      </c>
      <c r="N4" s="84">
        <v>0</v>
      </c>
      <c r="O4" s="75">
        <f t="shared" ref="O4:O26" si="2">F4+N4+M4</f>
        <v>2</v>
      </c>
      <c r="P4" s="75">
        <f t="shared" ref="P4:P25" si="3">O4+15</f>
        <v>17</v>
      </c>
      <c r="Q4" s="75">
        <v>1000</v>
      </c>
      <c r="R4" s="76">
        <v>15</v>
      </c>
      <c r="S4" s="76">
        <v>15000</v>
      </c>
      <c r="T4" s="76">
        <v>15000</v>
      </c>
      <c r="U4" s="76">
        <f>出怪成长!C2</f>
        <v>3</v>
      </c>
      <c r="V4" s="76" t="str">
        <f>出怪成长!D2</f>
        <v>3#20004#1</v>
      </c>
      <c r="W4" s="85" t="s">
        <v>142</v>
      </c>
      <c r="X4" s="76" t="s">
        <v>143</v>
      </c>
      <c r="Y4" s="76" t="str">
        <f>出怪成长!F2</f>
        <v>2#1#0.4|3#2#0.8</v>
      </c>
      <c r="Z4" s="85" t="s">
        <v>144</v>
      </c>
      <c r="AA4" s="75">
        <v>0</v>
      </c>
      <c r="AB4" s="86">
        <v>0</v>
      </c>
      <c r="AC4" s="75">
        <v>0</v>
      </c>
      <c r="AD4" s="75">
        <v>0</v>
      </c>
      <c r="AE4" s="70" t="s">
        <v>145</v>
      </c>
      <c r="AF4" s="75">
        <v>0</v>
      </c>
      <c r="AG4" s="75">
        <v>0</v>
      </c>
      <c r="AH4" s="70" t="s">
        <v>146</v>
      </c>
      <c r="AI4" s="75" t="s">
        <v>147</v>
      </c>
      <c r="AJ4" s="86" t="s">
        <v>148</v>
      </c>
      <c r="AK4" s="70" t="s">
        <v>149</v>
      </c>
      <c r="AL4" s="75" t="s">
        <v>150</v>
      </c>
      <c r="AM4" s="87" t="s">
        <v>151</v>
      </c>
      <c r="AN4" s="75" t="s">
        <v>152</v>
      </c>
      <c r="AO4" s="75">
        <v>0</v>
      </c>
      <c r="AP4" s="85">
        <v>0.2</v>
      </c>
      <c r="AQ4" s="75">
        <v>2</v>
      </c>
      <c r="AR4" s="76">
        <v>0</v>
      </c>
      <c r="AS4" s="88" t="s">
        <v>153</v>
      </c>
      <c r="AT4" s="76">
        <v>0</v>
      </c>
      <c r="AU4" s="75">
        <v>3</v>
      </c>
      <c r="AV4" s="70" t="s">
        <v>154</v>
      </c>
      <c r="AW4" s="70" t="s">
        <v>141</v>
      </c>
      <c r="AY4" s="53">
        <v>1</v>
      </c>
      <c r="AZ4" s="89">
        <v>2101</v>
      </c>
      <c r="BA4" s="90">
        <v>2001</v>
      </c>
      <c r="BB4" s="53">
        <v>0</v>
      </c>
    </row>
    <row r="5" s="54" customFormat="1" ht="27" spans="1:57">
      <c r="A5" s="64">
        <v>12</v>
      </c>
      <c r="B5" s="64">
        <v>0</v>
      </c>
      <c r="C5" s="71" t="s">
        <v>916</v>
      </c>
      <c r="D5" s="91" t="s">
        <v>156</v>
      </c>
      <c r="E5" s="91">
        <f t="shared" si="0"/>
        <v>13</v>
      </c>
      <c r="F5" s="82">
        <v>1</v>
      </c>
      <c r="G5" s="71">
        <f t="shared" si="1"/>
        <v>21</v>
      </c>
      <c r="H5" s="79" t="s">
        <v>917</v>
      </c>
      <c r="I5" s="79" t="s">
        <v>915</v>
      </c>
      <c r="J5" s="83" t="s">
        <v>918</v>
      </c>
      <c r="K5" s="64">
        <v>10</v>
      </c>
      <c r="L5" s="70" t="s">
        <v>141</v>
      </c>
      <c r="M5" s="70">
        <v>1</v>
      </c>
      <c r="N5" s="92" t="s">
        <v>160</v>
      </c>
      <c r="O5" s="75">
        <f t="shared" si="2"/>
        <v>1</v>
      </c>
      <c r="P5" s="75">
        <f t="shared" si="3"/>
        <v>16</v>
      </c>
      <c r="Q5" s="75">
        <v>250</v>
      </c>
      <c r="R5" s="76">
        <f t="shared" ref="R5:R11" si="4">R4</f>
        <v>15</v>
      </c>
      <c r="S5" s="76">
        <f t="shared" ref="S5:S53" si="5">S4</f>
        <v>15000</v>
      </c>
      <c r="T5" s="76">
        <v>20000</v>
      </c>
      <c r="U5" s="76">
        <f>出怪成长!C3</f>
        <v>7</v>
      </c>
      <c r="V5" s="76" t="str">
        <f>出怪成长!D3</f>
        <v>2#20001#1|5#20002#1|7#30001,30002#1</v>
      </c>
      <c r="W5" s="85" t="str">
        <f>出怪数量!Z4</f>
        <v>1:2:1|1:4:1|2:8:1|2:12:1|1:17:1|2:22:1|1:27:1</v>
      </c>
      <c r="X5" s="76" t="str">
        <f>出怪成长!E3</f>
        <v>1:10001,10002|2:10004,10005,10006|3:10004,10005,10006</v>
      </c>
      <c r="Y5" s="76" t="str">
        <f>出怪成长!F3</f>
        <v>2#1#0.4|5#2#0.8|7#3#1</v>
      </c>
      <c r="Z5" s="85" t="str">
        <f>每波成长!G6</f>
        <v>28#7#4</v>
      </c>
      <c r="AA5" s="75" t="s">
        <v>161</v>
      </c>
      <c r="AB5" s="86">
        <v>0</v>
      </c>
      <c r="AC5" s="75" t="s">
        <v>162</v>
      </c>
      <c r="AD5" s="75">
        <v>1</v>
      </c>
      <c r="AE5" s="70" t="s">
        <v>163</v>
      </c>
      <c r="AF5" s="75" t="s">
        <v>164</v>
      </c>
      <c r="AG5" s="75" t="s">
        <v>165</v>
      </c>
      <c r="AH5" s="70" t="s">
        <v>166</v>
      </c>
      <c r="AI5" s="75" t="s">
        <v>167</v>
      </c>
      <c r="AJ5" s="86" t="s">
        <v>148</v>
      </c>
      <c r="AK5" s="70" t="s">
        <v>149</v>
      </c>
      <c r="AL5" s="75" t="s">
        <v>150</v>
      </c>
      <c r="AM5" s="87" t="s">
        <v>151</v>
      </c>
      <c r="AN5" s="75" t="s">
        <v>168</v>
      </c>
      <c r="AO5" s="75">
        <v>0</v>
      </c>
      <c r="AP5" s="76">
        <v>0.4</v>
      </c>
      <c r="AQ5" s="75">
        <v>4</v>
      </c>
      <c r="AR5" s="76" t="s">
        <v>169</v>
      </c>
      <c r="AS5" s="88" t="s">
        <v>170</v>
      </c>
      <c r="AT5" s="76">
        <v>0</v>
      </c>
      <c r="AU5" s="75">
        <v>3</v>
      </c>
      <c r="AV5" s="70" t="s">
        <v>171</v>
      </c>
      <c r="AW5" s="70" t="s">
        <v>141</v>
      </c>
      <c r="AY5" s="54">
        <v>2</v>
      </c>
      <c r="AZ5" s="93">
        <v>1101</v>
      </c>
      <c r="BA5" s="54">
        <v>1001</v>
      </c>
      <c r="BB5" s="54">
        <v>1002</v>
      </c>
      <c r="BE5" s="54" t="s">
        <v>172</v>
      </c>
    </row>
    <row r="6" s="54" customFormat="1" ht="27" spans="1:57">
      <c r="A6" s="64">
        <v>13</v>
      </c>
      <c r="B6" s="64">
        <v>0</v>
      </c>
      <c r="C6" s="71" t="s">
        <v>919</v>
      </c>
      <c r="D6" s="91" t="s">
        <v>174</v>
      </c>
      <c r="E6" s="91">
        <f t="shared" si="0"/>
        <v>14</v>
      </c>
      <c r="F6" s="82">
        <v>1</v>
      </c>
      <c r="G6" s="71">
        <f t="shared" si="1"/>
        <v>21</v>
      </c>
      <c r="H6" s="79" t="s">
        <v>920</v>
      </c>
      <c r="I6" s="79" t="s">
        <v>915</v>
      </c>
      <c r="J6" s="83" t="s">
        <v>918</v>
      </c>
      <c r="K6" s="64">
        <v>10</v>
      </c>
      <c r="L6" s="70" t="s">
        <v>141</v>
      </c>
      <c r="M6" s="70">
        <v>1</v>
      </c>
      <c r="N6" s="92" t="s">
        <v>137</v>
      </c>
      <c r="O6" s="75">
        <f t="shared" si="2"/>
        <v>2</v>
      </c>
      <c r="P6" s="75">
        <f t="shared" si="3"/>
        <v>17</v>
      </c>
      <c r="Q6" s="75">
        <v>250</v>
      </c>
      <c r="R6" s="76">
        <f t="shared" si="4"/>
        <v>15</v>
      </c>
      <c r="S6" s="76">
        <f t="shared" si="5"/>
        <v>15000</v>
      </c>
      <c r="T6" s="76">
        <v>28000</v>
      </c>
      <c r="U6" s="76">
        <f>出怪成长!C4</f>
        <v>8</v>
      </c>
      <c r="V6" s="76" t="str">
        <f>出怪成长!D4</f>
        <v>3#20003#1|6#20004#1|8#30001,30002#1</v>
      </c>
      <c r="W6" s="85" t="str">
        <f>出怪数量!Z5</f>
        <v>1:2:1|1:4:1|2:8:1|2:12:1|1:17:1|2:22:1|1:27:1|2:32:1</v>
      </c>
      <c r="X6" s="76" t="str">
        <f>出怪成长!E4</f>
        <v>1:10004,10005|2:10004,10005,10006|3:10004,10005,10006</v>
      </c>
      <c r="Y6" s="76" t="str">
        <f>出怪成长!F4</f>
        <v>3#1#0.4|6#2#0.8|8#3#1</v>
      </c>
      <c r="Z6" s="85" t="str">
        <f>每波成长!G7</f>
        <v>30#7#4</v>
      </c>
      <c r="AA6" s="75" t="s">
        <v>161</v>
      </c>
      <c r="AB6" s="86">
        <v>0</v>
      </c>
      <c r="AC6" s="75" t="s">
        <v>179</v>
      </c>
      <c r="AD6" s="75">
        <v>2</v>
      </c>
      <c r="AE6" s="70" t="s">
        <v>149</v>
      </c>
      <c r="AF6" s="75" t="s">
        <v>180</v>
      </c>
      <c r="AG6" s="75" t="s">
        <v>165</v>
      </c>
      <c r="AH6" s="70" t="s">
        <v>181</v>
      </c>
      <c r="AI6" s="75" t="s">
        <v>182</v>
      </c>
      <c r="AJ6" s="86" t="s">
        <v>148</v>
      </c>
      <c r="AK6" s="70" t="s">
        <v>149</v>
      </c>
      <c r="AL6" s="75" t="s">
        <v>150</v>
      </c>
      <c r="AM6" s="87" t="s">
        <v>151</v>
      </c>
      <c r="AN6" s="75" t="s">
        <v>183</v>
      </c>
      <c r="AO6" s="75">
        <v>0</v>
      </c>
      <c r="AP6" s="85">
        <v>0.6</v>
      </c>
      <c r="AQ6" s="75">
        <v>6</v>
      </c>
      <c r="AR6" s="76" t="s">
        <v>184</v>
      </c>
      <c r="AS6" s="88" t="s">
        <v>185</v>
      </c>
      <c r="AT6" s="76">
        <v>0</v>
      </c>
      <c r="AU6" s="75">
        <v>3</v>
      </c>
      <c r="AV6" s="70" t="s">
        <v>186</v>
      </c>
      <c r="AW6" s="70" t="s">
        <v>141</v>
      </c>
      <c r="AY6" s="54">
        <v>3</v>
      </c>
      <c r="AZ6" s="93">
        <v>3101</v>
      </c>
      <c r="BA6" s="94">
        <v>3001</v>
      </c>
      <c r="BB6" s="54">
        <v>0</v>
      </c>
      <c r="BE6" s="54" t="s">
        <v>187</v>
      </c>
    </row>
    <row r="7" s="53" customFormat="1" ht="27" spans="1:57">
      <c r="A7" s="64">
        <v>14</v>
      </c>
      <c r="B7" s="64">
        <v>0</v>
      </c>
      <c r="C7" s="71" t="s">
        <v>921</v>
      </c>
      <c r="D7" s="64" t="s">
        <v>130</v>
      </c>
      <c r="E7" s="91">
        <f t="shared" si="0"/>
        <v>15</v>
      </c>
      <c r="F7" s="82">
        <v>2</v>
      </c>
      <c r="G7" s="71">
        <f t="shared" si="1"/>
        <v>22</v>
      </c>
      <c r="H7" s="79" t="s">
        <v>922</v>
      </c>
      <c r="I7" s="79" t="s">
        <v>915</v>
      </c>
      <c r="J7" s="71" t="s">
        <v>923</v>
      </c>
      <c r="K7" s="64">
        <v>10</v>
      </c>
      <c r="L7" s="70" t="s">
        <v>141</v>
      </c>
      <c r="M7" s="70">
        <v>1</v>
      </c>
      <c r="N7" s="92" t="s">
        <v>145</v>
      </c>
      <c r="O7" s="75">
        <f t="shared" si="2"/>
        <v>4</v>
      </c>
      <c r="P7" s="75">
        <f t="shared" si="3"/>
        <v>19</v>
      </c>
      <c r="Q7" s="75">
        <v>250</v>
      </c>
      <c r="R7" s="76">
        <f t="shared" si="4"/>
        <v>15</v>
      </c>
      <c r="S7" s="76">
        <f t="shared" si="5"/>
        <v>15000</v>
      </c>
      <c r="T7" s="76">
        <f t="shared" ref="T7:T53" si="6">T6</f>
        <v>28000</v>
      </c>
      <c r="U7" s="76">
        <f>出怪成长!C5</f>
        <v>9</v>
      </c>
      <c r="V7" s="76" t="str">
        <f>出怪成长!D5</f>
        <v>3#30001#1|7#30002#1|9#30003,30004#1</v>
      </c>
      <c r="W7" s="85" t="str">
        <f>出怪数量!Z6</f>
        <v>1:2:1|1:4:1|2:8:1|2:12:1|1:17:1|2:22:1|1:27:1|2:32:1|1:37:1</v>
      </c>
      <c r="X7" s="76" t="str">
        <f>出怪成长!E5</f>
        <v>1:10004,10005|2:10004,10005,10006|3:10006,10007,10010</v>
      </c>
      <c r="Y7" s="76" t="str">
        <f>出怪成长!F5</f>
        <v>4#1#0.5|7#2#1|9#3#1.3</v>
      </c>
      <c r="Z7" s="85" t="str">
        <f>每波成长!G8</f>
        <v>31#8#5</v>
      </c>
      <c r="AA7" s="75" t="s">
        <v>196</v>
      </c>
      <c r="AB7" s="86">
        <v>0</v>
      </c>
      <c r="AC7" s="75" t="s">
        <v>179</v>
      </c>
      <c r="AD7" s="75">
        <v>2</v>
      </c>
      <c r="AE7" s="70" t="s">
        <v>197</v>
      </c>
      <c r="AF7" s="75" t="s">
        <v>198</v>
      </c>
      <c r="AG7" s="75" t="s">
        <v>199</v>
      </c>
      <c r="AH7" s="70" t="s">
        <v>200</v>
      </c>
      <c r="AI7" s="75" t="s">
        <v>201</v>
      </c>
      <c r="AJ7" s="86" t="s">
        <v>202</v>
      </c>
      <c r="AK7" s="70" t="s">
        <v>149</v>
      </c>
      <c r="AL7" s="75" t="s">
        <v>150</v>
      </c>
      <c r="AM7" s="87" t="s">
        <v>151</v>
      </c>
      <c r="AN7" s="75" t="s">
        <v>203</v>
      </c>
      <c r="AO7" s="75">
        <v>0</v>
      </c>
      <c r="AP7" s="76">
        <v>0.8</v>
      </c>
      <c r="AQ7" s="75">
        <v>8</v>
      </c>
      <c r="AR7" s="76">
        <v>0</v>
      </c>
      <c r="AS7" s="88" t="s">
        <v>204</v>
      </c>
      <c r="AT7" s="76">
        <v>0</v>
      </c>
      <c r="AU7" s="75">
        <v>3</v>
      </c>
      <c r="AV7" s="70" t="s">
        <v>205</v>
      </c>
      <c r="AW7" s="70" t="s">
        <v>141</v>
      </c>
      <c r="AY7" s="53">
        <v>4</v>
      </c>
      <c r="AZ7" s="95">
        <v>6101</v>
      </c>
      <c r="BA7" s="90">
        <v>6001</v>
      </c>
      <c r="BB7" s="53">
        <v>0</v>
      </c>
      <c r="BE7" s="53" t="s">
        <v>206</v>
      </c>
    </row>
    <row r="8" s="53" customFormat="1" ht="27" spans="1:57">
      <c r="A8" s="64">
        <v>15</v>
      </c>
      <c r="B8" s="64">
        <v>0</v>
      </c>
      <c r="C8" s="71" t="s">
        <v>924</v>
      </c>
      <c r="D8" s="91" t="s">
        <v>156</v>
      </c>
      <c r="E8" s="91">
        <f t="shared" si="0"/>
        <v>16</v>
      </c>
      <c r="F8" s="82">
        <v>3</v>
      </c>
      <c r="G8" s="71">
        <f t="shared" si="1"/>
        <v>23</v>
      </c>
      <c r="H8" s="79" t="s">
        <v>925</v>
      </c>
      <c r="I8" s="79" t="s">
        <v>915</v>
      </c>
      <c r="J8" s="71" t="s">
        <v>926</v>
      </c>
      <c r="K8" s="64">
        <v>10</v>
      </c>
      <c r="L8" s="70" t="s">
        <v>141</v>
      </c>
      <c r="M8" s="70">
        <v>1</v>
      </c>
      <c r="N8" s="92" t="s">
        <v>160</v>
      </c>
      <c r="O8" s="75">
        <f t="shared" si="2"/>
        <v>3</v>
      </c>
      <c r="P8" s="75">
        <f t="shared" si="3"/>
        <v>18</v>
      </c>
      <c r="Q8" s="75">
        <v>250</v>
      </c>
      <c r="R8" s="76">
        <f t="shared" si="4"/>
        <v>15</v>
      </c>
      <c r="S8" s="76">
        <f t="shared" si="5"/>
        <v>15000</v>
      </c>
      <c r="T8" s="76">
        <f t="shared" si="6"/>
        <v>28000</v>
      </c>
      <c r="U8" s="76">
        <f>出怪成长!C6</f>
        <v>8</v>
      </c>
      <c r="V8" s="76" t="str">
        <f>出怪成长!D6</f>
        <v>3#30001#1|6#30002#1|8#30003,30004#1</v>
      </c>
      <c r="W8" s="85" t="str">
        <f>出怪数量!Z7</f>
        <v>1:3:1|1:5:1|2:9:1|2:13:1|1:18:1|2:23:1|1:28:1|2:33:1</v>
      </c>
      <c r="X8" s="76" t="str">
        <f>出怪成长!E6</f>
        <v>1:10004,10005|2:10006,10007,10010|3:10006,10008,10010</v>
      </c>
      <c r="Y8" s="76" t="str">
        <f>出怪成长!F6</f>
        <v>3#1#0.5|6#2#1|8#3#1.3</v>
      </c>
      <c r="Z8" s="85" t="str">
        <f>每波成长!G9</f>
        <v>28#7#4</v>
      </c>
      <c r="AA8" s="75" t="s">
        <v>216</v>
      </c>
      <c r="AB8" s="86">
        <v>0</v>
      </c>
      <c r="AC8" s="75" t="s">
        <v>179</v>
      </c>
      <c r="AD8" s="75">
        <v>2</v>
      </c>
      <c r="AE8" s="70" t="s">
        <v>217</v>
      </c>
      <c r="AF8" s="75" t="s">
        <v>218</v>
      </c>
      <c r="AG8" s="75" t="s">
        <v>219</v>
      </c>
      <c r="AH8" s="70" t="s">
        <v>220</v>
      </c>
      <c r="AI8" s="75" t="s">
        <v>221</v>
      </c>
      <c r="AJ8" s="86" t="s">
        <v>202</v>
      </c>
      <c r="AK8" s="70" t="s">
        <v>149</v>
      </c>
      <c r="AL8" s="75" t="s">
        <v>150</v>
      </c>
      <c r="AM8" s="87" t="s">
        <v>151</v>
      </c>
      <c r="AN8" s="75" t="s">
        <v>222</v>
      </c>
      <c r="AO8" s="75">
        <v>0</v>
      </c>
      <c r="AP8" s="85">
        <v>1</v>
      </c>
      <c r="AQ8" s="75">
        <v>10</v>
      </c>
      <c r="AR8" s="76" t="s">
        <v>223</v>
      </c>
      <c r="AS8" s="88" t="s">
        <v>224</v>
      </c>
      <c r="AT8" s="76">
        <v>0</v>
      </c>
      <c r="AU8" s="75">
        <v>3</v>
      </c>
      <c r="AV8" s="70" t="s">
        <v>225</v>
      </c>
      <c r="AW8" s="70" t="s">
        <v>141</v>
      </c>
      <c r="AY8" s="53">
        <v>5</v>
      </c>
      <c r="AZ8" s="95">
        <v>6102</v>
      </c>
      <c r="BA8" s="90">
        <v>6002</v>
      </c>
      <c r="BB8" s="53">
        <v>0</v>
      </c>
      <c r="BE8" s="53" t="s">
        <v>226</v>
      </c>
    </row>
    <row r="9" s="53" customFormat="1" ht="27" spans="1:57">
      <c r="A9" s="64">
        <v>16</v>
      </c>
      <c r="B9" s="64">
        <v>0</v>
      </c>
      <c r="C9" s="71" t="s">
        <v>927</v>
      </c>
      <c r="D9" s="91" t="s">
        <v>174</v>
      </c>
      <c r="E9" s="91">
        <f t="shared" si="0"/>
        <v>17</v>
      </c>
      <c r="F9" s="82">
        <v>4</v>
      </c>
      <c r="G9" s="71">
        <f t="shared" si="1"/>
        <v>24</v>
      </c>
      <c r="H9" s="79" t="s">
        <v>928</v>
      </c>
      <c r="I9" s="79" t="s">
        <v>915</v>
      </c>
      <c r="J9" s="71" t="s">
        <v>923</v>
      </c>
      <c r="K9" s="64">
        <v>10</v>
      </c>
      <c r="L9" s="70" t="s">
        <v>141</v>
      </c>
      <c r="M9" s="70">
        <v>1</v>
      </c>
      <c r="N9" s="92" t="s">
        <v>137</v>
      </c>
      <c r="O9" s="75">
        <f t="shared" si="2"/>
        <v>5</v>
      </c>
      <c r="P9" s="75">
        <f t="shared" si="3"/>
        <v>20</v>
      </c>
      <c r="Q9" s="75">
        <v>250</v>
      </c>
      <c r="R9" s="76">
        <f t="shared" si="4"/>
        <v>15</v>
      </c>
      <c r="S9" s="76">
        <f t="shared" si="5"/>
        <v>15000</v>
      </c>
      <c r="T9" s="76">
        <f t="shared" si="6"/>
        <v>28000</v>
      </c>
      <c r="U9" s="76">
        <f>出怪成长!C7</f>
        <v>9</v>
      </c>
      <c r="V9" s="76" t="str">
        <f>出怪成长!D7</f>
        <v>3#30001#1|7#30002#1|9#30001,30004#1</v>
      </c>
      <c r="W9" s="85" t="str">
        <f>出怪数量!Z8</f>
        <v>1:3:1|1:5:1|2:9:1|2:13:1|1:18:1|2:23:1|1:28:1|2:33:1|1:38:1</v>
      </c>
      <c r="X9" s="76" t="str">
        <f>出怪成长!E7</f>
        <v>1:10006,10007|2:10006,10008,10010|3:10006,10007,10010</v>
      </c>
      <c r="Y9" s="76" t="str">
        <f>出怪成长!F7</f>
        <v>4#1#0.8|7#2#1.2|9#3#1.4</v>
      </c>
      <c r="Z9" s="85" t="str">
        <f>每波成长!G10</f>
        <v>30#7#4</v>
      </c>
      <c r="AA9" s="75" t="s">
        <v>196</v>
      </c>
      <c r="AB9" s="86">
        <v>0</v>
      </c>
      <c r="AC9" s="75" t="s">
        <v>179</v>
      </c>
      <c r="AD9" s="75">
        <v>2</v>
      </c>
      <c r="AE9" s="70" t="s">
        <v>231</v>
      </c>
      <c r="AF9" s="75" t="s">
        <v>232</v>
      </c>
      <c r="AG9" s="75" t="s">
        <v>199</v>
      </c>
      <c r="AH9" s="70" t="s">
        <v>233</v>
      </c>
      <c r="AI9" s="75" t="s">
        <v>234</v>
      </c>
      <c r="AJ9" s="86" t="s">
        <v>235</v>
      </c>
      <c r="AK9" s="70" t="s">
        <v>149</v>
      </c>
      <c r="AL9" s="75" t="s">
        <v>150</v>
      </c>
      <c r="AM9" s="87" t="s">
        <v>151</v>
      </c>
      <c r="AN9" s="75" t="s">
        <v>236</v>
      </c>
      <c r="AO9" s="75">
        <v>0</v>
      </c>
      <c r="AP9" s="76">
        <v>1.2</v>
      </c>
      <c r="AQ9" s="75">
        <v>12</v>
      </c>
      <c r="AR9" s="76">
        <v>0</v>
      </c>
      <c r="AS9" s="88" t="s">
        <v>237</v>
      </c>
      <c r="AT9" s="76">
        <v>0</v>
      </c>
      <c r="AU9" s="75">
        <v>3</v>
      </c>
      <c r="AV9" s="70" t="s">
        <v>238</v>
      </c>
      <c r="AW9" s="70" t="s">
        <v>141</v>
      </c>
      <c r="AY9" s="53">
        <v>6</v>
      </c>
      <c r="AZ9" s="95">
        <v>1102</v>
      </c>
      <c r="BA9" s="90">
        <v>1002</v>
      </c>
      <c r="BB9" s="53">
        <v>0</v>
      </c>
      <c r="BE9" s="53" t="s">
        <v>239</v>
      </c>
    </row>
    <row r="10" s="53" customFormat="1" ht="27" spans="1:57">
      <c r="A10" s="64">
        <v>17</v>
      </c>
      <c r="B10" s="64">
        <v>0</v>
      </c>
      <c r="C10" s="71" t="s">
        <v>929</v>
      </c>
      <c r="D10" s="64" t="s">
        <v>130</v>
      </c>
      <c r="E10" s="91">
        <f t="shared" si="0"/>
        <v>18</v>
      </c>
      <c r="F10" s="82">
        <v>5</v>
      </c>
      <c r="G10" s="71">
        <f t="shared" si="1"/>
        <v>25</v>
      </c>
      <c r="H10" s="79" t="s">
        <v>930</v>
      </c>
      <c r="I10" s="79" t="s">
        <v>915</v>
      </c>
      <c r="J10" s="71" t="s">
        <v>926</v>
      </c>
      <c r="K10" s="64">
        <v>10</v>
      </c>
      <c r="L10" s="70" t="s">
        <v>141</v>
      </c>
      <c r="M10" s="70">
        <v>1</v>
      </c>
      <c r="N10" s="92" t="s">
        <v>145</v>
      </c>
      <c r="O10" s="75">
        <f t="shared" si="2"/>
        <v>7</v>
      </c>
      <c r="P10" s="75">
        <f t="shared" si="3"/>
        <v>22</v>
      </c>
      <c r="Q10" s="75">
        <v>250</v>
      </c>
      <c r="R10" s="76">
        <f t="shared" si="4"/>
        <v>15</v>
      </c>
      <c r="S10" s="76">
        <f t="shared" si="5"/>
        <v>15000</v>
      </c>
      <c r="T10" s="76">
        <f t="shared" si="6"/>
        <v>28000</v>
      </c>
      <c r="U10" s="76">
        <f>出怪成长!C8</f>
        <v>9</v>
      </c>
      <c r="V10" s="76" t="str">
        <f>出怪成长!D8</f>
        <v>3#30001#1|7#30002#1|9#30001,30004#1</v>
      </c>
      <c r="W10" s="85" t="str">
        <f>出怪数量!Z9</f>
        <v>1:3:1|1:5:1|2:9:1|2:13:1|1:18:1|2:23:1|1:28:1|2:33:1|1:38:1</v>
      </c>
      <c r="X10" s="76" t="str">
        <f>出怪成长!E8</f>
        <v>1:10006,10008|2:10006,10007,10010|3:10006,10010,10009</v>
      </c>
      <c r="Y10" s="76" t="str">
        <f>出怪成长!F8</f>
        <v>4#1#0.8|7#2#1.2|9#3#1.4</v>
      </c>
      <c r="Z10" s="85" t="str">
        <f>每波成长!G11</f>
        <v>31#8#5</v>
      </c>
      <c r="AA10" s="75" t="s">
        <v>216</v>
      </c>
      <c r="AB10" s="86">
        <v>0</v>
      </c>
      <c r="AC10" s="75" t="s">
        <v>179</v>
      </c>
      <c r="AD10" s="75">
        <v>2</v>
      </c>
      <c r="AE10" s="70" t="s">
        <v>248</v>
      </c>
      <c r="AF10" s="75" t="s">
        <v>232</v>
      </c>
      <c r="AG10" s="75" t="s">
        <v>219</v>
      </c>
      <c r="AH10" s="70" t="s">
        <v>249</v>
      </c>
      <c r="AI10" s="75" t="s">
        <v>221</v>
      </c>
      <c r="AJ10" s="86" t="s">
        <v>202</v>
      </c>
      <c r="AK10" s="70" t="s">
        <v>149</v>
      </c>
      <c r="AL10" s="75" t="s">
        <v>150</v>
      </c>
      <c r="AM10" s="87" t="s">
        <v>151</v>
      </c>
      <c r="AN10" s="75" t="s">
        <v>222</v>
      </c>
      <c r="AO10" s="75">
        <v>0</v>
      </c>
      <c r="AP10" s="76">
        <v>1</v>
      </c>
      <c r="AQ10" s="75">
        <v>14</v>
      </c>
      <c r="AR10" s="76">
        <v>0</v>
      </c>
      <c r="AS10" s="88" t="s">
        <v>237</v>
      </c>
      <c r="AT10" s="76">
        <v>0</v>
      </c>
      <c r="AU10" s="75">
        <v>3</v>
      </c>
      <c r="AV10" s="70" t="s">
        <v>250</v>
      </c>
      <c r="AW10" s="75" t="s">
        <v>141</v>
      </c>
      <c r="AZ10" s="95"/>
      <c r="BA10" s="90"/>
    </row>
    <row r="11" s="53" customFormat="1" ht="27" spans="1:57">
      <c r="A11" s="64">
        <v>18</v>
      </c>
      <c r="B11" s="64">
        <v>0</v>
      </c>
      <c r="C11" s="71" t="s">
        <v>931</v>
      </c>
      <c r="D11" s="91" t="s">
        <v>156</v>
      </c>
      <c r="E11" s="91">
        <f t="shared" si="0"/>
        <v>19</v>
      </c>
      <c r="F11" s="82">
        <v>6</v>
      </c>
      <c r="G11" s="71">
        <f t="shared" si="1"/>
        <v>26</v>
      </c>
      <c r="H11" s="79" t="s">
        <v>932</v>
      </c>
      <c r="I11" s="79" t="s">
        <v>915</v>
      </c>
      <c r="J11" s="71" t="s">
        <v>923</v>
      </c>
      <c r="K11" s="64">
        <v>10</v>
      </c>
      <c r="L11" s="70" t="s">
        <v>141</v>
      </c>
      <c r="M11" s="70">
        <v>1</v>
      </c>
      <c r="N11" s="92" t="s">
        <v>163</v>
      </c>
      <c r="O11" s="75">
        <f t="shared" si="2"/>
        <v>9</v>
      </c>
      <c r="P11" s="75">
        <f t="shared" si="3"/>
        <v>24</v>
      </c>
      <c r="Q11" s="75">
        <v>250</v>
      </c>
      <c r="R11" s="76">
        <f t="shared" si="4"/>
        <v>15</v>
      </c>
      <c r="S11" s="76">
        <f t="shared" si="5"/>
        <v>15000</v>
      </c>
      <c r="T11" s="76">
        <f t="shared" si="6"/>
        <v>28000</v>
      </c>
      <c r="U11" s="76">
        <f>出怪成长!C9</f>
        <v>10</v>
      </c>
      <c r="V11" s="76" t="str">
        <f>出怪成长!D9</f>
        <v>4#30001#1|8#30002#1|10#30001,30004#1</v>
      </c>
      <c r="W11" s="85" t="s">
        <v>255</v>
      </c>
      <c r="X11" s="76" t="str">
        <f>出怪成长!E9</f>
        <v>1:10006,10007|2:10006,10010,10009|3:10020,10021,10023</v>
      </c>
      <c r="Y11" s="76" t="str">
        <f>出怪成长!F9</f>
        <v>5#1#0.9|8#2#1.4|10#3#1.7</v>
      </c>
      <c r="Z11" s="85" t="str">
        <f>每波成长!G12</f>
        <v>33#9#6</v>
      </c>
      <c r="AA11" s="75" t="s">
        <v>196</v>
      </c>
      <c r="AB11" s="86">
        <v>0</v>
      </c>
      <c r="AC11" s="75" t="s">
        <v>179</v>
      </c>
      <c r="AD11" s="75">
        <v>2</v>
      </c>
      <c r="AE11" s="70" t="s">
        <v>256</v>
      </c>
      <c r="AF11" s="75" t="s">
        <v>232</v>
      </c>
      <c r="AG11" s="75" t="s">
        <v>199</v>
      </c>
      <c r="AH11" s="70" t="s">
        <v>257</v>
      </c>
      <c r="AI11" s="75" t="s">
        <v>234</v>
      </c>
      <c r="AJ11" s="86" t="s">
        <v>235</v>
      </c>
      <c r="AK11" s="70" t="s">
        <v>149</v>
      </c>
      <c r="AL11" s="75" t="s">
        <v>150</v>
      </c>
      <c r="AM11" s="87" t="s">
        <v>151</v>
      </c>
      <c r="AN11" s="75" t="s">
        <v>236</v>
      </c>
      <c r="AO11" s="75">
        <v>0</v>
      </c>
      <c r="AP11" s="76">
        <v>1.2</v>
      </c>
      <c r="AQ11" s="75">
        <v>16</v>
      </c>
      <c r="AR11" s="76">
        <v>0</v>
      </c>
      <c r="AS11" s="88" t="s">
        <v>237</v>
      </c>
      <c r="AT11" s="76">
        <v>0</v>
      </c>
      <c r="AU11" s="75">
        <v>3</v>
      </c>
      <c r="AV11" s="70" t="s">
        <v>258</v>
      </c>
      <c r="AW11" s="75" t="s">
        <v>141</v>
      </c>
      <c r="AZ11" s="95"/>
      <c r="BA11" s="90"/>
    </row>
    <row r="12" s="53" customFormat="1" ht="27" spans="1:57">
      <c r="A12" s="64">
        <v>19</v>
      </c>
      <c r="B12" s="64">
        <v>0</v>
      </c>
      <c r="C12" s="71" t="s">
        <v>933</v>
      </c>
      <c r="D12" s="91" t="s">
        <v>174</v>
      </c>
      <c r="E12" s="91">
        <f t="shared" si="0"/>
        <v>20</v>
      </c>
      <c r="F12" s="96">
        <v>7</v>
      </c>
      <c r="G12" s="71">
        <f t="shared" si="1"/>
        <v>27</v>
      </c>
      <c r="H12" s="79" t="s">
        <v>934</v>
      </c>
      <c r="I12" s="79" t="s">
        <v>915</v>
      </c>
      <c r="J12" s="71" t="s">
        <v>926</v>
      </c>
      <c r="K12" s="64">
        <v>10</v>
      </c>
      <c r="L12" s="70" t="s">
        <v>141</v>
      </c>
      <c r="M12" s="70">
        <v>2</v>
      </c>
      <c r="N12" s="75">
        <f t="shared" ref="N12:N53" si="7">N4+2</f>
        <v>2</v>
      </c>
      <c r="O12" s="75">
        <f t="shared" si="2"/>
        <v>11</v>
      </c>
      <c r="P12" s="75">
        <f t="shared" si="3"/>
        <v>26</v>
      </c>
      <c r="Q12" s="75">
        <v>250</v>
      </c>
      <c r="R12" s="76">
        <f t="shared" ref="R12:R53" si="8">R4+1</f>
        <v>16</v>
      </c>
      <c r="S12" s="76">
        <f t="shared" si="5"/>
        <v>15000</v>
      </c>
      <c r="T12" s="76">
        <f t="shared" si="6"/>
        <v>28000</v>
      </c>
      <c r="U12" s="76">
        <f>出怪成长!C10</f>
        <v>8</v>
      </c>
      <c r="V12" s="76" t="str">
        <f>出怪成长!D10</f>
        <v>3#30001#1|6#30002#1|8#30001,30004#1</v>
      </c>
      <c r="W12" s="85" t="str">
        <f>出怪数量!Z11</f>
        <v>1:2:1|1:4:1|2:8:1|2:13:1|1:19:1|2:25:1|1:31:1|2:37:1</v>
      </c>
      <c r="X12" s="76" t="str">
        <f>出怪成长!E10</f>
        <v>1:10006,10010|2:10020,10021,10023|3:10020,10021,10023</v>
      </c>
      <c r="Y12" s="76" t="str">
        <f>出怪成长!F10</f>
        <v>3#1#0.9|6#2#1.4|8#3#1.7</v>
      </c>
      <c r="Z12" s="85" t="str">
        <f>每波成长!G13</f>
        <v>33#9#6</v>
      </c>
      <c r="AA12" s="75" t="s">
        <v>216</v>
      </c>
      <c r="AB12" s="86">
        <v>0</v>
      </c>
      <c r="AC12" s="75" t="s">
        <v>179</v>
      </c>
      <c r="AD12" s="75">
        <v>2</v>
      </c>
      <c r="AE12" s="70" t="s">
        <v>267</v>
      </c>
      <c r="AF12" s="75" t="s">
        <v>232</v>
      </c>
      <c r="AG12" s="75" t="s">
        <v>219</v>
      </c>
      <c r="AH12" s="70" t="s">
        <v>268</v>
      </c>
      <c r="AI12" s="75" t="s">
        <v>269</v>
      </c>
      <c r="AJ12" s="86">
        <v>0</v>
      </c>
      <c r="AK12" s="70" t="s">
        <v>149</v>
      </c>
      <c r="AL12" s="75" t="s">
        <v>270</v>
      </c>
      <c r="AM12" s="87" t="s">
        <v>271</v>
      </c>
      <c r="AN12" s="75" t="s">
        <v>272</v>
      </c>
      <c r="AO12" s="75">
        <v>0</v>
      </c>
      <c r="AP12" s="85">
        <v>2</v>
      </c>
      <c r="AQ12" s="75">
        <v>20</v>
      </c>
      <c r="AR12" s="76">
        <v>0</v>
      </c>
      <c r="AS12" s="88" t="s">
        <v>273</v>
      </c>
      <c r="AT12" s="76">
        <v>0</v>
      </c>
      <c r="AU12" s="75">
        <v>3</v>
      </c>
      <c r="AV12" s="70" t="s">
        <v>274</v>
      </c>
      <c r="AW12" s="70" t="s">
        <v>275</v>
      </c>
      <c r="AY12" s="53">
        <v>7</v>
      </c>
      <c r="AZ12" s="95">
        <v>3102</v>
      </c>
      <c r="BA12" s="90">
        <v>3002</v>
      </c>
      <c r="BB12" s="53">
        <v>0</v>
      </c>
    </row>
    <row r="13" s="54" customFormat="1" ht="27" spans="1:57">
      <c r="A13" s="64">
        <v>20</v>
      </c>
      <c r="B13" s="64">
        <v>0</v>
      </c>
      <c r="C13" s="71" t="s">
        <v>935</v>
      </c>
      <c r="D13" s="64" t="s">
        <v>130</v>
      </c>
      <c r="E13" s="91">
        <f t="shared" si="0"/>
        <v>21</v>
      </c>
      <c r="F13" s="96">
        <v>7</v>
      </c>
      <c r="G13" s="71">
        <f t="shared" si="1"/>
        <v>27</v>
      </c>
      <c r="H13" s="79" t="s">
        <v>936</v>
      </c>
      <c r="I13" s="79" t="s">
        <v>915</v>
      </c>
      <c r="J13" s="71" t="s">
        <v>923</v>
      </c>
      <c r="K13" s="64">
        <v>10</v>
      </c>
      <c r="L13" s="70" t="s">
        <v>141</v>
      </c>
      <c r="M13" s="70">
        <v>2</v>
      </c>
      <c r="N13" s="75">
        <f t="shared" si="7"/>
        <v>1</v>
      </c>
      <c r="O13" s="75">
        <f t="shared" si="2"/>
        <v>10</v>
      </c>
      <c r="P13" s="75">
        <f t="shared" si="3"/>
        <v>25</v>
      </c>
      <c r="Q13" s="75">
        <v>250</v>
      </c>
      <c r="R13" s="76">
        <f t="shared" si="8"/>
        <v>16</v>
      </c>
      <c r="S13" s="76">
        <f t="shared" si="5"/>
        <v>15000</v>
      </c>
      <c r="T13" s="76">
        <f t="shared" si="6"/>
        <v>28000</v>
      </c>
      <c r="U13" s="76">
        <f>出怪成长!C11</f>
        <v>8</v>
      </c>
      <c r="V13" s="76" t="str">
        <f>出怪成长!D11</f>
        <v>3#30001#1|6#30002#1|8#30001,30004#1</v>
      </c>
      <c r="W13" s="85" t="str">
        <f>出怪数量!Z12</f>
        <v>1:2:1|1:4:1|2:8:1|2:13:1|3:19:1|3:25:1|1:31:1|2:37:1</v>
      </c>
      <c r="X13" s="76" t="str">
        <f>出怪成长!E11</f>
        <v>1:10020,10021|2:10020,10021,10023|3:10020,10021,10023</v>
      </c>
      <c r="Y13" s="76" t="str">
        <f>出怪成长!F11</f>
        <v>3#1#0.9|6#2#1.4|8#3#1.7</v>
      </c>
      <c r="Z13" s="85" t="str">
        <f>每波成长!G14</f>
        <v>31#8#5</v>
      </c>
      <c r="AA13" s="75" t="s">
        <v>196</v>
      </c>
      <c r="AB13" s="86">
        <v>0</v>
      </c>
      <c r="AC13" s="75" t="s">
        <v>179</v>
      </c>
      <c r="AD13" s="75">
        <v>2</v>
      </c>
      <c r="AE13" s="70" t="s">
        <v>280</v>
      </c>
      <c r="AF13" s="75" t="s">
        <v>232</v>
      </c>
      <c r="AG13" s="75" t="s">
        <v>199</v>
      </c>
      <c r="AH13" s="70" t="s">
        <v>281</v>
      </c>
      <c r="AI13" s="75" t="s">
        <v>282</v>
      </c>
      <c r="AJ13" s="86">
        <v>0</v>
      </c>
      <c r="AK13" s="70" t="s">
        <v>149</v>
      </c>
      <c r="AL13" s="75" t="s">
        <v>270</v>
      </c>
      <c r="AM13" s="87" t="s">
        <v>271</v>
      </c>
      <c r="AN13" s="75" t="s">
        <v>283</v>
      </c>
      <c r="AO13" s="75">
        <v>0</v>
      </c>
      <c r="AP13" s="76">
        <v>2.2</v>
      </c>
      <c r="AQ13" s="75">
        <v>22</v>
      </c>
      <c r="AR13" s="76" t="s">
        <v>284</v>
      </c>
      <c r="AS13" s="88" t="s">
        <v>285</v>
      </c>
      <c r="AT13" s="76">
        <v>0</v>
      </c>
      <c r="AU13" s="75">
        <v>3</v>
      </c>
      <c r="AV13" s="70" t="s">
        <v>286</v>
      </c>
      <c r="AW13" s="70" t="str">
        <f t="shared" ref="AW13:AW19" si="9">AW12</f>
        <v>MapCandy</v>
      </c>
      <c r="AY13" s="54">
        <v>8</v>
      </c>
      <c r="AZ13" s="93">
        <v>3103</v>
      </c>
      <c r="BA13" s="94">
        <v>3002</v>
      </c>
      <c r="BB13" s="54">
        <v>3003</v>
      </c>
      <c r="BE13" s="54" t="s">
        <v>287</v>
      </c>
    </row>
    <row r="14" s="55" customFormat="1" ht="27" spans="1:57">
      <c r="A14" s="64">
        <v>21</v>
      </c>
      <c r="B14" s="64">
        <v>0</v>
      </c>
      <c r="C14" s="71" t="s">
        <v>937</v>
      </c>
      <c r="D14" s="91" t="s">
        <v>156</v>
      </c>
      <c r="E14" s="91">
        <f t="shared" si="0"/>
        <v>22</v>
      </c>
      <c r="F14" s="71">
        <f t="shared" ref="F14:F53" si="10">F12+1</f>
        <v>8</v>
      </c>
      <c r="G14" s="71">
        <f t="shared" si="1"/>
        <v>28</v>
      </c>
      <c r="H14" s="79" t="s">
        <v>938</v>
      </c>
      <c r="I14" s="79" t="s">
        <v>915</v>
      </c>
      <c r="J14" s="71" t="s">
        <v>926</v>
      </c>
      <c r="K14" s="64">
        <v>10</v>
      </c>
      <c r="L14" s="70" t="s">
        <v>141</v>
      </c>
      <c r="M14" s="70">
        <v>2</v>
      </c>
      <c r="N14" s="75">
        <f t="shared" si="7"/>
        <v>2</v>
      </c>
      <c r="O14" s="75">
        <f t="shared" si="2"/>
        <v>12</v>
      </c>
      <c r="P14" s="75">
        <f t="shared" si="3"/>
        <v>27</v>
      </c>
      <c r="Q14" s="75">
        <v>250</v>
      </c>
      <c r="R14" s="76">
        <f t="shared" si="8"/>
        <v>16</v>
      </c>
      <c r="S14" s="76">
        <f t="shared" si="5"/>
        <v>15000</v>
      </c>
      <c r="T14" s="76">
        <f t="shared" si="6"/>
        <v>28000</v>
      </c>
      <c r="U14" s="76">
        <f>出怪成长!C12</f>
        <v>9</v>
      </c>
      <c r="V14" s="76" t="str">
        <f>出怪成长!D12</f>
        <v>3#30001#1|7#30002#1|9#30001,30004#1</v>
      </c>
      <c r="W14" s="85" t="str">
        <f>出怪数量!Z13</f>
        <v>1:2:1|1:4:1|2:8:1|2:13:1|3:19:1|3:25:1|1:31:1|2:37:1|3:43:1</v>
      </c>
      <c r="X14" s="76" t="str">
        <f>出怪成长!E12</f>
        <v>1:10020,10021|2:10020,10021,10023|3:10020,10021,10023</v>
      </c>
      <c r="Y14" s="76" t="str">
        <f>出怪成长!F12</f>
        <v>4#1#0.9|7#2#1.4|9#3#1.7</v>
      </c>
      <c r="Z14" s="85" t="str">
        <f>每波成长!G15</f>
        <v>33#9#6</v>
      </c>
      <c r="AA14" s="75" t="s">
        <v>216</v>
      </c>
      <c r="AB14" s="86">
        <v>0</v>
      </c>
      <c r="AC14" s="75" t="s">
        <v>179</v>
      </c>
      <c r="AD14" s="75">
        <v>2</v>
      </c>
      <c r="AE14" s="70" t="s">
        <v>293</v>
      </c>
      <c r="AF14" s="75" t="s">
        <v>232</v>
      </c>
      <c r="AG14" s="75" t="s">
        <v>219</v>
      </c>
      <c r="AH14" s="70" t="s">
        <v>294</v>
      </c>
      <c r="AI14" s="75" t="s">
        <v>295</v>
      </c>
      <c r="AJ14" s="86">
        <v>0</v>
      </c>
      <c r="AK14" s="70" t="s">
        <v>149</v>
      </c>
      <c r="AL14" s="75" t="s">
        <v>270</v>
      </c>
      <c r="AM14" s="87" t="s">
        <v>271</v>
      </c>
      <c r="AN14" s="75" t="s">
        <v>296</v>
      </c>
      <c r="AO14" s="75">
        <v>0</v>
      </c>
      <c r="AP14" s="85">
        <v>2.4</v>
      </c>
      <c r="AQ14" s="75">
        <v>24</v>
      </c>
      <c r="AR14" s="76" t="s">
        <v>297</v>
      </c>
      <c r="AS14" s="88" t="s">
        <v>298</v>
      </c>
      <c r="AT14" s="76">
        <v>0</v>
      </c>
      <c r="AU14" s="75">
        <v>3</v>
      </c>
      <c r="AV14" s="70" t="s">
        <v>299</v>
      </c>
      <c r="AW14" s="70" t="str">
        <f t="shared" si="9"/>
        <v>MapCandy</v>
      </c>
      <c r="AY14" s="55">
        <v>9</v>
      </c>
      <c r="AZ14" s="97">
        <v>3104</v>
      </c>
      <c r="BA14" s="98">
        <v>3002</v>
      </c>
      <c r="BB14" s="55">
        <v>0</v>
      </c>
    </row>
    <row r="15" s="54" customFormat="1" ht="27" spans="1:57">
      <c r="A15" s="64">
        <v>22</v>
      </c>
      <c r="B15" s="64">
        <v>0</v>
      </c>
      <c r="C15" s="71" t="s">
        <v>939</v>
      </c>
      <c r="D15" s="91" t="s">
        <v>174</v>
      </c>
      <c r="E15" s="91">
        <f t="shared" si="0"/>
        <v>23</v>
      </c>
      <c r="F15" s="71">
        <f t="shared" si="10"/>
        <v>8</v>
      </c>
      <c r="G15" s="71">
        <f t="shared" si="1"/>
        <v>28</v>
      </c>
      <c r="H15" s="79" t="s">
        <v>940</v>
      </c>
      <c r="I15" s="79" t="s">
        <v>915</v>
      </c>
      <c r="J15" s="71" t="s">
        <v>923</v>
      </c>
      <c r="K15" s="64">
        <v>10</v>
      </c>
      <c r="L15" s="70" t="s">
        <v>141</v>
      </c>
      <c r="M15" s="70">
        <v>2</v>
      </c>
      <c r="N15" s="75">
        <f t="shared" si="7"/>
        <v>3</v>
      </c>
      <c r="O15" s="75">
        <f t="shared" si="2"/>
        <v>13</v>
      </c>
      <c r="P15" s="75">
        <f t="shared" si="3"/>
        <v>28</v>
      </c>
      <c r="Q15" s="75">
        <v>250</v>
      </c>
      <c r="R15" s="76">
        <f t="shared" si="8"/>
        <v>16</v>
      </c>
      <c r="S15" s="76">
        <f t="shared" si="5"/>
        <v>15000</v>
      </c>
      <c r="T15" s="76">
        <f t="shared" si="6"/>
        <v>28000</v>
      </c>
      <c r="U15" s="76">
        <f>出怪成长!C13</f>
        <v>10</v>
      </c>
      <c r="V15" s="76" t="str">
        <f>出怪成长!D13</f>
        <v>4#30001#1|8#30002#1|10#30001,30004#1</v>
      </c>
      <c r="W15" s="85" t="str">
        <f>出怪数量!Z14</f>
        <v>1:2:1|1:4:1|2:8:1|2:13:1|3:19:1|3:25:1|1:31:1|2:37:1|3:43:1|3:49:1</v>
      </c>
      <c r="X15" s="76" t="str">
        <f>出怪成长!E13</f>
        <v>1:10020,10021|2:10020,10021,10023|3:10025,10026,10028</v>
      </c>
      <c r="Y15" s="76" t="str">
        <f>出怪成长!F13</f>
        <v>5#1#1|8#2#1.6|10#3#2</v>
      </c>
      <c r="Z15" s="85" t="str">
        <f>每波成长!G16</f>
        <v>34#9#6</v>
      </c>
      <c r="AA15" s="75" t="s">
        <v>196</v>
      </c>
      <c r="AB15" s="86">
        <v>0</v>
      </c>
      <c r="AC15" s="75" t="s">
        <v>179</v>
      </c>
      <c r="AD15" s="75">
        <v>2</v>
      </c>
      <c r="AE15" s="70" t="s">
        <v>304</v>
      </c>
      <c r="AF15" s="75" t="s">
        <v>232</v>
      </c>
      <c r="AG15" s="75" t="s">
        <v>199</v>
      </c>
      <c r="AH15" s="70" t="s">
        <v>305</v>
      </c>
      <c r="AI15" s="75" t="s">
        <v>306</v>
      </c>
      <c r="AJ15" s="86">
        <v>0</v>
      </c>
      <c r="AK15" s="70" t="s">
        <v>149</v>
      </c>
      <c r="AL15" s="75" t="s">
        <v>270</v>
      </c>
      <c r="AM15" s="87" t="s">
        <v>271</v>
      </c>
      <c r="AN15" s="75" t="s">
        <v>307</v>
      </c>
      <c r="AO15" s="75">
        <v>0</v>
      </c>
      <c r="AP15" s="76">
        <v>2.6</v>
      </c>
      <c r="AQ15" s="75">
        <v>26</v>
      </c>
      <c r="AR15" s="76" t="s">
        <v>308</v>
      </c>
      <c r="AS15" s="88" t="s">
        <v>309</v>
      </c>
      <c r="AT15" s="76">
        <v>0</v>
      </c>
      <c r="AU15" s="75">
        <v>3</v>
      </c>
      <c r="AV15" s="70" t="s">
        <v>310</v>
      </c>
      <c r="AW15" s="70" t="str">
        <f t="shared" si="9"/>
        <v>MapCandy</v>
      </c>
      <c r="AY15" s="54">
        <v>10</v>
      </c>
      <c r="AZ15" s="93">
        <v>3105</v>
      </c>
      <c r="BA15" s="94">
        <v>3003</v>
      </c>
      <c r="BB15" s="54">
        <v>0</v>
      </c>
      <c r="BE15" s="54" t="s">
        <v>311</v>
      </c>
    </row>
    <row r="16" s="53" customFormat="1" ht="27" customHeight="1" spans="1:57">
      <c r="A16" s="64">
        <v>23</v>
      </c>
      <c r="B16" s="64">
        <v>0</v>
      </c>
      <c r="C16" s="71" t="s">
        <v>941</v>
      </c>
      <c r="D16" s="64" t="s">
        <v>130</v>
      </c>
      <c r="E16" s="91">
        <f t="shared" si="0"/>
        <v>24</v>
      </c>
      <c r="F16" s="71">
        <f t="shared" si="10"/>
        <v>9</v>
      </c>
      <c r="G16" s="71">
        <f t="shared" si="1"/>
        <v>29</v>
      </c>
      <c r="H16" s="79" t="s">
        <v>942</v>
      </c>
      <c r="I16" s="79" t="s">
        <v>915</v>
      </c>
      <c r="J16" s="71" t="s">
        <v>926</v>
      </c>
      <c r="K16" s="64">
        <v>10</v>
      </c>
      <c r="L16" s="70" t="s">
        <v>141</v>
      </c>
      <c r="M16" s="70">
        <v>2</v>
      </c>
      <c r="N16" s="75">
        <f t="shared" si="7"/>
        <v>1</v>
      </c>
      <c r="O16" s="75">
        <f t="shared" si="2"/>
        <v>12</v>
      </c>
      <c r="P16" s="75">
        <f t="shared" si="3"/>
        <v>27</v>
      </c>
      <c r="Q16" s="75">
        <v>250</v>
      </c>
      <c r="R16" s="76">
        <f t="shared" si="8"/>
        <v>16</v>
      </c>
      <c r="S16" s="76">
        <f t="shared" si="5"/>
        <v>15000</v>
      </c>
      <c r="T16" s="76">
        <f t="shared" si="6"/>
        <v>28000</v>
      </c>
      <c r="U16" s="76">
        <f>出怪成长!C14</f>
        <v>9</v>
      </c>
      <c r="V16" s="76" t="str">
        <f>出怪成长!D14</f>
        <v>3#30001#1|7#30002#1|9#30001,30004#1</v>
      </c>
      <c r="W16" s="85" t="str">
        <f>出怪数量!Z15</f>
        <v>1:3:1|1:5:1|2:9:1|2:14:1|3:20:1|3:26:1|1:32:1|2:38:1|3:44:1</v>
      </c>
      <c r="X16" s="76" t="str">
        <f>出怪成长!E14</f>
        <v>1:10020,10021|2:10025,10026,10028|3:10025,10026,10028</v>
      </c>
      <c r="Y16" s="76" t="str">
        <f>出怪成长!F14</f>
        <v>4#1#1|7#2#1.6|9#3#2</v>
      </c>
      <c r="Z16" s="85" t="str">
        <f>每波成长!G17</f>
        <v>31#8#5</v>
      </c>
      <c r="AA16" s="75" t="s">
        <v>216</v>
      </c>
      <c r="AB16" s="86">
        <v>0</v>
      </c>
      <c r="AC16" s="75" t="s">
        <v>179</v>
      </c>
      <c r="AD16" s="75">
        <v>2</v>
      </c>
      <c r="AE16" s="70" t="s">
        <v>321</v>
      </c>
      <c r="AF16" s="75" t="s">
        <v>232</v>
      </c>
      <c r="AG16" s="75" t="s">
        <v>219</v>
      </c>
      <c r="AH16" s="70" t="s">
        <v>322</v>
      </c>
      <c r="AI16" s="75" t="s">
        <v>323</v>
      </c>
      <c r="AJ16" s="86">
        <v>0</v>
      </c>
      <c r="AK16" s="70" t="s">
        <v>149</v>
      </c>
      <c r="AL16" s="75" t="s">
        <v>270</v>
      </c>
      <c r="AM16" s="87" t="s">
        <v>271</v>
      </c>
      <c r="AN16" s="75" t="s">
        <v>324</v>
      </c>
      <c r="AO16" s="75">
        <v>0</v>
      </c>
      <c r="AP16" s="85">
        <v>2.7</v>
      </c>
      <c r="AQ16" s="75">
        <v>27</v>
      </c>
      <c r="AR16" s="76">
        <v>0</v>
      </c>
      <c r="AS16" s="88" t="s">
        <v>325</v>
      </c>
      <c r="AT16" s="76">
        <v>0</v>
      </c>
      <c r="AU16" s="75">
        <v>3</v>
      </c>
      <c r="AV16" s="70" t="s">
        <v>326</v>
      </c>
      <c r="AW16" s="70" t="str">
        <f t="shared" si="9"/>
        <v>MapCandy</v>
      </c>
      <c r="AY16" s="53">
        <v>11</v>
      </c>
      <c r="AZ16" s="95">
        <v>3106</v>
      </c>
      <c r="BA16" s="90">
        <v>3003</v>
      </c>
      <c r="BB16" s="53">
        <v>0</v>
      </c>
    </row>
    <row r="17" s="54" customFormat="1" ht="27" customHeight="1" spans="1:57">
      <c r="A17" s="64">
        <v>24</v>
      </c>
      <c r="B17" s="64">
        <v>0</v>
      </c>
      <c r="C17" s="71" t="s">
        <v>943</v>
      </c>
      <c r="D17" s="91" t="s">
        <v>156</v>
      </c>
      <c r="E17" s="91">
        <f t="shared" si="0"/>
        <v>25</v>
      </c>
      <c r="F17" s="71">
        <f t="shared" si="10"/>
        <v>9</v>
      </c>
      <c r="G17" s="71">
        <f t="shared" si="1"/>
        <v>29</v>
      </c>
      <c r="H17" s="79" t="s">
        <v>944</v>
      </c>
      <c r="I17" s="79" t="s">
        <v>915</v>
      </c>
      <c r="J17" s="71" t="s">
        <v>923</v>
      </c>
      <c r="K17" s="64">
        <v>10</v>
      </c>
      <c r="L17" s="70" t="s">
        <v>141</v>
      </c>
      <c r="M17" s="70">
        <v>2</v>
      </c>
      <c r="N17" s="75">
        <f t="shared" si="7"/>
        <v>2</v>
      </c>
      <c r="O17" s="75">
        <f t="shared" si="2"/>
        <v>13</v>
      </c>
      <c r="P17" s="75">
        <f t="shared" si="3"/>
        <v>28</v>
      </c>
      <c r="Q17" s="75">
        <v>250</v>
      </c>
      <c r="R17" s="76">
        <f t="shared" si="8"/>
        <v>16</v>
      </c>
      <c r="S17" s="76">
        <f t="shared" si="5"/>
        <v>15000</v>
      </c>
      <c r="T17" s="76">
        <f t="shared" si="6"/>
        <v>28000</v>
      </c>
      <c r="U17" s="76">
        <f>出怪成长!C15</f>
        <v>9</v>
      </c>
      <c r="V17" s="76" t="str">
        <f>出怪成长!D15</f>
        <v>3#30001#1|7#30002#1|9#30001,30004#1</v>
      </c>
      <c r="W17" s="85" t="str">
        <f>出怪数量!Z16</f>
        <v>1:3:1|1:5:1|2:9:1|2:14:1|1:20:1|2:26:1|1:32:1|2:38:1|2:44:1</v>
      </c>
      <c r="X17" s="76" t="str">
        <f>出怪成长!E15</f>
        <v>1:10025,10026|2:10025,10026,10028|3:10025,10026,10028</v>
      </c>
      <c r="Y17" s="76" t="str">
        <f>出怪成长!F15</f>
        <v>4#1#1|7#2#1.6|9#3#2</v>
      </c>
      <c r="Z17" s="85" t="str">
        <f>每波成长!G18</f>
        <v>33#9#6</v>
      </c>
      <c r="AA17" s="75" t="s">
        <v>196</v>
      </c>
      <c r="AB17" s="86">
        <v>0</v>
      </c>
      <c r="AC17" s="75" t="s">
        <v>179</v>
      </c>
      <c r="AD17" s="75">
        <v>2</v>
      </c>
      <c r="AE17" s="70" t="s">
        <v>334</v>
      </c>
      <c r="AF17" s="75" t="s">
        <v>232</v>
      </c>
      <c r="AG17" s="75" t="s">
        <v>199</v>
      </c>
      <c r="AH17" s="70" t="s">
        <v>335</v>
      </c>
      <c r="AI17" s="75" t="s">
        <v>336</v>
      </c>
      <c r="AJ17" s="86">
        <v>0</v>
      </c>
      <c r="AK17" s="70" t="s">
        <v>149</v>
      </c>
      <c r="AL17" s="75" t="s">
        <v>270</v>
      </c>
      <c r="AM17" s="87" t="s">
        <v>271</v>
      </c>
      <c r="AN17" s="75" t="s">
        <v>337</v>
      </c>
      <c r="AO17" s="75">
        <v>0</v>
      </c>
      <c r="AP17" s="76">
        <v>3</v>
      </c>
      <c r="AQ17" s="75">
        <v>30</v>
      </c>
      <c r="AR17" s="76" t="s">
        <v>338</v>
      </c>
      <c r="AS17" s="88" t="s">
        <v>339</v>
      </c>
      <c r="AT17" s="76">
        <v>0</v>
      </c>
      <c r="AU17" s="75">
        <v>3</v>
      </c>
      <c r="AV17" s="70" t="s">
        <v>340</v>
      </c>
      <c r="AW17" s="70" t="str">
        <f t="shared" si="9"/>
        <v>MapCandy</v>
      </c>
      <c r="AY17" s="54">
        <v>12</v>
      </c>
      <c r="AZ17" s="93">
        <v>3107</v>
      </c>
      <c r="BA17" s="94">
        <v>3003</v>
      </c>
      <c r="BB17" s="54">
        <v>3004</v>
      </c>
      <c r="BE17" s="54" t="s">
        <v>341</v>
      </c>
    </row>
    <row r="18" s="53" customFormat="1" ht="27" customHeight="1" spans="1:57">
      <c r="A18" s="64">
        <v>25</v>
      </c>
      <c r="B18" s="64">
        <v>0</v>
      </c>
      <c r="C18" s="71" t="s">
        <v>945</v>
      </c>
      <c r="D18" s="91" t="s">
        <v>174</v>
      </c>
      <c r="E18" s="91">
        <f t="shared" si="0"/>
        <v>26</v>
      </c>
      <c r="F18" s="71">
        <f t="shared" si="10"/>
        <v>10</v>
      </c>
      <c r="G18" s="71">
        <f t="shared" si="1"/>
        <v>30</v>
      </c>
      <c r="H18" s="79" t="s">
        <v>946</v>
      </c>
      <c r="I18" s="79" t="s">
        <v>915</v>
      </c>
      <c r="J18" s="71" t="s">
        <v>923</v>
      </c>
      <c r="K18" s="64">
        <v>10</v>
      </c>
      <c r="L18" s="75" t="s">
        <v>141</v>
      </c>
      <c r="M18" s="75">
        <v>2</v>
      </c>
      <c r="N18" s="75">
        <f t="shared" si="7"/>
        <v>3</v>
      </c>
      <c r="O18" s="75">
        <f t="shared" si="2"/>
        <v>15</v>
      </c>
      <c r="P18" s="75">
        <f t="shared" si="3"/>
        <v>30</v>
      </c>
      <c r="Q18" s="75">
        <v>250</v>
      </c>
      <c r="R18" s="76">
        <f t="shared" si="8"/>
        <v>16</v>
      </c>
      <c r="S18" s="76">
        <f t="shared" si="5"/>
        <v>15000</v>
      </c>
      <c r="T18" s="76">
        <f t="shared" si="6"/>
        <v>28000</v>
      </c>
      <c r="U18" s="76">
        <f>出怪成长!C16</f>
        <v>9</v>
      </c>
      <c r="V18" s="76" t="str">
        <f>出怪成长!D16</f>
        <v>3#30001#1|7#30002#1|9#30001,30004#1</v>
      </c>
      <c r="W18" s="85" t="str">
        <f>出怪数量!Z17</f>
        <v>1:3:1|1:5:1|2:9:1|2:14:1|3:20:1|3:26:1|1:32:1|2:38:1|1:44:1</v>
      </c>
      <c r="X18" s="76" t="str">
        <f>出怪成长!E16</f>
        <v>1:10025,10026|2:10025,10026,10028|3:10030,10031,10032</v>
      </c>
      <c r="Y18" s="76" t="str">
        <f>出怪成长!F16</f>
        <v>4#1#1|7#2#1.6|9#3#2</v>
      </c>
      <c r="Z18" s="85" t="str">
        <f>每波成长!G19</f>
        <v>34#9#6</v>
      </c>
      <c r="AA18" s="75" t="s">
        <v>196</v>
      </c>
      <c r="AB18" s="86">
        <v>0</v>
      </c>
      <c r="AC18" s="75" t="s">
        <v>179</v>
      </c>
      <c r="AD18" s="75">
        <v>2</v>
      </c>
      <c r="AE18" s="70" t="s">
        <v>347</v>
      </c>
      <c r="AF18" s="75" t="s">
        <v>232</v>
      </c>
      <c r="AG18" s="75" t="s">
        <v>199</v>
      </c>
      <c r="AH18" s="70" t="s">
        <v>348</v>
      </c>
      <c r="AI18" s="75" t="s">
        <v>323</v>
      </c>
      <c r="AJ18" s="86">
        <v>0</v>
      </c>
      <c r="AK18" s="70" t="s">
        <v>149</v>
      </c>
      <c r="AL18" s="75" t="s">
        <v>270</v>
      </c>
      <c r="AM18" s="87" t="s">
        <v>271</v>
      </c>
      <c r="AN18" s="75" t="s">
        <v>324</v>
      </c>
      <c r="AO18" s="75">
        <v>0</v>
      </c>
      <c r="AP18" s="85">
        <v>2.7</v>
      </c>
      <c r="AQ18" s="75">
        <v>27</v>
      </c>
      <c r="AR18" s="76">
        <v>0</v>
      </c>
      <c r="AS18" s="88" t="s">
        <v>325</v>
      </c>
      <c r="AT18" s="76">
        <v>0</v>
      </c>
      <c r="AU18" s="75">
        <v>3</v>
      </c>
      <c r="AV18" s="70" t="s">
        <v>349</v>
      </c>
      <c r="AW18" s="70" t="str">
        <f t="shared" si="9"/>
        <v>MapCandy</v>
      </c>
      <c r="AY18" s="53">
        <v>11</v>
      </c>
      <c r="AZ18" s="95">
        <v>3106</v>
      </c>
      <c r="BA18" s="90">
        <v>3003</v>
      </c>
      <c r="BB18" s="53">
        <v>0</v>
      </c>
    </row>
    <row r="19" s="54" customFormat="1" ht="27" customHeight="1" spans="1:57">
      <c r="A19" s="64">
        <v>26</v>
      </c>
      <c r="B19" s="64">
        <v>0</v>
      </c>
      <c r="C19" s="71" t="s">
        <v>947</v>
      </c>
      <c r="D19" s="64" t="s">
        <v>130</v>
      </c>
      <c r="E19" s="91">
        <f t="shared" si="0"/>
        <v>27</v>
      </c>
      <c r="F19" s="71">
        <f t="shared" si="10"/>
        <v>10</v>
      </c>
      <c r="G19" s="71">
        <f t="shared" si="1"/>
        <v>30</v>
      </c>
      <c r="H19" s="79" t="s">
        <v>948</v>
      </c>
      <c r="I19" s="79" t="s">
        <v>915</v>
      </c>
      <c r="J19" s="71" t="s">
        <v>923</v>
      </c>
      <c r="K19" s="64">
        <v>10</v>
      </c>
      <c r="L19" s="75" t="s">
        <v>141</v>
      </c>
      <c r="M19" s="75">
        <v>2</v>
      </c>
      <c r="N19" s="75">
        <f t="shared" si="7"/>
        <v>4</v>
      </c>
      <c r="O19" s="75">
        <f t="shared" si="2"/>
        <v>16</v>
      </c>
      <c r="P19" s="75">
        <f t="shared" si="3"/>
        <v>31</v>
      </c>
      <c r="Q19" s="75">
        <v>250</v>
      </c>
      <c r="R19" s="76">
        <f t="shared" si="8"/>
        <v>16</v>
      </c>
      <c r="S19" s="76">
        <f t="shared" si="5"/>
        <v>15000</v>
      </c>
      <c r="T19" s="76">
        <f t="shared" si="6"/>
        <v>28000</v>
      </c>
      <c r="U19" s="76">
        <f>出怪成长!C17</f>
        <v>10</v>
      </c>
      <c r="V19" s="76" t="str">
        <f>出怪成长!D17</f>
        <v>4#30001#1|8#30002#1|10#30001,30004#1</v>
      </c>
      <c r="W19" s="85" t="str">
        <f>出怪数量!Z18</f>
        <v>1:3:1|1:5:1|2:9:1|2:14:1|3:20:1|3:26:1|1:32:1|2:38:1|1:44:1|2:50:1</v>
      </c>
      <c r="X19" s="76" t="str">
        <f>出怪成长!E17</f>
        <v>1:10025,10026|2:10030,10031,10032|3:10031,10028,10034</v>
      </c>
      <c r="Y19" s="76" t="str">
        <f>出怪成长!F17</f>
        <v>5#1#1.1|8#2#1.8|10#3#2.3</v>
      </c>
      <c r="Z19" s="85" t="str">
        <f>每波成长!G20</f>
        <v>36#10#7</v>
      </c>
      <c r="AA19" s="75" t="s">
        <v>196</v>
      </c>
      <c r="AB19" s="86">
        <v>0</v>
      </c>
      <c r="AC19" s="75" t="s">
        <v>179</v>
      </c>
      <c r="AD19" s="75">
        <v>2</v>
      </c>
      <c r="AE19" s="70" t="s">
        <v>354</v>
      </c>
      <c r="AF19" s="75" t="s">
        <v>232</v>
      </c>
      <c r="AG19" s="75" t="s">
        <v>199</v>
      </c>
      <c r="AH19" s="70" t="s">
        <v>355</v>
      </c>
      <c r="AI19" s="75" t="s">
        <v>336</v>
      </c>
      <c r="AJ19" s="86">
        <v>0</v>
      </c>
      <c r="AK19" s="70" t="s">
        <v>149</v>
      </c>
      <c r="AL19" s="75" t="s">
        <v>270</v>
      </c>
      <c r="AM19" s="87" t="s">
        <v>271</v>
      </c>
      <c r="AN19" s="75" t="s">
        <v>337</v>
      </c>
      <c r="AO19" s="75">
        <v>0</v>
      </c>
      <c r="AP19" s="76">
        <v>3</v>
      </c>
      <c r="AQ19" s="75">
        <v>30</v>
      </c>
      <c r="AR19" s="76" t="s">
        <v>338</v>
      </c>
      <c r="AS19" s="88" t="s">
        <v>339</v>
      </c>
      <c r="AT19" s="76">
        <v>0</v>
      </c>
      <c r="AU19" s="75">
        <v>3</v>
      </c>
      <c r="AV19" s="70" t="s">
        <v>356</v>
      </c>
      <c r="AW19" s="70" t="str">
        <f t="shared" si="9"/>
        <v>MapCandy</v>
      </c>
      <c r="AY19" s="54">
        <v>12</v>
      </c>
      <c r="AZ19" s="93">
        <v>3107</v>
      </c>
      <c r="BA19" s="94">
        <v>3003</v>
      </c>
      <c r="BB19" s="54">
        <v>3004</v>
      </c>
      <c r="BE19" s="54" t="s">
        <v>341</v>
      </c>
    </row>
    <row r="20" s="53" customFormat="1" ht="27" spans="1:57">
      <c r="A20" s="64">
        <v>27</v>
      </c>
      <c r="B20" s="64">
        <v>0</v>
      </c>
      <c r="C20" s="71" t="s">
        <v>949</v>
      </c>
      <c r="D20" s="91" t="s">
        <v>156</v>
      </c>
      <c r="E20" s="91">
        <f t="shared" si="0"/>
        <v>28</v>
      </c>
      <c r="F20" s="71">
        <f t="shared" si="10"/>
        <v>11</v>
      </c>
      <c r="G20" s="71">
        <f t="shared" si="1"/>
        <v>31</v>
      </c>
      <c r="H20" s="79" t="s">
        <v>950</v>
      </c>
      <c r="I20" s="79" t="s">
        <v>915</v>
      </c>
      <c r="J20" s="71" t="s">
        <v>926</v>
      </c>
      <c r="K20" s="64">
        <v>10</v>
      </c>
      <c r="L20" s="75" t="s">
        <v>141</v>
      </c>
      <c r="M20" s="75">
        <v>3</v>
      </c>
      <c r="N20" s="75">
        <f t="shared" si="7"/>
        <v>4</v>
      </c>
      <c r="O20" s="75">
        <f t="shared" si="2"/>
        <v>18</v>
      </c>
      <c r="P20" s="75">
        <f t="shared" si="3"/>
        <v>33</v>
      </c>
      <c r="Q20" s="75">
        <v>250</v>
      </c>
      <c r="R20" s="76">
        <f t="shared" si="8"/>
        <v>17</v>
      </c>
      <c r="S20" s="76">
        <f t="shared" si="5"/>
        <v>15000</v>
      </c>
      <c r="T20" s="76">
        <f t="shared" si="6"/>
        <v>28000</v>
      </c>
      <c r="U20" s="76">
        <f>出怪成长!C18</f>
        <v>8</v>
      </c>
      <c r="V20" s="76" t="str">
        <f>出怪成长!D18</f>
        <v>3#30001#1|6#30002#1|8#30001,30004#1</v>
      </c>
      <c r="W20" s="85" t="str">
        <f>出怪数量!Z19</f>
        <v>1:2:1|1:5:1|2:10:1|2:5:1#2:5:1#3:5:1|3:4:1#2:4:1#3:4:1|3:5:1#2:5:1#3:5:1|1:6:1#2:6:1#3:6:1|2:7:1#2:7:1#3:7:1</v>
      </c>
      <c r="X20" s="76" t="str">
        <f>出怪成长!E18</f>
        <v>1:10030,10031|2:10031,10028,10034|3:10031,10028,10027</v>
      </c>
      <c r="Y20" s="76" t="str">
        <f>出怪成长!F18</f>
        <v>3#1#1.1|6#2#1.8|8#3#2.3</v>
      </c>
      <c r="Z20" s="85" t="str">
        <f>每波成长!G21</f>
        <v>36#10#7</v>
      </c>
      <c r="AA20" s="75" t="s">
        <v>216</v>
      </c>
      <c r="AB20" s="86">
        <v>0</v>
      </c>
      <c r="AC20" s="75" t="s">
        <v>179</v>
      </c>
      <c r="AD20" s="75">
        <v>2</v>
      </c>
      <c r="AE20" s="70" t="s">
        <v>366</v>
      </c>
      <c r="AF20" s="75" t="s">
        <v>232</v>
      </c>
      <c r="AG20" s="75" t="s">
        <v>219</v>
      </c>
      <c r="AH20" s="70" t="s">
        <v>367</v>
      </c>
      <c r="AI20" s="75" t="s">
        <v>368</v>
      </c>
      <c r="AJ20" s="86">
        <v>0</v>
      </c>
      <c r="AK20" s="70" t="s">
        <v>149</v>
      </c>
      <c r="AL20" s="75" t="s">
        <v>369</v>
      </c>
      <c r="AM20" s="87" t="s">
        <v>370</v>
      </c>
      <c r="AN20" s="75" t="s">
        <v>371</v>
      </c>
      <c r="AO20" s="75">
        <v>0</v>
      </c>
      <c r="AP20" s="85">
        <v>4</v>
      </c>
      <c r="AQ20" s="75">
        <v>40</v>
      </c>
      <c r="AR20" s="76">
        <v>0</v>
      </c>
      <c r="AS20" s="88" t="s">
        <v>372</v>
      </c>
      <c r="AT20" s="76">
        <v>0</v>
      </c>
      <c r="AU20" s="75">
        <v>3</v>
      </c>
      <c r="AV20" s="70" t="s">
        <v>373</v>
      </c>
      <c r="AW20" s="75" t="s">
        <v>374</v>
      </c>
      <c r="AY20" s="53">
        <v>13</v>
      </c>
      <c r="AZ20" s="95">
        <v>2102</v>
      </c>
      <c r="BA20" s="90">
        <v>2003</v>
      </c>
      <c r="BB20" s="53">
        <v>0</v>
      </c>
    </row>
    <row r="21" s="54" customFormat="1" ht="27" spans="1:57">
      <c r="A21" s="64">
        <v>28</v>
      </c>
      <c r="B21" s="64">
        <v>0</v>
      </c>
      <c r="C21" s="71" t="s">
        <v>951</v>
      </c>
      <c r="D21" s="91" t="s">
        <v>174</v>
      </c>
      <c r="E21" s="91">
        <f t="shared" si="0"/>
        <v>29</v>
      </c>
      <c r="F21" s="71">
        <f t="shared" si="10"/>
        <v>11</v>
      </c>
      <c r="G21" s="71">
        <f t="shared" si="1"/>
        <v>31</v>
      </c>
      <c r="H21" s="79" t="s">
        <v>952</v>
      </c>
      <c r="I21" s="79" t="s">
        <v>915</v>
      </c>
      <c r="J21" s="71" t="s">
        <v>923</v>
      </c>
      <c r="K21" s="64">
        <v>10</v>
      </c>
      <c r="L21" s="75" t="s">
        <v>141</v>
      </c>
      <c r="M21" s="75">
        <v>3</v>
      </c>
      <c r="N21" s="75">
        <f t="shared" si="7"/>
        <v>3</v>
      </c>
      <c r="O21" s="75">
        <f t="shared" si="2"/>
        <v>17</v>
      </c>
      <c r="P21" s="75">
        <f t="shared" si="3"/>
        <v>32</v>
      </c>
      <c r="Q21" s="75">
        <v>250</v>
      </c>
      <c r="R21" s="76">
        <f t="shared" si="8"/>
        <v>17</v>
      </c>
      <c r="S21" s="76">
        <f t="shared" si="5"/>
        <v>15000</v>
      </c>
      <c r="T21" s="76">
        <f t="shared" si="6"/>
        <v>28000</v>
      </c>
      <c r="U21" s="76">
        <f>出怪成长!C19</f>
        <v>8</v>
      </c>
      <c r="V21" s="76" t="str">
        <f>出怪成长!D19</f>
        <v>3#30001#1|6#30002#1|8#30001,30004#1</v>
      </c>
      <c r="W21" s="85" t="str">
        <f>出怪数量!Z20</f>
        <v>1:2:1|1:5:1|2:10:1|2:5:1#2:5:1#3:5:1|3:4:1#2:4:1#3:4:1|3:5:1#2:5:1#3:5:1|1:6:1#2:6:1#3:6:1|2:7:1#2:7:1#3:7:1</v>
      </c>
      <c r="X21" s="76" t="str">
        <f>出怪成长!E19</f>
        <v>1:10031,10028|2:10031,10028,10027|3:10031,10028,10027</v>
      </c>
      <c r="Y21" s="76" t="str">
        <f>出怪成长!F19</f>
        <v>3#1#1.1|6#2#1.8|8#3#2.3</v>
      </c>
      <c r="Z21" s="85" t="str">
        <f>每波成长!G22</f>
        <v>34#9#6</v>
      </c>
      <c r="AA21" s="75" t="s">
        <v>196</v>
      </c>
      <c r="AB21" s="86">
        <v>0</v>
      </c>
      <c r="AC21" s="75" t="s">
        <v>179</v>
      </c>
      <c r="AD21" s="75">
        <v>2</v>
      </c>
      <c r="AE21" s="70" t="s">
        <v>379</v>
      </c>
      <c r="AF21" s="75" t="s">
        <v>232</v>
      </c>
      <c r="AG21" s="75" t="s">
        <v>199</v>
      </c>
      <c r="AH21" s="70" t="s">
        <v>380</v>
      </c>
      <c r="AI21" s="75" t="s">
        <v>381</v>
      </c>
      <c r="AJ21" s="86">
        <v>0</v>
      </c>
      <c r="AK21" s="70" t="s">
        <v>149</v>
      </c>
      <c r="AL21" s="75" t="s">
        <v>369</v>
      </c>
      <c r="AM21" s="87" t="s">
        <v>370</v>
      </c>
      <c r="AN21" s="75" t="s">
        <v>382</v>
      </c>
      <c r="AO21" s="75">
        <v>0</v>
      </c>
      <c r="AP21" s="76">
        <v>5</v>
      </c>
      <c r="AQ21" s="75">
        <v>50</v>
      </c>
      <c r="AR21" s="76" t="s">
        <v>383</v>
      </c>
      <c r="AS21" s="88" t="s">
        <v>384</v>
      </c>
      <c r="AT21" s="76">
        <v>0</v>
      </c>
      <c r="AU21" s="75">
        <v>3</v>
      </c>
      <c r="AV21" s="70" t="s">
        <v>385</v>
      </c>
      <c r="AW21" s="99" t="str">
        <f t="shared" ref="AW21:AW27" si="11">AW20</f>
        <v>MapSenLin</v>
      </c>
      <c r="AY21" s="54">
        <v>14</v>
      </c>
      <c r="AZ21" s="93">
        <v>2103</v>
      </c>
      <c r="BA21" s="94">
        <v>2003</v>
      </c>
      <c r="BB21" s="54">
        <v>2004</v>
      </c>
      <c r="BE21" s="54" t="s">
        <v>386</v>
      </c>
    </row>
    <row r="22" s="55" customFormat="1" ht="27" spans="1:57">
      <c r="A22" s="64">
        <v>29</v>
      </c>
      <c r="B22" s="64">
        <v>0</v>
      </c>
      <c r="C22" s="71" t="s">
        <v>953</v>
      </c>
      <c r="D22" s="64" t="s">
        <v>130</v>
      </c>
      <c r="E22" s="91">
        <f t="shared" si="0"/>
        <v>30</v>
      </c>
      <c r="F22" s="71">
        <f t="shared" si="10"/>
        <v>12</v>
      </c>
      <c r="G22" s="71">
        <f t="shared" si="1"/>
        <v>32</v>
      </c>
      <c r="H22" s="79" t="s">
        <v>954</v>
      </c>
      <c r="I22" s="79" t="s">
        <v>915</v>
      </c>
      <c r="J22" s="71" t="s">
        <v>926</v>
      </c>
      <c r="K22" s="64">
        <v>10</v>
      </c>
      <c r="L22" s="75" t="s">
        <v>141</v>
      </c>
      <c r="M22" s="75">
        <v>3</v>
      </c>
      <c r="N22" s="75">
        <f t="shared" si="7"/>
        <v>4</v>
      </c>
      <c r="O22" s="75">
        <f t="shared" si="2"/>
        <v>19</v>
      </c>
      <c r="P22" s="75">
        <f t="shared" si="3"/>
        <v>34</v>
      </c>
      <c r="Q22" s="75">
        <v>250</v>
      </c>
      <c r="R22" s="76">
        <f t="shared" si="8"/>
        <v>17</v>
      </c>
      <c r="S22" s="76">
        <f t="shared" si="5"/>
        <v>15000</v>
      </c>
      <c r="T22" s="76">
        <f t="shared" si="6"/>
        <v>28000</v>
      </c>
      <c r="U22" s="76">
        <f>出怪成长!C20</f>
        <v>8</v>
      </c>
      <c r="V22" s="76" t="str">
        <f>出怪成长!D20</f>
        <v>3#30001#1|6#30002#1|8#30001,30004#1</v>
      </c>
      <c r="W22" s="85" t="str">
        <f>出怪数量!Z21</f>
        <v>1:2:1|1:5:1|2:10:1|2:5:1#2:5:1#3:5:1|3:4:1#2:4:1#3:4:1|3:5:1#2:5:1#3:5:1|1:6:1#2:6:1#3:6:1|2:7:1#2:7:1#3:7:1</v>
      </c>
      <c r="X22" s="76" t="str">
        <f>出怪成长!E20</f>
        <v>1:10031,10028|2:10031,10028,10027|3:10037,10038,10029</v>
      </c>
      <c r="Y22" s="76" t="str">
        <f>出怪成长!F20</f>
        <v>3#1#1.1|6#2#1.8|8#3#2.3</v>
      </c>
      <c r="Z22" s="85" t="str">
        <f>每波成长!G23</f>
        <v>36#10#7</v>
      </c>
      <c r="AA22" s="75" t="s">
        <v>216</v>
      </c>
      <c r="AB22" s="86">
        <v>0</v>
      </c>
      <c r="AC22" s="75" t="s">
        <v>179</v>
      </c>
      <c r="AD22" s="75">
        <v>2</v>
      </c>
      <c r="AE22" s="70" t="s">
        <v>396</v>
      </c>
      <c r="AF22" s="75" t="s">
        <v>232</v>
      </c>
      <c r="AG22" s="75" t="s">
        <v>219</v>
      </c>
      <c r="AH22" s="70" t="s">
        <v>397</v>
      </c>
      <c r="AI22" s="75" t="s">
        <v>398</v>
      </c>
      <c r="AJ22" s="86">
        <v>0</v>
      </c>
      <c r="AK22" s="70" t="s">
        <v>149</v>
      </c>
      <c r="AL22" s="75" t="s">
        <v>369</v>
      </c>
      <c r="AM22" s="87" t="s">
        <v>370</v>
      </c>
      <c r="AN22" s="75" t="s">
        <v>399</v>
      </c>
      <c r="AO22" s="75">
        <v>0</v>
      </c>
      <c r="AP22" s="85">
        <v>6</v>
      </c>
      <c r="AQ22" s="75">
        <v>60</v>
      </c>
      <c r="AR22" s="76" t="s">
        <v>400</v>
      </c>
      <c r="AS22" s="88" t="s">
        <v>401</v>
      </c>
      <c r="AT22" s="76">
        <v>0</v>
      </c>
      <c r="AU22" s="75">
        <v>3</v>
      </c>
      <c r="AV22" s="70" t="s">
        <v>402</v>
      </c>
      <c r="AW22" s="99" t="str">
        <f t="shared" si="11"/>
        <v>MapSenLin</v>
      </c>
      <c r="AY22" s="55">
        <v>15</v>
      </c>
      <c r="AZ22" s="97">
        <v>2104</v>
      </c>
      <c r="BA22" s="98">
        <v>2003</v>
      </c>
      <c r="BB22" s="55">
        <v>0</v>
      </c>
    </row>
    <row r="23" s="54" customFormat="1" ht="27" spans="1:57">
      <c r="A23" s="64">
        <v>30</v>
      </c>
      <c r="B23" s="64">
        <v>0</v>
      </c>
      <c r="C23" s="71" t="s">
        <v>955</v>
      </c>
      <c r="D23" s="91" t="s">
        <v>156</v>
      </c>
      <c r="E23" s="91">
        <f t="shared" si="0"/>
        <v>31</v>
      </c>
      <c r="F23" s="71">
        <f t="shared" si="10"/>
        <v>12</v>
      </c>
      <c r="G23" s="71">
        <f t="shared" si="1"/>
        <v>32</v>
      </c>
      <c r="H23" s="79" t="s">
        <v>956</v>
      </c>
      <c r="I23" s="79" t="s">
        <v>915</v>
      </c>
      <c r="J23" s="71" t="s">
        <v>923</v>
      </c>
      <c r="K23" s="64">
        <v>10</v>
      </c>
      <c r="L23" s="75" t="s">
        <v>141</v>
      </c>
      <c r="M23" s="75">
        <v>3</v>
      </c>
      <c r="N23" s="75">
        <f t="shared" si="7"/>
        <v>5</v>
      </c>
      <c r="O23" s="75">
        <f t="shared" si="2"/>
        <v>20</v>
      </c>
      <c r="P23" s="75">
        <f t="shared" si="3"/>
        <v>35</v>
      </c>
      <c r="Q23" s="75">
        <v>250</v>
      </c>
      <c r="R23" s="76">
        <f t="shared" si="8"/>
        <v>17</v>
      </c>
      <c r="S23" s="76">
        <f t="shared" si="5"/>
        <v>15000</v>
      </c>
      <c r="T23" s="76">
        <f t="shared" si="6"/>
        <v>28000</v>
      </c>
      <c r="U23" s="76">
        <f>出怪成长!C21</f>
        <v>9</v>
      </c>
      <c r="V23" s="76" t="str">
        <f>出怪成长!D21</f>
        <v>3#30001#1|7#30002#1|9#30001,30004#1</v>
      </c>
      <c r="W23" s="85" t="str">
        <f>出怪数量!Z22</f>
        <v>1:2:1|1:5:1|2:10:1|2:5:1#2:5:1#3:5:2|3:4:2#2:4:1#3:4:2|3:5:2#2:5:1#3:5:2|1:6:1#2:6:1#3:6:2|2:7:1#2:7:1#3:7:2|1:10:1#2:10:1#3:10:2</v>
      </c>
      <c r="X23" s="76" t="str">
        <f>出怪成长!E21</f>
        <v>1:10031,10028|2:10037,10038,10029|3:10037,10038,10029</v>
      </c>
      <c r="Y23" s="76" t="str">
        <f>出怪成长!F21</f>
        <v>4#1#1.2|7#2#2|9#3#2.6</v>
      </c>
      <c r="Z23" s="85" t="str">
        <f>每波成长!G24</f>
        <v>37#10#7</v>
      </c>
      <c r="AA23" s="75" t="s">
        <v>196</v>
      </c>
      <c r="AB23" s="86">
        <v>0</v>
      </c>
      <c r="AC23" s="75" t="s">
        <v>179</v>
      </c>
      <c r="AD23" s="75">
        <v>2</v>
      </c>
      <c r="AE23" s="70" t="s">
        <v>407</v>
      </c>
      <c r="AF23" s="75" t="s">
        <v>232</v>
      </c>
      <c r="AG23" s="75" t="s">
        <v>199</v>
      </c>
      <c r="AH23" s="70" t="s">
        <v>408</v>
      </c>
      <c r="AI23" s="75" t="s">
        <v>409</v>
      </c>
      <c r="AJ23" s="86">
        <v>0</v>
      </c>
      <c r="AK23" s="70" t="s">
        <v>149</v>
      </c>
      <c r="AL23" s="75" t="s">
        <v>369</v>
      </c>
      <c r="AM23" s="87" t="s">
        <v>370</v>
      </c>
      <c r="AN23" s="75" t="s">
        <v>410</v>
      </c>
      <c r="AO23" s="75">
        <v>0</v>
      </c>
      <c r="AP23" s="76">
        <v>7</v>
      </c>
      <c r="AQ23" s="75">
        <v>70</v>
      </c>
      <c r="AR23" s="76" t="s">
        <v>411</v>
      </c>
      <c r="AS23" s="88" t="s">
        <v>412</v>
      </c>
      <c r="AT23" s="76">
        <v>0</v>
      </c>
      <c r="AU23" s="75">
        <v>3</v>
      </c>
      <c r="AV23" s="70" t="s">
        <v>413</v>
      </c>
      <c r="AW23" s="99" t="str">
        <f t="shared" si="11"/>
        <v>MapSenLin</v>
      </c>
      <c r="AY23" s="54">
        <v>16</v>
      </c>
      <c r="AZ23" s="93">
        <v>2105</v>
      </c>
      <c r="BA23" s="94">
        <v>2003</v>
      </c>
      <c r="BB23" s="54">
        <v>0</v>
      </c>
      <c r="BE23" s="54" t="s">
        <v>414</v>
      </c>
    </row>
    <row r="24" s="53" customFormat="1" ht="27" spans="1:57">
      <c r="A24" s="64">
        <v>31</v>
      </c>
      <c r="B24" s="64">
        <v>0</v>
      </c>
      <c r="C24" s="71" t="s">
        <v>957</v>
      </c>
      <c r="D24" s="91" t="s">
        <v>174</v>
      </c>
      <c r="E24" s="91">
        <f t="shared" si="0"/>
        <v>32</v>
      </c>
      <c r="F24" s="71">
        <f t="shared" si="10"/>
        <v>13</v>
      </c>
      <c r="G24" s="71">
        <f t="shared" si="1"/>
        <v>33</v>
      </c>
      <c r="H24" s="79" t="s">
        <v>958</v>
      </c>
      <c r="I24" s="79" t="s">
        <v>915</v>
      </c>
      <c r="J24" s="71" t="s">
        <v>926</v>
      </c>
      <c r="K24" s="64">
        <v>10</v>
      </c>
      <c r="L24" s="75" t="s">
        <v>141</v>
      </c>
      <c r="M24" s="75">
        <v>3</v>
      </c>
      <c r="N24" s="75">
        <f t="shared" si="7"/>
        <v>3</v>
      </c>
      <c r="O24" s="75">
        <f t="shared" si="2"/>
        <v>19</v>
      </c>
      <c r="P24" s="75">
        <f t="shared" si="3"/>
        <v>34</v>
      </c>
      <c r="Q24" s="75">
        <v>250</v>
      </c>
      <c r="R24" s="76">
        <f t="shared" si="8"/>
        <v>17</v>
      </c>
      <c r="S24" s="76">
        <f t="shared" si="5"/>
        <v>15000</v>
      </c>
      <c r="T24" s="76">
        <f t="shared" si="6"/>
        <v>28000</v>
      </c>
      <c r="U24" s="76">
        <f>出怪成长!C22</f>
        <v>8</v>
      </c>
      <c r="V24" s="76" t="str">
        <f>出怪成长!D22</f>
        <v>3#30001#1|6#30002#1|8#30001,30004#1</v>
      </c>
      <c r="W24" s="85" t="str">
        <f>出怪数量!Z23</f>
        <v>1:3:1|1:6:1|2:11:1|2:5:1#2:5:1#3:5:2|3:4:2#2:4:1#3:4:2|3:5:2#2:5:1#3:5:2|1:6:1#2:6:1#3:6:2|2:7:1#2:7:1#3:7:2</v>
      </c>
      <c r="X24" s="76" t="str">
        <f>出怪成长!E22</f>
        <v>1:10037,10038|2:10037,10038,10029|3:10037,10038,10036</v>
      </c>
      <c r="Y24" s="76" t="str">
        <f>出怪成长!F22</f>
        <v>3#1#1.2|6#2#2|8#3#2.6</v>
      </c>
      <c r="Z24" s="85" t="str">
        <f>每波成长!G25</f>
        <v>34#9#6</v>
      </c>
      <c r="AA24" s="75" t="s">
        <v>216</v>
      </c>
      <c r="AB24" s="86">
        <v>0</v>
      </c>
      <c r="AC24" s="75" t="s">
        <v>179</v>
      </c>
      <c r="AD24" s="75">
        <v>2</v>
      </c>
      <c r="AE24" s="70" t="s">
        <v>424</v>
      </c>
      <c r="AF24" s="75" t="s">
        <v>232</v>
      </c>
      <c r="AG24" s="75" t="s">
        <v>219</v>
      </c>
      <c r="AH24" s="70" t="s">
        <v>425</v>
      </c>
      <c r="AI24" s="75" t="s">
        <v>426</v>
      </c>
      <c r="AJ24" s="86">
        <v>0</v>
      </c>
      <c r="AK24" s="70" t="s">
        <v>149</v>
      </c>
      <c r="AL24" s="75" t="s">
        <v>369</v>
      </c>
      <c r="AM24" s="87" t="s">
        <v>370</v>
      </c>
      <c r="AN24" s="75" t="s">
        <v>427</v>
      </c>
      <c r="AO24" s="75">
        <v>0</v>
      </c>
      <c r="AP24" s="85">
        <v>8</v>
      </c>
      <c r="AQ24" s="75">
        <v>80</v>
      </c>
      <c r="AR24" s="76" t="s">
        <v>428</v>
      </c>
      <c r="AS24" s="88" t="s">
        <v>429</v>
      </c>
      <c r="AT24" s="76">
        <v>0</v>
      </c>
      <c r="AU24" s="75">
        <v>3</v>
      </c>
      <c r="AV24" s="70" t="s">
        <v>430</v>
      </c>
      <c r="AW24" s="99" t="str">
        <f t="shared" si="11"/>
        <v>MapSenLin</v>
      </c>
      <c r="AY24" s="53">
        <v>17</v>
      </c>
      <c r="AZ24" s="95">
        <v>2106</v>
      </c>
      <c r="BA24" s="90">
        <v>2004</v>
      </c>
      <c r="BB24" s="53">
        <v>0</v>
      </c>
    </row>
    <row r="25" s="54" customFormat="1" ht="27" spans="1:57">
      <c r="A25" s="64">
        <v>32</v>
      </c>
      <c r="B25" s="64">
        <v>0</v>
      </c>
      <c r="C25" s="71" t="s">
        <v>959</v>
      </c>
      <c r="D25" s="64" t="s">
        <v>130</v>
      </c>
      <c r="E25" s="91">
        <f t="shared" si="0"/>
        <v>33</v>
      </c>
      <c r="F25" s="71">
        <f t="shared" si="10"/>
        <v>13</v>
      </c>
      <c r="G25" s="71">
        <f t="shared" si="1"/>
        <v>33</v>
      </c>
      <c r="H25" s="79" t="s">
        <v>960</v>
      </c>
      <c r="I25" s="79" t="s">
        <v>915</v>
      </c>
      <c r="J25" s="71" t="s">
        <v>923</v>
      </c>
      <c r="K25" s="64">
        <v>10</v>
      </c>
      <c r="L25" s="75" t="s">
        <v>141</v>
      </c>
      <c r="M25" s="75">
        <v>3</v>
      </c>
      <c r="N25" s="75">
        <f t="shared" si="7"/>
        <v>4</v>
      </c>
      <c r="O25" s="75">
        <f t="shared" si="2"/>
        <v>20</v>
      </c>
      <c r="P25" s="75">
        <f t="shared" si="3"/>
        <v>35</v>
      </c>
      <c r="Q25" s="75">
        <v>250</v>
      </c>
      <c r="R25" s="76">
        <f t="shared" si="8"/>
        <v>17</v>
      </c>
      <c r="S25" s="76">
        <f t="shared" si="5"/>
        <v>15000</v>
      </c>
      <c r="T25" s="76">
        <f t="shared" si="6"/>
        <v>28000</v>
      </c>
      <c r="U25" s="76">
        <f>出怪成长!C23</f>
        <v>8</v>
      </c>
      <c r="V25" s="76" t="str">
        <f>出怪成长!D23</f>
        <v>3#30001#1|6#30002#1|8#30001,30004#1</v>
      </c>
      <c r="W25" s="85" t="str">
        <f>出怪数量!Z24</f>
        <v>1:3:1|1:6:1|2:11:1|2:5:1#2:5:1#3:5:2|3:4:2#2:4:1#3:4:2|3:5:2#2:5:1#3:5:2|1:6:1#2:6:1#3:6:2|2:7:1#2:7:1#3:7:2</v>
      </c>
      <c r="X25" s="76" t="str">
        <f>出怪成长!E23</f>
        <v>1:10037,10038|2:10037,10038,10036|3:10040,10041,10036</v>
      </c>
      <c r="Y25" s="76" t="str">
        <f>出怪成长!F23</f>
        <v>3#1#1.2|6#2#2|8#3#2.6</v>
      </c>
      <c r="Z25" s="85" t="str">
        <f>每波成长!G26</f>
        <v>36#10#7</v>
      </c>
      <c r="AA25" s="75" t="s">
        <v>196</v>
      </c>
      <c r="AB25" s="86">
        <v>0</v>
      </c>
      <c r="AC25" s="75" t="s">
        <v>179</v>
      </c>
      <c r="AD25" s="75">
        <v>2</v>
      </c>
      <c r="AE25" s="70" t="s">
        <v>435</v>
      </c>
      <c r="AF25" s="75" t="s">
        <v>232</v>
      </c>
      <c r="AG25" s="75" t="s">
        <v>199</v>
      </c>
      <c r="AH25" s="70" t="s">
        <v>436</v>
      </c>
      <c r="AI25" s="75" t="s">
        <v>437</v>
      </c>
      <c r="AJ25" s="86">
        <v>0</v>
      </c>
      <c r="AK25" s="70" t="s">
        <v>149</v>
      </c>
      <c r="AL25" s="75" t="s">
        <v>369</v>
      </c>
      <c r="AM25" s="87" t="s">
        <v>370</v>
      </c>
      <c r="AN25" s="75" t="s">
        <v>438</v>
      </c>
      <c r="AO25" s="75">
        <v>0</v>
      </c>
      <c r="AP25" s="76">
        <v>9</v>
      </c>
      <c r="AQ25" s="75">
        <v>90</v>
      </c>
      <c r="AR25" s="76" t="s">
        <v>439</v>
      </c>
      <c r="AS25" s="88" t="s">
        <v>440</v>
      </c>
      <c r="AT25" s="76">
        <v>0</v>
      </c>
      <c r="AU25" s="75">
        <v>3</v>
      </c>
      <c r="AV25" s="70" t="s">
        <v>441</v>
      </c>
      <c r="AW25" s="99" t="str">
        <f t="shared" si="11"/>
        <v>MapSenLin</v>
      </c>
      <c r="AY25" s="54">
        <v>18</v>
      </c>
      <c r="AZ25" s="93">
        <v>2107</v>
      </c>
      <c r="BA25" s="94">
        <v>2004</v>
      </c>
      <c r="BB25" s="54">
        <v>2005</v>
      </c>
      <c r="BE25" s="54" t="s">
        <v>442</v>
      </c>
    </row>
    <row r="26" s="53" customFormat="1" ht="27" spans="1:57">
      <c r="A26" s="64">
        <v>33</v>
      </c>
      <c r="B26" s="64">
        <v>0</v>
      </c>
      <c r="C26" s="71" t="s">
        <v>961</v>
      </c>
      <c r="D26" s="91" t="s">
        <v>156</v>
      </c>
      <c r="E26" s="91">
        <f t="shared" si="0"/>
        <v>34</v>
      </c>
      <c r="F26" s="71">
        <f t="shared" si="10"/>
        <v>14</v>
      </c>
      <c r="G26" s="71">
        <f t="shared" si="1"/>
        <v>34</v>
      </c>
      <c r="H26" s="79" t="s">
        <v>962</v>
      </c>
      <c r="I26" s="79" t="s">
        <v>915</v>
      </c>
      <c r="J26" s="71" t="s">
        <v>923</v>
      </c>
      <c r="K26" s="64">
        <v>10</v>
      </c>
      <c r="L26" s="75" t="s">
        <v>141</v>
      </c>
      <c r="M26" s="75">
        <v>3</v>
      </c>
      <c r="N26" s="75">
        <f t="shared" si="7"/>
        <v>5</v>
      </c>
      <c r="O26" s="75">
        <f t="shared" si="2"/>
        <v>22</v>
      </c>
      <c r="P26" s="75">
        <v>55</v>
      </c>
      <c r="Q26" s="75">
        <v>250</v>
      </c>
      <c r="R26" s="76">
        <f t="shared" si="8"/>
        <v>17</v>
      </c>
      <c r="S26" s="76">
        <f t="shared" si="5"/>
        <v>15000</v>
      </c>
      <c r="T26" s="76">
        <f t="shared" si="6"/>
        <v>28000</v>
      </c>
      <c r="U26" s="76">
        <f>出怪成长!C24</f>
        <v>9</v>
      </c>
      <c r="V26" s="76" t="str">
        <f>出怪成长!D24</f>
        <v>3#30001#1|7#30002#1|9#30001,30004#1</v>
      </c>
      <c r="W26" s="85" t="str">
        <f>出怪数量!Z25</f>
        <v>1:3:1|1:6:1|2:11:1|2:5:1#2:5:1#3:5:2|3:4:2#2:4:1#3:4:2|3:5:2#2:5:1#3:5:2|4:6:2#2:6:1#3:6:2|4:7:2#2:7:1#3:7:2|1:10:1#2:10:1#3:10:2</v>
      </c>
      <c r="X26" s="76" t="str">
        <f>出怪成长!E24</f>
        <v>1:10037,10038|2:10040,10041,10036|3:10040,10041,10036</v>
      </c>
      <c r="Y26" s="76" t="str">
        <f>出怪成长!F24</f>
        <v>4#1#1.2|7#2#2|9#3#2.6</v>
      </c>
      <c r="Z26" s="85" t="str">
        <f>每波成长!G27</f>
        <v>37#10#7</v>
      </c>
      <c r="AA26" s="75" t="s">
        <v>196</v>
      </c>
      <c r="AB26" s="86">
        <v>0</v>
      </c>
      <c r="AC26" s="75" t="s">
        <v>179</v>
      </c>
      <c r="AD26" s="75">
        <v>2</v>
      </c>
      <c r="AE26" s="70" t="s">
        <v>448</v>
      </c>
      <c r="AF26" s="75" t="s">
        <v>232</v>
      </c>
      <c r="AG26" s="75" t="s">
        <v>199</v>
      </c>
      <c r="AH26" s="70" t="s">
        <v>449</v>
      </c>
      <c r="AI26" s="75" t="s">
        <v>426</v>
      </c>
      <c r="AJ26" s="86">
        <v>0</v>
      </c>
      <c r="AK26" s="70" t="s">
        <v>149</v>
      </c>
      <c r="AL26" s="75" t="s">
        <v>369</v>
      </c>
      <c r="AM26" s="87" t="s">
        <v>370</v>
      </c>
      <c r="AN26" s="75" t="s">
        <v>427</v>
      </c>
      <c r="AO26" s="75">
        <v>0</v>
      </c>
      <c r="AP26" s="85">
        <v>8</v>
      </c>
      <c r="AQ26" s="75">
        <v>80</v>
      </c>
      <c r="AR26" s="76" t="s">
        <v>428</v>
      </c>
      <c r="AS26" s="88" t="s">
        <v>429</v>
      </c>
      <c r="AT26" s="76">
        <v>0</v>
      </c>
      <c r="AU26" s="75">
        <v>3</v>
      </c>
      <c r="AV26" s="70" t="s">
        <v>450</v>
      </c>
      <c r="AW26" s="99" t="str">
        <f t="shared" si="11"/>
        <v>MapSenLin</v>
      </c>
      <c r="AY26" s="53">
        <v>17</v>
      </c>
      <c r="AZ26" s="95">
        <v>2106</v>
      </c>
      <c r="BA26" s="90">
        <v>2004</v>
      </c>
      <c r="BB26" s="53">
        <v>0</v>
      </c>
    </row>
    <row r="27" s="54" customFormat="1" ht="27" spans="1:57">
      <c r="A27" s="64">
        <v>34</v>
      </c>
      <c r="B27" s="64">
        <v>0</v>
      </c>
      <c r="C27" s="71" t="s">
        <v>963</v>
      </c>
      <c r="D27" s="91" t="s">
        <v>174</v>
      </c>
      <c r="E27" s="91">
        <f t="shared" si="0"/>
        <v>35</v>
      </c>
      <c r="F27" s="71">
        <f t="shared" si="10"/>
        <v>14</v>
      </c>
      <c r="G27" s="71">
        <f t="shared" si="1"/>
        <v>34</v>
      </c>
      <c r="H27" s="79" t="s">
        <v>964</v>
      </c>
      <c r="I27" s="79" t="s">
        <v>915</v>
      </c>
      <c r="J27" s="71" t="s">
        <v>923</v>
      </c>
      <c r="K27" s="64">
        <v>10</v>
      </c>
      <c r="L27" s="75" t="s">
        <v>141</v>
      </c>
      <c r="M27" s="75">
        <v>3</v>
      </c>
      <c r="N27" s="75">
        <f t="shared" si="7"/>
        <v>6</v>
      </c>
      <c r="O27" s="75">
        <v>40</v>
      </c>
      <c r="P27" s="75">
        <v>65</v>
      </c>
      <c r="Q27" s="75">
        <v>250</v>
      </c>
      <c r="R27" s="76">
        <f t="shared" si="8"/>
        <v>17</v>
      </c>
      <c r="S27" s="76">
        <f t="shared" si="5"/>
        <v>15000</v>
      </c>
      <c r="T27" s="76">
        <f t="shared" si="6"/>
        <v>28000</v>
      </c>
      <c r="U27" s="76">
        <f>出怪成长!C25</f>
        <v>10</v>
      </c>
      <c r="V27" s="76" t="str">
        <f>出怪成长!D25</f>
        <v>4#30001#1|8#30002#1|10#30001,30004#1</v>
      </c>
      <c r="W27" s="85" t="str">
        <f>出怪数量!Z26</f>
        <v>1:3:1|1:6:1|2:11:1|2:5:1#2:5:1#3:5:2|3:4:2#2:4:1#3:4:2|3:5:2#2:5:1#3:5:2|4:6:2#2:6:1#3:6:2|4:7:2#2:7:1#3:7:2|1:10:1#2:10:1#3:10:2|2:18:1#2:12:1#3:18:2</v>
      </c>
      <c r="X27" s="76" t="str">
        <f>出怪成长!E25</f>
        <v>1:10040,10041|2:10040,10041,10036|3:10043,10044,10036</v>
      </c>
      <c r="Y27" s="76" t="str">
        <f>出怪成长!F25</f>
        <v>5#1#1.3|8#2#2.2|10#3#2.9</v>
      </c>
      <c r="Z27" s="85" t="str">
        <f>每波成长!G28</f>
        <v>39#11#8</v>
      </c>
      <c r="AA27" s="75" t="s">
        <v>196</v>
      </c>
      <c r="AB27" s="86">
        <v>0</v>
      </c>
      <c r="AC27" s="75" t="s">
        <v>179</v>
      </c>
      <c r="AD27" s="75">
        <v>2</v>
      </c>
      <c r="AE27" s="70" t="s">
        <v>459</v>
      </c>
      <c r="AF27" s="75" t="s">
        <v>232</v>
      </c>
      <c r="AG27" s="75" t="s">
        <v>199</v>
      </c>
      <c r="AH27" s="70" t="s">
        <v>460</v>
      </c>
      <c r="AI27" s="75" t="s">
        <v>437</v>
      </c>
      <c r="AJ27" s="86">
        <v>0</v>
      </c>
      <c r="AK27" s="70" t="s">
        <v>149</v>
      </c>
      <c r="AL27" s="75" t="s">
        <v>369</v>
      </c>
      <c r="AM27" s="87" t="s">
        <v>370</v>
      </c>
      <c r="AN27" s="75" t="s">
        <v>438</v>
      </c>
      <c r="AO27" s="75">
        <v>0</v>
      </c>
      <c r="AP27" s="76">
        <v>9</v>
      </c>
      <c r="AQ27" s="75">
        <v>90</v>
      </c>
      <c r="AR27" s="76" t="s">
        <v>439</v>
      </c>
      <c r="AS27" s="88" t="s">
        <v>440</v>
      </c>
      <c r="AT27" s="76">
        <v>0</v>
      </c>
      <c r="AU27" s="75">
        <v>3</v>
      </c>
      <c r="AV27" s="70" t="s">
        <v>461</v>
      </c>
      <c r="AW27" s="99" t="str">
        <f t="shared" si="11"/>
        <v>MapSenLin</v>
      </c>
      <c r="AY27" s="54">
        <v>18</v>
      </c>
      <c r="AZ27" s="93">
        <v>2107</v>
      </c>
      <c r="BA27" s="94">
        <v>2004</v>
      </c>
      <c r="BB27" s="54">
        <v>2005</v>
      </c>
      <c r="BE27" s="54" t="s">
        <v>442</v>
      </c>
    </row>
    <row r="28" s="53" customFormat="1" ht="27" spans="1:57">
      <c r="A28" s="64">
        <v>35</v>
      </c>
      <c r="B28" s="64">
        <v>0</v>
      </c>
      <c r="C28" s="71" t="s">
        <v>965</v>
      </c>
      <c r="D28" s="64" t="s">
        <v>130</v>
      </c>
      <c r="E28" s="91">
        <f t="shared" si="0"/>
        <v>36</v>
      </c>
      <c r="F28" s="71">
        <f t="shared" si="10"/>
        <v>15</v>
      </c>
      <c r="G28" s="71">
        <f t="shared" si="1"/>
        <v>35</v>
      </c>
      <c r="H28" s="79" t="s">
        <v>966</v>
      </c>
      <c r="I28" s="79" t="s">
        <v>915</v>
      </c>
      <c r="J28" s="71" t="s">
        <v>926</v>
      </c>
      <c r="K28" s="64">
        <v>10</v>
      </c>
      <c r="L28" s="75" t="s">
        <v>141</v>
      </c>
      <c r="M28" s="75">
        <v>4</v>
      </c>
      <c r="N28" s="75">
        <f t="shared" si="7"/>
        <v>6</v>
      </c>
      <c r="O28" s="75">
        <f t="shared" ref="O28:O91" si="12">F28+N28+M28</f>
        <v>25</v>
      </c>
      <c r="P28" s="75">
        <f t="shared" ref="P28:P91" si="13">O28+15</f>
        <v>40</v>
      </c>
      <c r="Q28" s="75">
        <v>250</v>
      </c>
      <c r="R28" s="76">
        <f t="shared" si="8"/>
        <v>18</v>
      </c>
      <c r="S28" s="76">
        <f t="shared" si="5"/>
        <v>15000</v>
      </c>
      <c r="T28" s="76">
        <f t="shared" si="6"/>
        <v>28000</v>
      </c>
      <c r="U28" s="76">
        <f>出怪成长!C26</f>
        <v>15</v>
      </c>
      <c r="V28" s="76" t="str">
        <f>出怪成长!D26</f>
        <v>6#30001#1|12#30002#1|15#30001,30004#1</v>
      </c>
      <c r="W28" s="85" t="str">
        <f>出怪数量!Z27</f>
        <v>1:2:1|1:5:1|2:10:1|2:5:1#2:5:1#3:5:2|3:5:2#2:5:1#3:5:2|3:6:2#2:6:1#3:6:2|4:7:2#2:7:1#3:7:2|4:9:2#2:9:1#3:9:2|1:12:1#2:12:1#3:12:2|2:21:1#2:14:1#3:21:2</v>
      </c>
      <c r="X28" s="76" t="s">
        <v>471</v>
      </c>
      <c r="Y28" s="76" t="s">
        <v>472</v>
      </c>
      <c r="Z28" s="85" t="str">
        <f>每波成长!G29</f>
        <v>39#11#8</v>
      </c>
      <c r="AA28" s="75" t="s">
        <v>473</v>
      </c>
      <c r="AB28" s="86">
        <v>0</v>
      </c>
      <c r="AC28" s="75" t="s">
        <v>179</v>
      </c>
      <c r="AD28" s="75">
        <v>2</v>
      </c>
      <c r="AE28" s="70" t="s">
        <v>474</v>
      </c>
      <c r="AF28" s="75">
        <v>0</v>
      </c>
      <c r="AG28" s="75">
        <v>0</v>
      </c>
      <c r="AH28" s="70" t="s">
        <v>475</v>
      </c>
      <c r="AI28" s="75" t="s">
        <v>476</v>
      </c>
      <c r="AJ28" s="86">
        <v>0</v>
      </c>
      <c r="AK28" s="70" t="s">
        <v>149</v>
      </c>
      <c r="AL28" s="75" t="s">
        <v>477</v>
      </c>
      <c r="AM28" s="87" t="s">
        <v>478</v>
      </c>
      <c r="AN28" s="75" t="s">
        <v>479</v>
      </c>
      <c r="AO28" s="75">
        <v>0</v>
      </c>
      <c r="AP28" s="85">
        <v>11</v>
      </c>
      <c r="AQ28" s="75">
        <v>110</v>
      </c>
      <c r="AR28" s="76">
        <v>0</v>
      </c>
      <c r="AS28" s="88" t="s">
        <v>480</v>
      </c>
      <c r="AT28" s="76">
        <v>0</v>
      </c>
      <c r="AU28" s="75">
        <v>3</v>
      </c>
      <c r="AV28" s="70" t="s">
        <v>481</v>
      </c>
      <c r="AW28" s="70" t="s">
        <v>481</v>
      </c>
      <c r="AY28" s="53">
        <v>19</v>
      </c>
      <c r="AZ28" s="95">
        <v>5102</v>
      </c>
      <c r="BA28" s="90">
        <v>5004</v>
      </c>
      <c r="BB28" s="53">
        <v>0</v>
      </c>
    </row>
    <row r="29" s="53" customFormat="1" ht="27" spans="1:57">
      <c r="A29" s="64">
        <v>36</v>
      </c>
      <c r="B29" s="64">
        <v>0</v>
      </c>
      <c r="C29" s="71" t="s">
        <v>967</v>
      </c>
      <c r="D29" s="91" t="s">
        <v>156</v>
      </c>
      <c r="E29" s="91">
        <f t="shared" si="0"/>
        <v>37</v>
      </c>
      <c r="F29" s="71">
        <f t="shared" si="10"/>
        <v>15</v>
      </c>
      <c r="G29" s="71">
        <f t="shared" si="1"/>
        <v>35</v>
      </c>
      <c r="H29" s="79" t="s">
        <v>968</v>
      </c>
      <c r="I29" s="79" t="s">
        <v>915</v>
      </c>
      <c r="J29" s="71" t="s">
        <v>926</v>
      </c>
      <c r="K29" s="64">
        <v>10</v>
      </c>
      <c r="L29" s="75" t="s">
        <v>141</v>
      </c>
      <c r="M29" s="75">
        <v>4</v>
      </c>
      <c r="N29" s="75">
        <f t="shared" si="7"/>
        <v>5</v>
      </c>
      <c r="O29" s="75">
        <f t="shared" si="12"/>
        <v>24</v>
      </c>
      <c r="P29" s="75">
        <f t="shared" si="13"/>
        <v>39</v>
      </c>
      <c r="Q29" s="75">
        <v>250</v>
      </c>
      <c r="R29" s="76">
        <f t="shared" si="8"/>
        <v>18</v>
      </c>
      <c r="S29" s="76">
        <f t="shared" si="5"/>
        <v>15000</v>
      </c>
      <c r="T29" s="76">
        <f t="shared" si="6"/>
        <v>28000</v>
      </c>
      <c r="U29" s="76">
        <f>出怪成长!C27</f>
        <v>15</v>
      </c>
      <c r="V29" s="76" t="str">
        <f>出怪成长!D27</f>
        <v>6#30001#1|12#30002#1|15#30001,30004#1</v>
      </c>
      <c r="W29" s="85" t="str">
        <f>出怪数量!Z28</f>
        <v>1:2:1|1:5:1|2:10:1|2:5:1#2:5:1#3:5:2|3:5:2#2:5:1#3:5:2|3:6:2#2:6:1#3:6:2|4:7:2#2:7:1#3:7:2|4:9:2#2:9:1#3:9:2|1:12:1#2:12:1#3:12:2|2:21:1#2:14:1#3:21:2</v>
      </c>
      <c r="X29" s="76" t="s">
        <v>471</v>
      </c>
      <c r="Y29" s="76" t="s">
        <v>472</v>
      </c>
      <c r="Z29" s="85" t="str">
        <f>每波成长!G30</f>
        <v>37#10#7</v>
      </c>
      <c r="AA29" s="75" t="s">
        <v>473</v>
      </c>
      <c r="AB29" s="86">
        <v>0</v>
      </c>
      <c r="AC29" s="75" t="s">
        <v>179</v>
      </c>
      <c r="AD29" s="75">
        <v>2</v>
      </c>
      <c r="AE29" s="70" t="s">
        <v>486</v>
      </c>
      <c r="AF29" s="75">
        <v>0</v>
      </c>
      <c r="AG29" s="75">
        <v>0</v>
      </c>
      <c r="AH29" s="70" t="s">
        <v>487</v>
      </c>
      <c r="AI29" s="75" t="s">
        <v>488</v>
      </c>
      <c r="AJ29" s="86">
        <v>0</v>
      </c>
      <c r="AK29" s="70" t="s">
        <v>149</v>
      </c>
      <c r="AL29" s="75" t="s">
        <v>477</v>
      </c>
      <c r="AM29" s="87" t="s">
        <v>478</v>
      </c>
      <c r="AN29" s="75" t="s">
        <v>489</v>
      </c>
      <c r="AO29" s="75">
        <v>0</v>
      </c>
      <c r="AP29" s="76">
        <v>12</v>
      </c>
      <c r="AQ29" s="75">
        <v>120</v>
      </c>
      <c r="AR29" s="76" t="s">
        <v>490</v>
      </c>
      <c r="AS29" s="88" t="s">
        <v>491</v>
      </c>
      <c r="AT29" s="76">
        <v>0</v>
      </c>
      <c r="AU29" s="75">
        <v>3</v>
      </c>
      <c r="AV29" s="99" t="str">
        <f t="shared" ref="AV29:AV35" si="14">AV28</f>
        <v>MapDead</v>
      </c>
      <c r="AW29" s="99" t="str">
        <f t="shared" ref="AW29:AW35" si="15">AW28</f>
        <v>MapDead</v>
      </c>
      <c r="AY29" s="53">
        <v>20</v>
      </c>
      <c r="AZ29" s="95">
        <v>5103</v>
      </c>
      <c r="BA29" s="90">
        <v>5004</v>
      </c>
      <c r="BB29" s="53">
        <v>0</v>
      </c>
      <c r="BE29" s="53" t="s">
        <v>492</v>
      </c>
    </row>
    <row r="30" s="55" customFormat="1" ht="27" spans="1:57">
      <c r="A30" s="64">
        <v>37</v>
      </c>
      <c r="B30" s="64">
        <v>0</v>
      </c>
      <c r="C30" s="71" t="s">
        <v>969</v>
      </c>
      <c r="D30" s="91" t="s">
        <v>174</v>
      </c>
      <c r="E30" s="91">
        <f t="shared" si="0"/>
        <v>38</v>
      </c>
      <c r="F30" s="71">
        <f t="shared" si="10"/>
        <v>16</v>
      </c>
      <c r="G30" s="71">
        <f t="shared" si="1"/>
        <v>36</v>
      </c>
      <c r="H30" s="79" t="s">
        <v>970</v>
      </c>
      <c r="I30" s="79" t="s">
        <v>915</v>
      </c>
      <c r="J30" s="71" t="s">
        <v>926</v>
      </c>
      <c r="K30" s="64">
        <v>10</v>
      </c>
      <c r="L30" s="75" t="s">
        <v>141</v>
      </c>
      <c r="M30" s="75">
        <v>4</v>
      </c>
      <c r="N30" s="75">
        <f t="shared" si="7"/>
        <v>6</v>
      </c>
      <c r="O30" s="75">
        <f t="shared" si="12"/>
        <v>26</v>
      </c>
      <c r="P30" s="75">
        <f t="shared" si="13"/>
        <v>41</v>
      </c>
      <c r="Q30" s="75">
        <v>250</v>
      </c>
      <c r="R30" s="76">
        <f t="shared" si="8"/>
        <v>18</v>
      </c>
      <c r="S30" s="76">
        <f t="shared" si="5"/>
        <v>15000</v>
      </c>
      <c r="T30" s="76">
        <f t="shared" si="6"/>
        <v>28000</v>
      </c>
      <c r="U30" s="76">
        <f>出怪成长!C28</f>
        <v>15</v>
      </c>
      <c r="V30" s="76" t="str">
        <f>出怪成长!D28</f>
        <v>6#30001#1|12#30002#1|15#30001,30004#1</v>
      </c>
      <c r="W30" s="85" t="str">
        <f>出怪数量!Z29</f>
        <v>1:2:1|1:5:1|2:10:1|2:5:1#2:5:1#3:5:2|3:5:2#2:5:1#3:5:2|3:6:2#2:6:1#3:6:2|4:7:2#2:7:1#3:7:2|4:9:2#2:9:1#3:9:2|1:12:1#2:12:1#3:12:2|2:21:1#2:14:1#3:21:2</v>
      </c>
      <c r="X30" s="76" t="s">
        <v>471</v>
      </c>
      <c r="Y30" s="76" t="s">
        <v>472</v>
      </c>
      <c r="Z30" s="85" t="str">
        <f>每波成长!G31</f>
        <v>39#11#8</v>
      </c>
      <c r="AA30" s="75" t="s">
        <v>473</v>
      </c>
      <c r="AB30" s="86">
        <v>0</v>
      </c>
      <c r="AC30" s="75" t="s">
        <v>179</v>
      </c>
      <c r="AD30" s="75">
        <v>2</v>
      </c>
      <c r="AE30" s="70" t="s">
        <v>498</v>
      </c>
      <c r="AF30" s="75">
        <v>0</v>
      </c>
      <c r="AG30" s="75">
        <v>0</v>
      </c>
      <c r="AH30" s="70" t="s">
        <v>499</v>
      </c>
      <c r="AI30" s="75" t="s">
        <v>500</v>
      </c>
      <c r="AJ30" s="86">
        <v>0</v>
      </c>
      <c r="AK30" s="70" t="s">
        <v>149</v>
      </c>
      <c r="AL30" s="75" t="s">
        <v>477</v>
      </c>
      <c r="AM30" s="87" t="s">
        <v>478</v>
      </c>
      <c r="AN30" s="75" t="s">
        <v>501</v>
      </c>
      <c r="AO30" s="75">
        <v>0</v>
      </c>
      <c r="AP30" s="85">
        <v>13</v>
      </c>
      <c r="AQ30" s="75">
        <v>130</v>
      </c>
      <c r="AR30" s="76" t="s">
        <v>502</v>
      </c>
      <c r="AS30" s="88" t="s">
        <v>503</v>
      </c>
      <c r="AT30" s="76">
        <v>0</v>
      </c>
      <c r="AU30" s="75">
        <v>3</v>
      </c>
      <c r="AV30" s="99" t="str">
        <f t="shared" si="14"/>
        <v>MapDead</v>
      </c>
      <c r="AW30" s="99" t="str">
        <f t="shared" si="15"/>
        <v>MapDead</v>
      </c>
      <c r="AY30" s="55">
        <v>21</v>
      </c>
      <c r="AZ30" s="97">
        <v>5104</v>
      </c>
      <c r="BA30" s="98">
        <v>5004</v>
      </c>
      <c r="BB30" s="55">
        <v>0</v>
      </c>
    </row>
    <row r="31" s="54" customFormat="1" ht="27" spans="1:57">
      <c r="A31" s="64">
        <v>38</v>
      </c>
      <c r="B31" s="64">
        <v>0</v>
      </c>
      <c r="C31" s="71" t="s">
        <v>971</v>
      </c>
      <c r="D31" s="64" t="s">
        <v>130</v>
      </c>
      <c r="E31" s="91">
        <f t="shared" si="0"/>
        <v>39</v>
      </c>
      <c r="F31" s="71">
        <f t="shared" si="10"/>
        <v>16</v>
      </c>
      <c r="G31" s="71">
        <f t="shared" si="1"/>
        <v>36</v>
      </c>
      <c r="H31" s="79" t="s">
        <v>972</v>
      </c>
      <c r="I31" s="79" t="s">
        <v>915</v>
      </c>
      <c r="J31" s="71" t="s">
        <v>926</v>
      </c>
      <c r="K31" s="64">
        <v>10</v>
      </c>
      <c r="L31" s="75" t="s">
        <v>141</v>
      </c>
      <c r="M31" s="75">
        <v>4</v>
      </c>
      <c r="N31" s="75">
        <f t="shared" si="7"/>
        <v>7</v>
      </c>
      <c r="O31" s="75">
        <f t="shared" si="12"/>
        <v>27</v>
      </c>
      <c r="P31" s="75">
        <f t="shared" si="13"/>
        <v>42</v>
      </c>
      <c r="Q31" s="75">
        <v>250</v>
      </c>
      <c r="R31" s="76">
        <f t="shared" si="8"/>
        <v>18</v>
      </c>
      <c r="S31" s="76">
        <f t="shared" si="5"/>
        <v>15000</v>
      </c>
      <c r="T31" s="76">
        <f t="shared" si="6"/>
        <v>28000</v>
      </c>
      <c r="U31" s="76">
        <f>出怪成长!C29</f>
        <v>15</v>
      </c>
      <c r="V31" s="76" t="str">
        <f>出怪成长!D29</f>
        <v>6#30001#1|12#30002#1|15#30001,30004#1</v>
      </c>
      <c r="W31" s="85" t="str">
        <f>出怪数量!Z30</f>
        <v>1:2:1|1:5:1|2:10:1|2:5:1#2:5:1#3:5:2|3:5:2#2:5:1#3:5:2|3:6:2#2:6:1#3:6:2|4:7:2#2:7:1#3:7:2|4:9:2#2:9:1#3:9:2|1:12:1#2:12:1#3:12:2|2:21:1#2:14:1#3:21:2</v>
      </c>
      <c r="X31" s="76" t="s">
        <v>471</v>
      </c>
      <c r="Y31" s="76" t="s">
        <v>472</v>
      </c>
      <c r="Z31" s="85" t="str">
        <f>每波成长!G32</f>
        <v>40#12#9</v>
      </c>
      <c r="AA31" s="75" t="s">
        <v>473</v>
      </c>
      <c r="AB31" s="86">
        <v>0</v>
      </c>
      <c r="AC31" s="75" t="s">
        <v>179</v>
      </c>
      <c r="AD31" s="75">
        <v>2</v>
      </c>
      <c r="AE31" s="70" t="s">
        <v>508</v>
      </c>
      <c r="AF31" s="75">
        <v>0</v>
      </c>
      <c r="AG31" s="75">
        <v>0</v>
      </c>
      <c r="AH31" s="70" t="s">
        <v>509</v>
      </c>
      <c r="AI31" s="75" t="s">
        <v>510</v>
      </c>
      <c r="AJ31" s="86">
        <v>0</v>
      </c>
      <c r="AK31" s="70" t="s">
        <v>149</v>
      </c>
      <c r="AL31" s="75" t="s">
        <v>477</v>
      </c>
      <c r="AM31" s="87" t="s">
        <v>478</v>
      </c>
      <c r="AN31" s="75" t="s">
        <v>511</v>
      </c>
      <c r="AO31" s="75">
        <v>0</v>
      </c>
      <c r="AP31" s="76">
        <v>14</v>
      </c>
      <c r="AQ31" s="75">
        <v>140</v>
      </c>
      <c r="AR31" s="76" t="s">
        <v>512</v>
      </c>
      <c r="AS31" s="88" t="s">
        <v>513</v>
      </c>
      <c r="AT31" s="76">
        <v>0</v>
      </c>
      <c r="AU31" s="75">
        <v>3</v>
      </c>
      <c r="AV31" s="99" t="str">
        <f t="shared" si="14"/>
        <v>MapDead</v>
      </c>
      <c r="AW31" s="99" t="str">
        <f t="shared" si="15"/>
        <v>MapDead</v>
      </c>
      <c r="AY31" s="54">
        <v>22</v>
      </c>
      <c r="AZ31" s="93">
        <v>5105</v>
      </c>
      <c r="BA31" s="94">
        <v>5004</v>
      </c>
      <c r="BB31" s="54">
        <v>0</v>
      </c>
      <c r="BE31" s="54" t="s">
        <v>514</v>
      </c>
    </row>
    <row r="32" s="53" customFormat="1" ht="27" spans="1:57">
      <c r="A32" s="64">
        <v>39</v>
      </c>
      <c r="B32" s="64">
        <v>0</v>
      </c>
      <c r="C32" s="71" t="s">
        <v>973</v>
      </c>
      <c r="D32" s="91" t="s">
        <v>156</v>
      </c>
      <c r="E32" s="91">
        <f t="shared" si="0"/>
        <v>40</v>
      </c>
      <c r="F32" s="71">
        <f t="shared" si="10"/>
        <v>17</v>
      </c>
      <c r="G32" s="71">
        <f t="shared" si="1"/>
        <v>37</v>
      </c>
      <c r="H32" s="79" t="s">
        <v>974</v>
      </c>
      <c r="I32" s="79" t="s">
        <v>915</v>
      </c>
      <c r="J32" s="71" t="s">
        <v>926</v>
      </c>
      <c r="K32" s="64">
        <v>10</v>
      </c>
      <c r="L32" s="75" t="s">
        <v>141</v>
      </c>
      <c r="M32" s="75">
        <v>4</v>
      </c>
      <c r="N32" s="75">
        <f t="shared" si="7"/>
        <v>5</v>
      </c>
      <c r="O32" s="75">
        <f t="shared" si="12"/>
        <v>26</v>
      </c>
      <c r="P32" s="75">
        <f t="shared" si="13"/>
        <v>41</v>
      </c>
      <c r="Q32" s="75">
        <v>250</v>
      </c>
      <c r="R32" s="76">
        <f t="shared" si="8"/>
        <v>18</v>
      </c>
      <c r="S32" s="76">
        <f t="shared" si="5"/>
        <v>15000</v>
      </c>
      <c r="T32" s="76">
        <f t="shared" si="6"/>
        <v>28000</v>
      </c>
      <c r="U32" s="76">
        <f>出怪成长!C30</f>
        <v>15</v>
      </c>
      <c r="V32" s="76" t="str">
        <f>出怪成长!D30</f>
        <v>6#30001#1|12#30002#1|15#30001,30004#1</v>
      </c>
      <c r="W32" s="85" t="str">
        <f>出怪数量!Z31</f>
        <v>1:3:1|1:6:1|2:11:1|2:6:1#2:6:1#3:6:1|3:5:1#2:5:1#3:5:1|3:6:1#2:6:1#3:6:1|4:7:1#2:7:1#3:7:1|4:9:1#2:9:1#3:9:1|1:12:1#2:12:1#3:12:1|2:21:1#2:14:1#3:21:1</v>
      </c>
      <c r="X32" s="76" t="s">
        <v>471</v>
      </c>
      <c r="Y32" s="76" t="s">
        <v>472</v>
      </c>
      <c r="Z32" s="85" t="str">
        <f>每波成长!G33</f>
        <v>37#10#7</v>
      </c>
      <c r="AA32" s="75" t="s">
        <v>473</v>
      </c>
      <c r="AB32" s="86">
        <v>0</v>
      </c>
      <c r="AC32" s="75" t="s">
        <v>179</v>
      </c>
      <c r="AD32" s="75">
        <v>2</v>
      </c>
      <c r="AE32" s="70" t="s">
        <v>521</v>
      </c>
      <c r="AF32" s="75">
        <v>0</v>
      </c>
      <c r="AG32" s="75">
        <v>0</v>
      </c>
      <c r="AH32" s="70" t="s">
        <v>522</v>
      </c>
      <c r="AI32" s="75" t="s">
        <v>523</v>
      </c>
      <c r="AJ32" s="86">
        <v>0</v>
      </c>
      <c r="AK32" s="70" t="s">
        <v>149</v>
      </c>
      <c r="AL32" s="75" t="s">
        <v>477</v>
      </c>
      <c r="AM32" s="87" t="s">
        <v>478</v>
      </c>
      <c r="AN32" s="75" t="s">
        <v>524</v>
      </c>
      <c r="AO32" s="75">
        <v>0</v>
      </c>
      <c r="AP32" s="85">
        <v>15</v>
      </c>
      <c r="AQ32" s="75">
        <v>150</v>
      </c>
      <c r="AR32" s="76">
        <v>0</v>
      </c>
      <c r="AS32" s="88" t="s">
        <v>525</v>
      </c>
      <c r="AT32" s="76">
        <v>0</v>
      </c>
      <c r="AU32" s="75">
        <v>3</v>
      </c>
      <c r="AV32" s="99" t="str">
        <f t="shared" si="14"/>
        <v>MapDead</v>
      </c>
      <c r="AW32" s="99" t="str">
        <f t="shared" si="15"/>
        <v>MapDead</v>
      </c>
      <c r="AY32" s="53">
        <v>23</v>
      </c>
      <c r="AZ32" s="95">
        <v>5106</v>
      </c>
      <c r="BA32" s="90">
        <v>5005</v>
      </c>
      <c r="BB32" s="53">
        <v>0</v>
      </c>
    </row>
    <row r="33" s="53" customFormat="1" ht="27" spans="1:57">
      <c r="A33" s="64">
        <v>40</v>
      </c>
      <c r="B33" s="64">
        <v>0</v>
      </c>
      <c r="C33" s="71" t="s">
        <v>975</v>
      </c>
      <c r="D33" s="91" t="s">
        <v>174</v>
      </c>
      <c r="E33" s="91">
        <f t="shared" si="0"/>
        <v>41</v>
      </c>
      <c r="F33" s="71">
        <f t="shared" si="10"/>
        <v>17</v>
      </c>
      <c r="G33" s="71">
        <f t="shared" si="1"/>
        <v>37</v>
      </c>
      <c r="H33" s="79" t="s">
        <v>976</v>
      </c>
      <c r="I33" s="79" t="s">
        <v>915</v>
      </c>
      <c r="J33" s="71" t="s">
        <v>926</v>
      </c>
      <c r="K33" s="64">
        <v>10</v>
      </c>
      <c r="L33" s="75" t="s">
        <v>141</v>
      </c>
      <c r="M33" s="75">
        <v>4</v>
      </c>
      <c r="N33" s="75">
        <f t="shared" si="7"/>
        <v>6</v>
      </c>
      <c r="O33" s="75">
        <f t="shared" si="12"/>
        <v>27</v>
      </c>
      <c r="P33" s="75">
        <f t="shared" si="13"/>
        <v>42</v>
      </c>
      <c r="Q33" s="75">
        <v>250</v>
      </c>
      <c r="R33" s="76">
        <f t="shared" si="8"/>
        <v>18</v>
      </c>
      <c r="S33" s="76">
        <f t="shared" si="5"/>
        <v>15000</v>
      </c>
      <c r="T33" s="76">
        <f t="shared" si="6"/>
        <v>28000</v>
      </c>
      <c r="U33" s="76">
        <f>出怪成长!C31</f>
        <v>15</v>
      </c>
      <c r="V33" s="76" t="str">
        <f>出怪成长!D31</f>
        <v>6#30001#1|12#30002#1|15#30001,30004#1</v>
      </c>
      <c r="W33" s="85" t="str">
        <f>出怪数量!Z32</f>
        <v>1:3:1|1:6:1|2:11:1|2:6:1#2:6:1#3:6:2|3:5:2#2:5:1#3:5:2|3:6:2#2:6:1#3:6:2|4:7:2#2:7:1#3:7:2|4:9:2#2:9:1#3:9:2|1:12:1#2:12:1#3:12:2|2:21:1#2:14:1#3:21:2</v>
      </c>
      <c r="X33" s="76" t="s">
        <v>471</v>
      </c>
      <c r="Y33" s="76" t="s">
        <v>472</v>
      </c>
      <c r="Z33" s="85" t="str">
        <f>每波成长!G34</f>
        <v>39#11#8</v>
      </c>
      <c r="AA33" s="75" t="s">
        <v>473</v>
      </c>
      <c r="AB33" s="86">
        <v>0</v>
      </c>
      <c r="AC33" s="75" t="s">
        <v>179</v>
      </c>
      <c r="AD33" s="75">
        <v>2</v>
      </c>
      <c r="AE33" s="70" t="s">
        <v>530</v>
      </c>
      <c r="AF33" s="75">
        <v>0</v>
      </c>
      <c r="AG33" s="75">
        <v>0</v>
      </c>
      <c r="AH33" s="70" t="s">
        <v>531</v>
      </c>
      <c r="AI33" s="75" t="s">
        <v>532</v>
      </c>
      <c r="AJ33" s="86">
        <v>0</v>
      </c>
      <c r="AK33" s="70" t="s">
        <v>149</v>
      </c>
      <c r="AL33" s="75" t="s">
        <v>477</v>
      </c>
      <c r="AM33" s="87" t="s">
        <v>478</v>
      </c>
      <c r="AN33" s="75" t="s">
        <v>533</v>
      </c>
      <c r="AO33" s="75">
        <v>0</v>
      </c>
      <c r="AP33" s="76">
        <v>16</v>
      </c>
      <c r="AQ33" s="75">
        <v>160</v>
      </c>
      <c r="AR33" s="76">
        <v>0</v>
      </c>
      <c r="AS33" s="88" t="s">
        <v>534</v>
      </c>
      <c r="AT33" s="76">
        <v>0</v>
      </c>
      <c r="AU33" s="75">
        <v>3</v>
      </c>
      <c r="AV33" s="99" t="str">
        <f t="shared" si="14"/>
        <v>MapDead</v>
      </c>
      <c r="AW33" s="99" t="str">
        <f t="shared" si="15"/>
        <v>MapDead</v>
      </c>
      <c r="AY33" s="53">
        <v>24</v>
      </c>
      <c r="AZ33" s="95">
        <v>5107</v>
      </c>
      <c r="BA33" s="90">
        <v>5005</v>
      </c>
      <c r="BB33" s="53">
        <v>0</v>
      </c>
      <c r="BE33" s="53" t="s">
        <v>535</v>
      </c>
    </row>
    <row r="34" s="53" customFormat="1" ht="27" spans="1:57">
      <c r="A34" s="64">
        <v>41</v>
      </c>
      <c r="B34" s="64">
        <v>0</v>
      </c>
      <c r="C34" s="71" t="s">
        <v>977</v>
      </c>
      <c r="D34" s="64" t="s">
        <v>130</v>
      </c>
      <c r="E34" s="91">
        <f t="shared" si="0"/>
        <v>42</v>
      </c>
      <c r="F34" s="71">
        <f t="shared" si="10"/>
        <v>18</v>
      </c>
      <c r="G34" s="71">
        <f t="shared" si="1"/>
        <v>38</v>
      </c>
      <c r="H34" s="79" t="s">
        <v>978</v>
      </c>
      <c r="I34" s="79" t="s">
        <v>915</v>
      </c>
      <c r="J34" s="71" t="s">
        <v>926</v>
      </c>
      <c r="K34" s="64">
        <v>10</v>
      </c>
      <c r="L34" s="75" t="s">
        <v>141</v>
      </c>
      <c r="M34" s="75">
        <v>4</v>
      </c>
      <c r="N34" s="75">
        <f t="shared" si="7"/>
        <v>7</v>
      </c>
      <c r="O34" s="75">
        <f t="shared" si="12"/>
        <v>29</v>
      </c>
      <c r="P34" s="75">
        <f t="shared" si="13"/>
        <v>44</v>
      </c>
      <c r="Q34" s="75">
        <v>250</v>
      </c>
      <c r="R34" s="76">
        <f t="shared" si="8"/>
        <v>18</v>
      </c>
      <c r="S34" s="76">
        <f t="shared" si="5"/>
        <v>15000</v>
      </c>
      <c r="T34" s="76">
        <f t="shared" si="6"/>
        <v>28000</v>
      </c>
      <c r="U34" s="76">
        <f>出怪成长!C32</f>
        <v>15</v>
      </c>
      <c r="V34" s="76" t="str">
        <f>出怪成长!D32</f>
        <v>6#30001#1|12#30002#1|15#30001,30004#1</v>
      </c>
      <c r="W34" s="85" t="str">
        <f>出怪数量!Z33</f>
        <v>1:3:1|1:6:1|2:11:1|2:6:1#2:6:1#3:6:2|3:5:2#2:5:1#3:5:2|3:6:2#2:6:1#3:6:2|4:7:2#2:7:1#3:7:2|4:9:2#2:9:1#3:9:2|1:12:1#2:12:1#3:12:2|2:21:1#2:14:1#3:21:2</v>
      </c>
      <c r="X34" s="76" t="s">
        <v>471</v>
      </c>
      <c r="Y34" s="76" t="s">
        <v>472</v>
      </c>
      <c r="Z34" s="85" t="str">
        <f>每波成长!G35</f>
        <v>31#8#5</v>
      </c>
      <c r="AA34" s="75" t="s">
        <v>473</v>
      </c>
      <c r="AB34" s="86">
        <v>0</v>
      </c>
      <c r="AC34" s="75" t="s">
        <v>179</v>
      </c>
      <c r="AD34" s="75">
        <v>2</v>
      </c>
      <c r="AE34" s="70" t="s">
        <v>979</v>
      </c>
      <c r="AF34" s="75">
        <v>0</v>
      </c>
      <c r="AG34" s="75">
        <v>0</v>
      </c>
      <c r="AH34" s="70" t="s">
        <v>980</v>
      </c>
      <c r="AI34" s="75" t="s">
        <v>523</v>
      </c>
      <c r="AJ34" s="86">
        <v>0</v>
      </c>
      <c r="AK34" s="70" t="s">
        <v>149</v>
      </c>
      <c r="AL34" s="75" t="s">
        <v>477</v>
      </c>
      <c r="AM34" s="87" t="s">
        <v>478</v>
      </c>
      <c r="AN34" s="75" t="s">
        <v>524</v>
      </c>
      <c r="AO34" s="75">
        <v>0</v>
      </c>
      <c r="AP34" s="85">
        <v>15</v>
      </c>
      <c r="AQ34" s="75">
        <v>150</v>
      </c>
      <c r="AR34" s="76">
        <v>0</v>
      </c>
      <c r="AS34" s="88" t="s">
        <v>525</v>
      </c>
      <c r="AT34" s="76">
        <v>0</v>
      </c>
      <c r="AU34" s="75">
        <v>3</v>
      </c>
      <c r="AV34" s="99" t="str">
        <f t="shared" si="14"/>
        <v>MapDead</v>
      </c>
      <c r="AW34" s="99" t="str">
        <f t="shared" si="15"/>
        <v>MapDead</v>
      </c>
      <c r="AY34" s="53">
        <v>23</v>
      </c>
      <c r="AZ34" s="95">
        <v>5106</v>
      </c>
      <c r="BA34" s="90">
        <v>5005</v>
      </c>
      <c r="BB34" s="53">
        <v>0</v>
      </c>
    </row>
    <row r="35" s="53" customFormat="1" ht="27" spans="1:57">
      <c r="A35" s="64">
        <v>42</v>
      </c>
      <c r="B35" s="64">
        <v>0</v>
      </c>
      <c r="C35" s="71" t="s">
        <v>981</v>
      </c>
      <c r="D35" s="91" t="s">
        <v>156</v>
      </c>
      <c r="E35" s="91">
        <f t="shared" si="0"/>
        <v>43</v>
      </c>
      <c r="F35" s="71">
        <f t="shared" si="10"/>
        <v>18</v>
      </c>
      <c r="G35" s="71">
        <f t="shared" si="1"/>
        <v>38</v>
      </c>
      <c r="H35" s="79" t="s">
        <v>982</v>
      </c>
      <c r="I35" s="79" t="s">
        <v>915</v>
      </c>
      <c r="J35" s="71" t="s">
        <v>926</v>
      </c>
      <c r="K35" s="64">
        <v>10</v>
      </c>
      <c r="L35" s="75" t="s">
        <v>141</v>
      </c>
      <c r="M35" s="75">
        <v>4</v>
      </c>
      <c r="N35" s="75">
        <f t="shared" si="7"/>
        <v>8</v>
      </c>
      <c r="O35" s="75">
        <f t="shared" si="12"/>
        <v>30</v>
      </c>
      <c r="P35" s="75">
        <f t="shared" si="13"/>
        <v>45</v>
      </c>
      <c r="Q35" s="75">
        <v>250</v>
      </c>
      <c r="R35" s="76">
        <f t="shared" si="8"/>
        <v>18</v>
      </c>
      <c r="S35" s="76">
        <f t="shared" si="5"/>
        <v>15000</v>
      </c>
      <c r="T35" s="76">
        <f t="shared" si="6"/>
        <v>28000</v>
      </c>
      <c r="U35" s="76">
        <f>出怪成长!C33</f>
        <v>15</v>
      </c>
      <c r="V35" s="76" t="str">
        <f>出怪成长!D33</f>
        <v>6#30001#1|12#30002#1|15#30001,30004#1</v>
      </c>
      <c r="W35" s="85" t="str">
        <f>出怪数量!Z34</f>
        <v>1:3:1|1:6:1|2:11:1|2:6:1#2:6:1#3:6:1|3:5:1#2:5:1#3:5:1|3:6:1#2:6:1#3:6:1|4:7:2#2:7:1#3:7:1|4:9:2#2:9:1#3:9:1|1:12:1#2:12:1#3:12:1|2:21:1#2:14:1#3:21:1</v>
      </c>
      <c r="X35" s="76" t="s">
        <v>471</v>
      </c>
      <c r="Y35" s="76" t="s">
        <v>472</v>
      </c>
      <c r="Z35" s="85" t="str">
        <f>每波成长!G36</f>
        <v>33#9#6</v>
      </c>
      <c r="AA35" s="75" t="s">
        <v>473</v>
      </c>
      <c r="AB35" s="86">
        <v>0</v>
      </c>
      <c r="AC35" s="75" t="s">
        <v>179</v>
      </c>
      <c r="AD35" s="75">
        <v>2</v>
      </c>
      <c r="AE35" s="70" t="s">
        <v>983</v>
      </c>
      <c r="AF35" s="75">
        <v>0</v>
      </c>
      <c r="AG35" s="75">
        <v>0</v>
      </c>
      <c r="AH35" s="70" t="s">
        <v>984</v>
      </c>
      <c r="AI35" s="75" t="s">
        <v>532</v>
      </c>
      <c r="AJ35" s="86">
        <v>0</v>
      </c>
      <c r="AK35" s="70" t="s">
        <v>149</v>
      </c>
      <c r="AL35" s="75" t="s">
        <v>477</v>
      </c>
      <c r="AM35" s="87" t="s">
        <v>478</v>
      </c>
      <c r="AN35" s="75" t="s">
        <v>533</v>
      </c>
      <c r="AO35" s="75">
        <v>0</v>
      </c>
      <c r="AP35" s="76">
        <v>16</v>
      </c>
      <c r="AQ35" s="75">
        <v>160</v>
      </c>
      <c r="AR35" s="76">
        <v>0</v>
      </c>
      <c r="AS35" s="88" t="s">
        <v>534</v>
      </c>
      <c r="AT35" s="76">
        <v>0</v>
      </c>
      <c r="AU35" s="75">
        <v>3</v>
      </c>
      <c r="AV35" s="99" t="str">
        <f t="shared" si="14"/>
        <v>MapDead</v>
      </c>
      <c r="AW35" s="99" t="str">
        <f t="shared" si="15"/>
        <v>MapDead</v>
      </c>
      <c r="AY35" s="53">
        <v>24</v>
      </c>
      <c r="AZ35" s="95">
        <v>5107</v>
      </c>
      <c r="BA35" s="90">
        <v>5005</v>
      </c>
      <c r="BB35" s="53">
        <v>0</v>
      </c>
      <c r="BE35" s="53" t="s">
        <v>535</v>
      </c>
    </row>
    <row r="36" s="54" customFormat="1" ht="27" spans="1:57">
      <c r="A36" s="64">
        <v>43</v>
      </c>
      <c r="B36" s="64">
        <v>0</v>
      </c>
      <c r="C36" s="71" t="s">
        <v>985</v>
      </c>
      <c r="D36" s="91" t="s">
        <v>174</v>
      </c>
      <c r="E36" s="91">
        <f t="shared" si="0"/>
        <v>44</v>
      </c>
      <c r="F36" s="71">
        <f t="shared" si="10"/>
        <v>19</v>
      </c>
      <c r="G36" s="71">
        <f t="shared" si="1"/>
        <v>39</v>
      </c>
      <c r="H36" s="79" t="s">
        <v>986</v>
      </c>
      <c r="I36" s="79" t="s">
        <v>915</v>
      </c>
      <c r="J36" s="71" t="s">
        <v>926</v>
      </c>
      <c r="K36" s="64">
        <v>10</v>
      </c>
      <c r="L36" s="75" t="s">
        <v>141</v>
      </c>
      <c r="M36" s="75">
        <v>5</v>
      </c>
      <c r="N36" s="75">
        <f t="shared" si="7"/>
        <v>8</v>
      </c>
      <c r="O36" s="75">
        <f t="shared" si="12"/>
        <v>32</v>
      </c>
      <c r="P36" s="75">
        <f t="shared" si="13"/>
        <v>47</v>
      </c>
      <c r="Q36" s="75">
        <v>250</v>
      </c>
      <c r="R36" s="76">
        <f t="shared" si="8"/>
        <v>19</v>
      </c>
      <c r="S36" s="76">
        <f t="shared" si="5"/>
        <v>15000</v>
      </c>
      <c r="T36" s="76">
        <f t="shared" si="6"/>
        <v>28000</v>
      </c>
      <c r="U36" s="76">
        <f>出怪成长!C34</f>
        <v>15</v>
      </c>
      <c r="V36" s="76" t="str">
        <f>出怪成长!D34</f>
        <v>6#30001#1|12#30002#1|15#30001,30004#1</v>
      </c>
      <c r="W36" s="85" t="str">
        <f>出怪数量!Z35</f>
        <v>1:2:1|1:6:1|2:12:1|2:6:1#2:6:1#3:6:1|3:6:1#2:6:1#3:6:1|3:7:1#2:7:1#3:7:1|4:9:1#2:9:1#3:9:1|4:11:1#2:11:1#3:11:1|1:14:1#2:14:1#3:14:1|2:25:1#2:16:1#3:25:1</v>
      </c>
      <c r="X36" s="76" t="s">
        <v>471</v>
      </c>
      <c r="Y36" s="76" t="s">
        <v>472</v>
      </c>
      <c r="Z36" s="85" t="str">
        <f>每波成长!G37</f>
        <v>34#9#6</v>
      </c>
      <c r="AA36" s="75" t="s">
        <v>473</v>
      </c>
      <c r="AB36" s="86">
        <v>0</v>
      </c>
      <c r="AC36" s="75" t="s">
        <v>179</v>
      </c>
      <c r="AD36" s="75">
        <v>2</v>
      </c>
      <c r="AE36" s="70" t="s">
        <v>987</v>
      </c>
      <c r="AF36" s="75">
        <v>0</v>
      </c>
      <c r="AG36" s="75">
        <v>0</v>
      </c>
      <c r="AH36" s="70" t="s">
        <v>988</v>
      </c>
      <c r="AI36" s="75" t="s">
        <v>989</v>
      </c>
      <c r="AJ36" s="86">
        <v>0</v>
      </c>
      <c r="AK36" s="70" t="s">
        <v>149</v>
      </c>
      <c r="AL36" s="75" t="s">
        <v>990</v>
      </c>
      <c r="AM36" s="87" t="s">
        <v>991</v>
      </c>
      <c r="AN36" s="75" t="s">
        <v>992</v>
      </c>
      <c r="AO36" s="75">
        <v>0</v>
      </c>
      <c r="AP36" s="85">
        <v>17</v>
      </c>
      <c r="AQ36" s="75">
        <v>170</v>
      </c>
      <c r="AR36" s="76" t="s">
        <v>993</v>
      </c>
      <c r="AS36" s="88" t="s">
        <v>994</v>
      </c>
      <c r="AT36" s="76">
        <v>0</v>
      </c>
      <c r="AU36" s="75">
        <v>3</v>
      </c>
      <c r="AV36" s="70" t="s">
        <v>677</v>
      </c>
      <c r="AW36" s="70" t="s">
        <v>677</v>
      </c>
      <c r="AY36" s="54">
        <v>25</v>
      </c>
      <c r="AZ36" s="93">
        <v>6104</v>
      </c>
      <c r="BA36" s="94">
        <v>6005</v>
      </c>
      <c r="BB36" s="54">
        <v>0</v>
      </c>
    </row>
    <row r="37" s="53" customFormat="1" ht="27" spans="1:57">
      <c r="A37" s="64">
        <v>44</v>
      </c>
      <c r="B37" s="64">
        <v>0</v>
      </c>
      <c r="C37" s="71" t="s">
        <v>995</v>
      </c>
      <c r="D37" s="64" t="s">
        <v>130</v>
      </c>
      <c r="E37" s="91">
        <f t="shared" si="0"/>
        <v>45</v>
      </c>
      <c r="F37" s="71">
        <f t="shared" si="10"/>
        <v>19</v>
      </c>
      <c r="G37" s="71">
        <f t="shared" si="1"/>
        <v>39</v>
      </c>
      <c r="H37" s="79" t="s">
        <v>996</v>
      </c>
      <c r="I37" s="79" t="s">
        <v>915</v>
      </c>
      <c r="J37" s="71" t="s">
        <v>926</v>
      </c>
      <c r="K37" s="64">
        <v>10</v>
      </c>
      <c r="L37" s="75" t="s">
        <v>141</v>
      </c>
      <c r="M37" s="75">
        <v>5</v>
      </c>
      <c r="N37" s="75">
        <f t="shared" si="7"/>
        <v>7</v>
      </c>
      <c r="O37" s="75">
        <f t="shared" si="12"/>
        <v>31</v>
      </c>
      <c r="P37" s="75">
        <f t="shared" si="13"/>
        <v>46</v>
      </c>
      <c r="Q37" s="75">
        <v>250</v>
      </c>
      <c r="R37" s="76">
        <f t="shared" si="8"/>
        <v>19</v>
      </c>
      <c r="S37" s="76">
        <f t="shared" si="5"/>
        <v>15000</v>
      </c>
      <c r="T37" s="76">
        <f t="shared" si="6"/>
        <v>28000</v>
      </c>
      <c r="U37" s="76">
        <f>出怪成长!C35</f>
        <v>15</v>
      </c>
      <c r="V37" s="76" t="str">
        <f>出怪成长!D35</f>
        <v>6#30001#1|12#30002#1|15#30001,30004#1</v>
      </c>
      <c r="W37" s="85" t="str">
        <f>出怪数量!Z36</f>
        <v>1:2:1|1:6:1|2:12:1|2:6:1#2:6:1#3:6:1|3:6:1#2:6:1#3:6:1|3:7:1#2:7:1#3:7:1|4:9:2#2:9:1#3:9:1|4:11:2#2:11:1#3:11:1|1:14:1#2:14:1#3:14:1|2:25:1#2:16:1#3:25:1</v>
      </c>
      <c r="X37" s="76" t="s">
        <v>471</v>
      </c>
      <c r="Y37" s="76" t="s">
        <v>472</v>
      </c>
      <c r="Z37" s="85" t="str">
        <f>每波成长!G38</f>
        <v>36#10#7</v>
      </c>
      <c r="AA37" s="75" t="s">
        <v>473</v>
      </c>
      <c r="AB37" s="86">
        <v>0</v>
      </c>
      <c r="AC37" s="75" t="s">
        <v>179</v>
      </c>
      <c r="AD37" s="75">
        <v>2</v>
      </c>
      <c r="AE37" s="70" t="s">
        <v>997</v>
      </c>
      <c r="AF37" s="75">
        <v>0</v>
      </c>
      <c r="AG37" s="75">
        <v>0</v>
      </c>
      <c r="AH37" s="70" t="s">
        <v>998</v>
      </c>
      <c r="AI37" s="75" t="s">
        <v>999</v>
      </c>
      <c r="AJ37" s="86">
        <v>0</v>
      </c>
      <c r="AK37" s="70" t="s">
        <v>149</v>
      </c>
      <c r="AL37" s="75" t="s">
        <v>990</v>
      </c>
      <c r="AM37" s="87" t="s">
        <v>991</v>
      </c>
      <c r="AN37" s="75" t="s">
        <v>1000</v>
      </c>
      <c r="AO37" s="75">
        <v>0</v>
      </c>
      <c r="AP37" s="76">
        <v>18</v>
      </c>
      <c r="AQ37" s="75">
        <v>180</v>
      </c>
      <c r="AR37" s="76">
        <v>0</v>
      </c>
      <c r="AS37" s="88" t="s">
        <v>1001</v>
      </c>
      <c r="AT37" s="76">
        <v>0</v>
      </c>
      <c r="AU37" s="75">
        <v>3</v>
      </c>
      <c r="AV37" s="99" t="str">
        <f t="shared" ref="AV37:AV43" si="16">AV36</f>
        <v>MapEvil</v>
      </c>
      <c r="AW37" s="99" t="str">
        <f t="shared" ref="AW37:AW43" si="17">AW36</f>
        <v>MapEvil</v>
      </c>
      <c r="AY37" s="53">
        <v>26</v>
      </c>
      <c r="AZ37" s="95">
        <v>6105</v>
      </c>
      <c r="BA37" s="90">
        <v>6005</v>
      </c>
      <c r="BB37" s="53">
        <v>0</v>
      </c>
      <c r="BE37" s="53" t="s">
        <v>1002</v>
      </c>
    </row>
    <row r="38" s="54" customFormat="1" ht="27" spans="1:57">
      <c r="A38" s="64">
        <v>45</v>
      </c>
      <c r="B38" s="64">
        <v>0</v>
      </c>
      <c r="C38" s="71" t="s">
        <v>1003</v>
      </c>
      <c r="D38" s="91" t="s">
        <v>156</v>
      </c>
      <c r="E38" s="91">
        <f t="shared" si="0"/>
        <v>46</v>
      </c>
      <c r="F38" s="71">
        <f t="shared" si="10"/>
        <v>20</v>
      </c>
      <c r="G38" s="71">
        <f t="shared" si="1"/>
        <v>40</v>
      </c>
      <c r="H38" s="79" t="s">
        <v>1004</v>
      </c>
      <c r="I38" s="79" t="s">
        <v>915</v>
      </c>
      <c r="J38" s="71" t="s">
        <v>926</v>
      </c>
      <c r="K38" s="64">
        <v>10</v>
      </c>
      <c r="L38" s="75" t="s">
        <v>141</v>
      </c>
      <c r="M38" s="75">
        <v>5</v>
      </c>
      <c r="N38" s="75">
        <f t="shared" si="7"/>
        <v>8</v>
      </c>
      <c r="O38" s="75">
        <f t="shared" si="12"/>
        <v>33</v>
      </c>
      <c r="P38" s="75">
        <f t="shared" si="13"/>
        <v>48</v>
      </c>
      <c r="Q38" s="75">
        <v>250</v>
      </c>
      <c r="R38" s="76">
        <f t="shared" si="8"/>
        <v>19</v>
      </c>
      <c r="S38" s="76">
        <f t="shared" si="5"/>
        <v>15000</v>
      </c>
      <c r="T38" s="76">
        <f t="shared" si="6"/>
        <v>28000</v>
      </c>
      <c r="U38" s="76">
        <f>出怪成长!C36</f>
        <v>15</v>
      </c>
      <c r="V38" s="76" t="str">
        <f>出怪成长!D36</f>
        <v>6#30001#1|12#30002#1|15#30001,30004#1</v>
      </c>
      <c r="W38" s="85" t="str">
        <f>出怪数量!Z37</f>
        <v>1:2:1|1:6:1|2:12:1|2:6:1#2:6:1#3:6:1|3:6:1#2:6:1#3:6:1|3:7:1#2:7:1#3:7:1|4:9:2#2:9:1#3:9:1|4:11:2#2:11:1#3:11:1|1:14:1#2:14:1#3:14:1|2:25:1#2:16:1#3:25:1</v>
      </c>
      <c r="X38" s="76" t="s">
        <v>471</v>
      </c>
      <c r="Y38" s="76" t="s">
        <v>472</v>
      </c>
      <c r="Z38" s="85" t="str">
        <f>每波成长!G39</f>
        <v>37#10#7</v>
      </c>
      <c r="AA38" s="75" t="s">
        <v>473</v>
      </c>
      <c r="AB38" s="86">
        <v>0</v>
      </c>
      <c r="AC38" s="75" t="s">
        <v>179</v>
      </c>
      <c r="AD38" s="75">
        <v>2</v>
      </c>
      <c r="AE38" s="70" t="s">
        <v>1005</v>
      </c>
      <c r="AF38" s="75">
        <v>0</v>
      </c>
      <c r="AG38" s="75">
        <v>0</v>
      </c>
      <c r="AH38" s="70" t="s">
        <v>1006</v>
      </c>
      <c r="AI38" s="75" t="s">
        <v>1007</v>
      </c>
      <c r="AJ38" s="86">
        <v>0</v>
      </c>
      <c r="AK38" s="70" t="s">
        <v>149</v>
      </c>
      <c r="AL38" s="75" t="s">
        <v>990</v>
      </c>
      <c r="AM38" s="87" t="s">
        <v>991</v>
      </c>
      <c r="AN38" s="75" t="s">
        <v>1008</v>
      </c>
      <c r="AO38" s="75">
        <v>0</v>
      </c>
      <c r="AP38" s="85">
        <v>19</v>
      </c>
      <c r="AQ38" s="75">
        <v>190</v>
      </c>
      <c r="AR38" s="76" t="s">
        <v>1009</v>
      </c>
      <c r="AS38" s="88" t="s">
        <v>1010</v>
      </c>
      <c r="AT38" s="76">
        <v>0</v>
      </c>
      <c r="AU38" s="75">
        <v>3</v>
      </c>
      <c r="AV38" s="99" t="str">
        <f t="shared" si="16"/>
        <v>MapEvil</v>
      </c>
      <c r="AW38" s="99" t="str">
        <f t="shared" si="17"/>
        <v>MapEvil</v>
      </c>
      <c r="AY38" s="54">
        <v>27</v>
      </c>
      <c r="AZ38" s="93">
        <v>6106</v>
      </c>
      <c r="BA38" s="94">
        <v>6005</v>
      </c>
      <c r="BB38" s="54">
        <v>6006</v>
      </c>
    </row>
    <row r="39" s="53" customFormat="1" ht="27" spans="1:57">
      <c r="A39" s="64">
        <v>46</v>
      </c>
      <c r="B39" s="64">
        <v>0</v>
      </c>
      <c r="C39" s="71" t="s">
        <v>1011</v>
      </c>
      <c r="D39" s="91" t="s">
        <v>174</v>
      </c>
      <c r="E39" s="91">
        <f t="shared" si="0"/>
        <v>47</v>
      </c>
      <c r="F39" s="71">
        <f t="shared" si="10"/>
        <v>20</v>
      </c>
      <c r="G39" s="71">
        <f t="shared" si="1"/>
        <v>40</v>
      </c>
      <c r="H39" s="79" t="s">
        <v>1012</v>
      </c>
      <c r="I39" s="79" t="s">
        <v>915</v>
      </c>
      <c r="J39" s="71" t="s">
        <v>926</v>
      </c>
      <c r="K39" s="64">
        <v>10</v>
      </c>
      <c r="L39" s="75" t="s">
        <v>141</v>
      </c>
      <c r="M39" s="75">
        <v>5</v>
      </c>
      <c r="N39" s="75">
        <f t="shared" si="7"/>
        <v>9</v>
      </c>
      <c r="O39" s="75">
        <f t="shared" si="12"/>
        <v>34</v>
      </c>
      <c r="P39" s="75">
        <f t="shared" si="13"/>
        <v>49</v>
      </c>
      <c r="Q39" s="75">
        <v>250</v>
      </c>
      <c r="R39" s="76">
        <f t="shared" si="8"/>
        <v>19</v>
      </c>
      <c r="S39" s="76">
        <f t="shared" si="5"/>
        <v>15000</v>
      </c>
      <c r="T39" s="76">
        <f t="shared" si="6"/>
        <v>28000</v>
      </c>
      <c r="U39" s="76">
        <f>出怪成长!C37</f>
        <v>15</v>
      </c>
      <c r="V39" s="76" t="str">
        <f>出怪成长!D37</f>
        <v>6#30001#1|12#30002#1|15#30001,30004#1</v>
      </c>
      <c r="W39" s="85" t="str">
        <f>出怪数量!Z38</f>
        <v>1:2:1|1:6:1|2:12:1|2:6:1#2:6:1#3:6:1|3:6:1#2:6:1#3:6:1|3:7:1#2:7:1#3:7:1|4:9:1#2:9:1#3:9:1|4:11:1#2:11:1#3:11:1|1:14:1#2:14:1#3:14:1|2:25:1#2:16:1#3:25:1</v>
      </c>
      <c r="X39" s="76" t="s">
        <v>471</v>
      </c>
      <c r="Y39" s="76" t="s">
        <v>472</v>
      </c>
      <c r="Z39" s="85" t="str">
        <f>每波成长!G40</f>
        <v>39#11#8</v>
      </c>
      <c r="AA39" s="75" t="s">
        <v>473</v>
      </c>
      <c r="AB39" s="86">
        <v>0</v>
      </c>
      <c r="AC39" s="75" t="s">
        <v>179</v>
      </c>
      <c r="AD39" s="75">
        <v>2</v>
      </c>
      <c r="AE39" s="70" t="s">
        <v>1013</v>
      </c>
      <c r="AF39" s="75">
        <v>0</v>
      </c>
      <c r="AG39" s="75">
        <v>0</v>
      </c>
      <c r="AH39" s="70" t="s">
        <v>1014</v>
      </c>
      <c r="AI39" s="75" t="s">
        <v>1015</v>
      </c>
      <c r="AJ39" s="86">
        <v>0</v>
      </c>
      <c r="AK39" s="70" t="s">
        <v>149</v>
      </c>
      <c r="AL39" s="75" t="s">
        <v>990</v>
      </c>
      <c r="AM39" s="87" t="s">
        <v>991</v>
      </c>
      <c r="AN39" s="75" t="s">
        <v>1016</v>
      </c>
      <c r="AO39" s="75">
        <v>0</v>
      </c>
      <c r="AP39" s="76">
        <v>20</v>
      </c>
      <c r="AQ39" s="75">
        <v>200</v>
      </c>
      <c r="AR39" s="76">
        <v>0</v>
      </c>
      <c r="AS39" s="88" t="s">
        <v>1017</v>
      </c>
      <c r="AT39" s="76">
        <v>0</v>
      </c>
      <c r="AU39" s="75">
        <v>3</v>
      </c>
      <c r="AV39" s="99" t="str">
        <f t="shared" si="16"/>
        <v>MapEvil</v>
      </c>
      <c r="AW39" s="99" t="str">
        <f t="shared" si="17"/>
        <v>MapEvil</v>
      </c>
      <c r="AY39" s="53">
        <v>28</v>
      </c>
      <c r="AZ39" s="95">
        <v>6107</v>
      </c>
      <c r="BA39" s="90">
        <v>6006</v>
      </c>
      <c r="BB39" s="53">
        <v>0</v>
      </c>
      <c r="BE39" s="53" t="s">
        <v>1018</v>
      </c>
    </row>
    <row r="40" s="53" customFormat="1" ht="27" spans="1:57">
      <c r="A40" s="64">
        <v>47</v>
      </c>
      <c r="B40" s="64">
        <v>0</v>
      </c>
      <c r="C40" s="71" t="s">
        <v>1019</v>
      </c>
      <c r="D40" s="64" t="s">
        <v>130</v>
      </c>
      <c r="E40" s="91">
        <f t="shared" si="0"/>
        <v>48</v>
      </c>
      <c r="F40" s="71">
        <f t="shared" si="10"/>
        <v>21</v>
      </c>
      <c r="G40" s="71">
        <f t="shared" si="1"/>
        <v>41</v>
      </c>
      <c r="H40" s="79" t="s">
        <v>1020</v>
      </c>
      <c r="I40" s="79" t="s">
        <v>915</v>
      </c>
      <c r="J40" s="71" t="s">
        <v>926</v>
      </c>
      <c r="K40" s="64">
        <v>10</v>
      </c>
      <c r="L40" s="75" t="s">
        <v>141</v>
      </c>
      <c r="M40" s="75">
        <v>5</v>
      </c>
      <c r="N40" s="75">
        <f t="shared" si="7"/>
        <v>7</v>
      </c>
      <c r="O40" s="75">
        <f t="shared" si="12"/>
        <v>33</v>
      </c>
      <c r="P40" s="75">
        <f t="shared" si="13"/>
        <v>48</v>
      </c>
      <c r="Q40" s="75">
        <v>250</v>
      </c>
      <c r="R40" s="76">
        <f t="shared" si="8"/>
        <v>19</v>
      </c>
      <c r="S40" s="76">
        <f t="shared" si="5"/>
        <v>15000</v>
      </c>
      <c r="T40" s="76">
        <f t="shared" si="6"/>
        <v>28000</v>
      </c>
      <c r="U40" s="76">
        <f>出怪成长!C38</f>
        <v>15</v>
      </c>
      <c r="V40" s="76" t="str">
        <f>出怪成长!D38</f>
        <v>6#30001#1|12#30002#1|15#30001,30004#1</v>
      </c>
      <c r="W40" s="85" t="str">
        <f>出怪数量!Z39</f>
        <v>1:3:1|1:7:1|2:13:1|2:7:1#2:7:1#3:7:1|3:6:1#2:6:1#3:6:1|3:7:1#2:7:1#3:7:1|4:9:2#2:9:1#3:9:1|4:11:2#2:11:1#3:11:1|1:14:1#2:14:1#3:14:1|2:25:1#2:16:1#3:25:1</v>
      </c>
      <c r="X40" s="76" t="s">
        <v>471</v>
      </c>
      <c r="Y40" s="76" t="s">
        <v>472</v>
      </c>
      <c r="Z40" s="85" t="str">
        <f>每波成长!G41</f>
        <v>40#12#9</v>
      </c>
      <c r="AA40" s="75" t="s">
        <v>473</v>
      </c>
      <c r="AB40" s="86">
        <v>0</v>
      </c>
      <c r="AC40" s="75" t="s">
        <v>179</v>
      </c>
      <c r="AD40" s="75">
        <v>2</v>
      </c>
      <c r="AE40" s="70" t="s">
        <v>1021</v>
      </c>
      <c r="AF40" s="75">
        <v>0</v>
      </c>
      <c r="AG40" s="75">
        <v>0</v>
      </c>
      <c r="AH40" s="70" t="s">
        <v>1022</v>
      </c>
      <c r="AI40" s="75" t="s">
        <v>1023</v>
      </c>
      <c r="AJ40" s="86">
        <v>0</v>
      </c>
      <c r="AK40" s="70" t="s">
        <v>149</v>
      </c>
      <c r="AL40" s="75" t="s">
        <v>990</v>
      </c>
      <c r="AM40" s="87" t="s">
        <v>991</v>
      </c>
      <c r="AN40" s="75" t="s">
        <v>1024</v>
      </c>
      <c r="AO40" s="75">
        <v>0</v>
      </c>
      <c r="AP40" s="85">
        <v>21</v>
      </c>
      <c r="AQ40" s="75">
        <v>210</v>
      </c>
      <c r="AR40" s="76">
        <v>0</v>
      </c>
      <c r="AS40" s="88" t="s">
        <v>1025</v>
      </c>
      <c r="AT40" s="76">
        <v>0</v>
      </c>
      <c r="AU40" s="75">
        <v>3</v>
      </c>
      <c r="AV40" s="99" t="str">
        <f t="shared" si="16"/>
        <v>MapEvil</v>
      </c>
      <c r="AW40" s="99" t="str">
        <f t="shared" si="17"/>
        <v>MapEvil</v>
      </c>
      <c r="AY40" s="53">
        <v>29</v>
      </c>
      <c r="AZ40" s="95">
        <v>6108</v>
      </c>
      <c r="BA40" s="90">
        <v>6006</v>
      </c>
      <c r="BB40" s="53">
        <v>0</v>
      </c>
    </row>
    <row r="41" s="53" customFormat="1" ht="27" spans="1:57">
      <c r="A41" s="64">
        <v>48</v>
      </c>
      <c r="B41" s="64">
        <v>0</v>
      </c>
      <c r="C41" s="71" t="s">
        <v>1026</v>
      </c>
      <c r="D41" s="91" t="s">
        <v>156</v>
      </c>
      <c r="E41" s="91">
        <f t="shared" si="0"/>
        <v>49</v>
      </c>
      <c r="F41" s="71">
        <f t="shared" si="10"/>
        <v>21</v>
      </c>
      <c r="G41" s="71">
        <f t="shared" si="1"/>
        <v>41</v>
      </c>
      <c r="H41" s="79" t="s">
        <v>1027</v>
      </c>
      <c r="I41" s="79" t="s">
        <v>915</v>
      </c>
      <c r="J41" s="71" t="s">
        <v>926</v>
      </c>
      <c r="K41" s="64">
        <v>10</v>
      </c>
      <c r="L41" s="75" t="s">
        <v>141</v>
      </c>
      <c r="M41" s="75">
        <v>5</v>
      </c>
      <c r="N41" s="75">
        <f t="shared" si="7"/>
        <v>8</v>
      </c>
      <c r="O41" s="75">
        <f t="shared" si="12"/>
        <v>34</v>
      </c>
      <c r="P41" s="75">
        <f t="shared" si="13"/>
        <v>49</v>
      </c>
      <c r="Q41" s="75">
        <v>250</v>
      </c>
      <c r="R41" s="76">
        <f t="shared" si="8"/>
        <v>19</v>
      </c>
      <c r="S41" s="76">
        <f t="shared" si="5"/>
        <v>15000</v>
      </c>
      <c r="T41" s="76">
        <f t="shared" si="6"/>
        <v>28000</v>
      </c>
      <c r="U41" s="76">
        <f>出怪成长!C39</f>
        <v>15</v>
      </c>
      <c r="V41" s="76" t="str">
        <f>出怪成长!D39</f>
        <v>6#30001#1|12#30002#1|15#30001,30004#1</v>
      </c>
      <c r="W41" s="85" t="str">
        <f>出怪数量!Z40</f>
        <v>1:3:1|1:7:1|2:13:1|2:7:1#2:7:1#3:7:1|3:6:1#2:6:1#3:6:1|3:7:1#2:7:1#3:7:1|4:9:2#2:9:1#3:9:1|4:11:2#2:11:1#3:11:1|1:14:1#2:14:1#3:14:1|2:25:1#2:16:1#3:25:1</v>
      </c>
      <c r="X41" s="76" t="s">
        <v>471</v>
      </c>
      <c r="Y41" s="76" t="s">
        <v>472</v>
      </c>
      <c r="Z41" s="85" t="str">
        <f>每波成长!G42</f>
        <v>42#12#9</v>
      </c>
      <c r="AA41" s="75" t="s">
        <v>473</v>
      </c>
      <c r="AB41" s="86">
        <v>0</v>
      </c>
      <c r="AC41" s="75" t="s">
        <v>179</v>
      </c>
      <c r="AD41" s="75">
        <v>2</v>
      </c>
      <c r="AE41" s="70" t="s">
        <v>1028</v>
      </c>
      <c r="AF41" s="75">
        <v>0</v>
      </c>
      <c r="AG41" s="75">
        <v>0</v>
      </c>
      <c r="AH41" s="70" t="s">
        <v>1029</v>
      </c>
      <c r="AI41" s="75" t="s">
        <v>1030</v>
      </c>
      <c r="AJ41" s="86">
        <v>0</v>
      </c>
      <c r="AK41" s="70" t="s">
        <v>149</v>
      </c>
      <c r="AL41" s="75" t="s">
        <v>990</v>
      </c>
      <c r="AM41" s="87" t="s">
        <v>991</v>
      </c>
      <c r="AN41" s="75" t="s">
        <v>1031</v>
      </c>
      <c r="AO41" s="75">
        <v>0</v>
      </c>
      <c r="AP41" s="76">
        <v>22</v>
      </c>
      <c r="AQ41" s="75">
        <v>220</v>
      </c>
      <c r="AR41" s="76">
        <v>0</v>
      </c>
      <c r="AS41" s="88" t="s">
        <v>1032</v>
      </c>
      <c r="AT41" s="76">
        <v>0</v>
      </c>
      <c r="AU41" s="75">
        <v>3</v>
      </c>
      <c r="AV41" s="99" t="str">
        <f t="shared" si="16"/>
        <v>MapEvil</v>
      </c>
      <c r="AW41" s="99" t="str">
        <f t="shared" si="17"/>
        <v>MapEvil</v>
      </c>
      <c r="AY41" s="53">
        <v>30</v>
      </c>
      <c r="AZ41" s="95">
        <v>6109</v>
      </c>
      <c r="BA41" s="90">
        <v>6006</v>
      </c>
      <c r="BB41" s="53">
        <v>0</v>
      </c>
      <c r="BE41" s="53" t="s">
        <v>1033</v>
      </c>
    </row>
    <row r="42" s="53" customFormat="1" ht="27" spans="1:57">
      <c r="A42" s="64">
        <v>49</v>
      </c>
      <c r="B42" s="64">
        <v>0</v>
      </c>
      <c r="C42" s="71" t="s">
        <v>1034</v>
      </c>
      <c r="D42" s="91" t="s">
        <v>174</v>
      </c>
      <c r="E42" s="91">
        <f t="shared" si="0"/>
        <v>50</v>
      </c>
      <c r="F42" s="71">
        <f t="shared" si="10"/>
        <v>22</v>
      </c>
      <c r="G42" s="71">
        <f t="shared" si="1"/>
        <v>42</v>
      </c>
      <c r="H42" s="79" t="s">
        <v>1035</v>
      </c>
      <c r="I42" s="79" t="s">
        <v>915</v>
      </c>
      <c r="J42" s="71" t="s">
        <v>926</v>
      </c>
      <c r="K42" s="64">
        <v>10</v>
      </c>
      <c r="L42" s="75" t="s">
        <v>141</v>
      </c>
      <c r="M42" s="75">
        <v>5</v>
      </c>
      <c r="N42" s="75">
        <f t="shared" si="7"/>
        <v>9</v>
      </c>
      <c r="O42" s="75">
        <f t="shared" si="12"/>
        <v>36</v>
      </c>
      <c r="P42" s="75">
        <f t="shared" si="13"/>
        <v>51</v>
      </c>
      <c r="Q42" s="75">
        <v>250</v>
      </c>
      <c r="R42" s="76">
        <f t="shared" si="8"/>
        <v>19</v>
      </c>
      <c r="S42" s="76">
        <f t="shared" si="5"/>
        <v>15000</v>
      </c>
      <c r="T42" s="76">
        <f t="shared" si="6"/>
        <v>28000</v>
      </c>
      <c r="U42" s="76">
        <f>出怪成长!C40</f>
        <v>15</v>
      </c>
      <c r="V42" s="76" t="str">
        <f>出怪成长!D40</f>
        <v>6#30001#1|12#30002#1|15#30001,30004#1</v>
      </c>
      <c r="W42" s="85" t="str">
        <f>出怪数量!Z41</f>
        <v>1:3:1|1:7:1|2:13:1|2:7:1#2:7:1#3:7:1|3:6:1#2:6:1#3:6:1|3:7:1#2:7:1#3:7:1|4:9:2#2:9:1#3:9:1|4:11:2#2:11:1#3:11:1|1:14:1#2:14:1#3:14:1|2:25:1#2:16:1#3:25:1</v>
      </c>
      <c r="X42" s="76" t="s">
        <v>471</v>
      </c>
      <c r="Y42" s="76" t="s">
        <v>472</v>
      </c>
      <c r="Z42" s="85" t="str">
        <f>每波成长!G43</f>
        <v>43#13#10</v>
      </c>
      <c r="AA42" s="75" t="s">
        <v>473</v>
      </c>
      <c r="AB42" s="86">
        <v>0</v>
      </c>
      <c r="AC42" s="75" t="s">
        <v>179</v>
      </c>
      <c r="AD42" s="75">
        <v>2</v>
      </c>
      <c r="AE42" s="70" t="s">
        <v>1036</v>
      </c>
      <c r="AF42" s="75">
        <v>0</v>
      </c>
      <c r="AG42" s="75">
        <v>0</v>
      </c>
      <c r="AH42" s="70" t="s">
        <v>1037</v>
      </c>
      <c r="AI42" s="75" t="s">
        <v>1023</v>
      </c>
      <c r="AJ42" s="86">
        <v>0</v>
      </c>
      <c r="AK42" s="70" t="s">
        <v>149</v>
      </c>
      <c r="AL42" s="75" t="s">
        <v>990</v>
      </c>
      <c r="AM42" s="87" t="s">
        <v>991</v>
      </c>
      <c r="AN42" s="75" t="s">
        <v>1024</v>
      </c>
      <c r="AO42" s="75">
        <v>0</v>
      </c>
      <c r="AP42" s="85">
        <v>21</v>
      </c>
      <c r="AQ42" s="75">
        <v>210</v>
      </c>
      <c r="AR42" s="76">
        <v>0</v>
      </c>
      <c r="AS42" s="88" t="s">
        <v>1025</v>
      </c>
      <c r="AT42" s="76">
        <v>0</v>
      </c>
      <c r="AU42" s="75">
        <v>3</v>
      </c>
      <c r="AV42" s="99" t="str">
        <f t="shared" si="16"/>
        <v>MapEvil</v>
      </c>
      <c r="AW42" s="99" t="str">
        <f t="shared" si="17"/>
        <v>MapEvil</v>
      </c>
      <c r="AY42" s="53">
        <v>29</v>
      </c>
      <c r="AZ42" s="95">
        <v>6108</v>
      </c>
      <c r="BA42" s="90">
        <v>6006</v>
      </c>
      <c r="BB42" s="53">
        <v>0</v>
      </c>
    </row>
    <row r="43" s="56" customFormat="1" ht="40.5" spans="1:57">
      <c r="A43" s="64">
        <v>50</v>
      </c>
      <c r="B43" s="64">
        <v>0</v>
      </c>
      <c r="C43" s="71" t="s">
        <v>1038</v>
      </c>
      <c r="D43" s="64" t="s">
        <v>130</v>
      </c>
      <c r="E43" s="91">
        <f t="shared" si="0"/>
        <v>51</v>
      </c>
      <c r="F43" s="71">
        <f t="shared" si="10"/>
        <v>22</v>
      </c>
      <c r="G43" s="71">
        <f t="shared" si="1"/>
        <v>42</v>
      </c>
      <c r="H43" s="100" t="s">
        <v>1039</v>
      </c>
      <c r="I43" s="100" t="s">
        <v>915</v>
      </c>
      <c r="J43" s="71" t="s">
        <v>926</v>
      </c>
      <c r="K43" s="64">
        <v>10</v>
      </c>
      <c r="L43" s="101" t="s">
        <v>141</v>
      </c>
      <c r="M43" s="101">
        <v>5</v>
      </c>
      <c r="N43" s="75">
        <f t="shared" si="7"/>
        <v>10</v>
      </c>
      <c r="O43" s="75">
        <f t="shared" si="12"/>
        <v>37</v>
      </c>
      <c r="P43" s="75">
        <f t="shared" si="13"/>
        <v>52</v>
      </c>
      <c r="Q43" s="75">
        <v>250</v>
      </c>
      <c r="R43" s="76">
        <f t="shared" si="8"/>
        <v>19</v>
      </c>
      <c r="S43" s="76">
        <f t="shared" si="5"/>
        <v>15000</v>
      </c>
      <c r="T43" s="76">
        <f t="shared" si="6"/>
        <v>28000</v>
      </c>
      <c r="U43" s="76">
        <f>出怪成长!C41</f>
        <v>15</v>
      </c>
      <c r="V43" s="76" t="str">
        <f>出怪成长!D41</f>
        <v>6#30001#1|12#30002#1|15#30001,30004#1</v>
      </c>
      <c r="W43" s="85" t="str">
        <f>出怪数量!Z42</f>
        <v>1:3:1|1:7:1|2:13:1|2:7:1#2:7:1#3:7:1|3:6:1#2:6:1#3:6:1|3:7:1#2:7:1#3:7:1|4:9:2#2:9:1#3:9:1|4:11:2#2:11:1#3:11:1|1:14:1#2:14:1#3:14:1|2:25:1#2:16:1#3:25:1</v>
      </c>
      <c r="X43" s="76" t="s">
        <v>471</v>
      </c>
      <c r="Y43" s="76" t="s">
        <v>472</v>
      </c>
      <c r="Z43" s="85" t="str">
        <f>每波成长!G44</f>
        <v>45#13#10</v>
      </c>
      <c r="AA43" s="101" t="s">
        <v>473</v>
      </c>
      <c r="AB43" s="102">
        <v>0</v>
      </c>
      <c r="AC43" s="75" t="s">
        <v>179</v>
      </c>
      <c r="AD43" s="75">
        <v>2</v>
      </c>
      <c r="AE43" s="70" t="s">
        <v>1040</v>
      </c>
      <c r="AF43" s="75">
        <v>0</v>
      </c>
      <c r="AG43" s="75">
        <v>0</v>
      </c>
      <c r="AH43" s="70" t="s">
        <v>1041</v>
      </c>
      <c r="AI43" s="101" t="s">
        <v>1030</v>
      </c>
      <c r="AJ43" s="102">
        <v>0</v>
      </c>
      <c r="AK43" s="103" t="s">
        <v>149</v>
      </c>
      <c r="AL43" s="101" t="s">
        <v>990</v>
      </c>
      <c r="AM43" s="104" t="s">
        <v>991</v>
      </c>
      <c r="AN43" s="101" t="s">
        <v>1031</v>
      </c>
      <c r="AO43" s="75">
        <v>0</v>
      </c>
      <c r="AP43" s="101">
        <v>22</v>
      </c>
      <c r="AQ43" s="101">
        <v>220</v>
      </c>
      <c r="AR43" s="101">
        <v>0</v>
      </c>
      <c r="AS43" s="105" t="s">
        <v>1032</v>
      </c>
      <c r="AT43" s="76">
        <v>0</v>
      </c>
      <c r="AU43" s="101">
        <v>3</v>
      </c>
      <c r="AV43" s="99" t="str">
        <f t="shared" si="16"/>
        <v>MapEvil</v>
      </c>
      <c r="AW43" s="99" t="str">
        <f t="shared" si="17"/>
        <v>MapEvil</v>
      </c>
      <c r="AY43" s="56">
        <v>30</v>
      </c>
      <c r="AZ43" s="106">
        <v>6109</v>
      </c>
      <c r="BA43" s="107">
        <v>6006</v>
      </c>
      <c r="BB43" s="56">
        <v>0</v>
      </c>
      <c r="BE43" s="56" t="s">
        <v>1033</v>
      </c>
    </row>
    <row r="44" s="53" customFormat="1" ht="27" spans="1:57">
      <c r="A44" s="64">
        <v>51</v>
      </c>
      <c r="B44" s="64">
        <v>0</v>
      </c>
      <c r="C44" s="71" t="s">
        <v>1042</v>
      </c>
      <c r="D44" s="64" t="s">
        <v>1043</v>
      </c>
      <c r="E44" s="91">
        <f t="shared" si="0"/>
        <v>52</v>
      </c>
      <c r="F44" s="71">
        <f t="shared" si="10"/>
        <v>23</v>
      </c>
      <c r="G44" s="71">
        <f t="shared" si="1"/>
        <v>43</v>
      </c>
      <c r="H44" s="79" t="s">
        <v>1044</v>
      </c>
      <c r="I44" s="79" t="s">
        <v>915</v>
      </c>
      <c r="J44" s="71" t="s">
        <v>926</v>
      </c>
      <c r="K44" s="64">
        <v>10</v>
      </c>
      <c r="L44" s="75" t="s">
        <v>141</v>
      </c>
      <c r="M44" s="75">
        <v>6</v>
      </c>
      <c r="N44" s="75">
        <f t="shared" si="7"/>
        <v>10</v>
      </c>
      <c r="O44" s="75">
        <f t="shared" si="12"/>
        <v>39</v>
      </c>
      <c r="P44" s="75">
        <f t="shared" si="13"/>
        <v>54</v>
      </c>
      <c r="Q44" s="75">
        <v>250</v>
      </c>
      <c r="R44" s="76">
        <f t="shared" si="8"/>
        <v>20</v>
      </c>
      <c r="S44" s="76">
        <f t="shared" si="5"/>
        <v>15000</v>
      </c>
      <c r="T44" s="76">
        <f t="shared" si="6"/>
        <v>28000</v>
      </c>
      <c r="U44" s="76">
        <v>10</v>
      </c>
      <c r="V44" s="76" t="str">
        <f>出怪成长!D42</f>
        <v>6#30001#1|12#30002#1|15#30001,30004#1</v>
      </c>
      <c r="W44" s="85" t="str">
        <f>出怪数量!Z43</f>
        <v>1:2:1|1:6:1|2:12:1|2:7:1#2:7:1#3:7:1|3:6:1#2:6:1#3:6:1|3:8:1#2:8:1#3:8:1|4:10:2#2:10:1#3:10:1|4:12:2#2:12:1#3:12:1|1:16:1#2:16:1#3:16:1|2:28:1#2:19:1#3:28:1</v>
      </c>
      <c r="X44" s="76" t="s">
        <v>1045</v>
      </c>
      <c r="Y44" s="76" t="s">
        <v>472</v>
      </c>
      <c r="Z44" s="85" t="str">
        <f>每波成长!G45</f>
        <v>46#14#11</v>
      </c>
      <c r="AA44" s="75" t="s">
        <v>473</v>
      </c>
      <c r="AB44" s="86">
        <v>0</v>
      </c>
      <c r="AC44" s="75" t="s">
        <v>179</v>
      </c>
      <c r="AD44" s="75">
        <v>2</v>
      </c>
      <c r="AE44" s="70" t="s">
        <v>1046</v>
      </c>
      <c r="AF44" s="75">
        <v>0</v>
      </c>
      <c r="AG44" s="75">
        <v>0</v>
      </c>
      <c r="AH44" s="70" t="s">
        <v>1047</v>
      </c>
      <c r="AI44" s="75" t="s">
        <v>476</v>
      </c>
      <c r="AJ44" s="86">
        <v>0</v>
      </c>
      <c r="AK44" s="70" t="s">
        <v>149</v>
      </c>
      <c r="AL44" s="75" t="s">
        <v>1048</v>
      </c>
      <c r="AM44" s="87" t="s">
        <v>1049</v>
      </c>
      <c r="AN44" s="75" t="s">
        <v>1050</v>
      </c>
      <c r="AO44" s="75">
        <v>0</v>
      </c>
      <c r="AP44" s="85">
        <v>23</v>
      </c>
      <c r="AQ44" s="75">
        <v>230</v>
      </c>
      <c r="AR44" s="76">
        <v>0</v>
      </c>
      <c r="AS44" s="88" t="s">
        <v>1051</v>
      </c>
      <c r="AT44" s="76">
        <v>0</v>
      </c>
      <c r="AU44" s="75">
        <v>3</v>
      </c>
      <c r="AV44" s="70" t="s">
        <v>141</v>
      </c>
      <c r="AW44" s="75" t="s">
        <v>677</v>
      </c>
      <c r="AY44" s="53">
        <v>31</v>
      </c>
      <c r="AZ44" s="95">
        <v>5201</v>
      </c>
      <c r="BA44" s="90">
        <v>5006</v>
      </c>
      <c r="BB44" s="53">
        <v>0</v>
      </c>
    </row>
    <row r="45" s="53" customFormat="1" ht="27" spans="1:57">
      <c r="A45" s="64">
        <v>52</v>
      </c>
      <c r="B45" s="64">
        <v>0</v>
      </c>
      <c r="C45" s="71" t="s">
        <v>1052</v>
      </c>
      <c r="D45" s="64" t="s">
        <v>1043</v>
      </c>
      <c r="E45" s="91">
        <f t="shared" si="0"/>
        <v>53</v>
      </c>
      <c r="F45" s="71">
        <f t="shared" si="10"/>
        <v>23</v>
      </c>
      <c r="G45" s="71">
        <f t="shared" si="1"/>
        <v>43</v>
      </c>
      <c r="H45" s="79" t="s">
        <v>1044</v>
      </c>
      <c r="I45" s="79" t="s">
        <v>915</v>
      </c>
      <c r="J45" s="71" t="s">
        <v>926</v>
      </c>
      <c r="K45" s="64">
        <v>10</v>
      </c>
      <c r="L45" s="75" t="s">
        <v>141</v>
      </c>
      <c r="M45" s="75">
        <v>6</v>
      </c>
      <c r="N45" s="75">
        <f t="shared" si="7"/>
        <v>9</v>
      </c>
      <c r="O45" s="75">
        <f t="shared" si="12"/>
        <v>38</v>
      </c>
      <c r="P45" s="75">
        <f t="shared" si="13"/>
        <v>53</v>
      </c>
      <c r="Q45" s="75">
        <v>250</v>
      </c>
      <c r="R45" s="76">
        <f t="shared" si="8"/>
        <v>20</v>
      </c>
      <c r="S45" s="76">
        <f t="shared" si="5"/>
        <v>15000</v>
      </c>
      <c r="T45" s="76">
        <f t="shared" si="6"/>
        <v>28000</v>
      </c>
      <c r="U45" s="76">
        <v>10</v>
      </c>
      <c r="V45" s="76" t="str">
        <f>出怪成长!D43</f>
        <v>6#30001#1|12#30002#1|15#30001,30004#1</v>
      </c>
      <c r="W45" s="85" t="str">
        <f>出怪数量!Z44</f>
        <v>1:2:1|1:6:1|2:12:1|2:7:1#2:7:1#3:7:1|3:6:1#2:6:1#3:6:1|3:8:1#2:8:1#3:8:1|4:10:2#2:10:1#3:10:1|4:12:2#2:12:1#3:12:1|1:16:1#2:16:1#3:16:1|2:28:1#2:19:1#3:28:1</v>
      </c>
      <c r="X45" s="76" t="s">
        <v>1053</v>
      </c>
      <c r="Y45" s="76" t="s">
        <v>472</v>
      </c>
      <c r="Z45" s="85" t="str">
        <f>每波成长!G46</f>
        <v>48#15#12</v>
      </c>
      <c r="AA45" s="75" t="s">
        <v>473</v>
      </c>
      <c r="AB45" s="86">
        <v>0</v>
      </c>
      <c r="AC45" s="75" t="s">
        <v>179</v>
      </c>
      <c r="AD45" s="75">
        <v>2</v>
      </c>
      <c r="AE45" s="70" t="s">
        <v>1054</v>
      </c>
      <c r="AF45" s="75">
        <v>0</v>
      </c>
      <c r="AG45" s="75">
        <v>0</v>
      </c>
      <c r="AH45" s="70" t="s">
        <v>1055</v>
      </c>
      <c r="AI45" s="75" t="s">
        <v>999</v>
      </c>
      <c r="AJ45" s="86">
        <v>0</v>
      </c>
      <c r="AK45" s="70" t="s">
        <v>149</v>
      </c>
      <c r="AL45" s="75" t="s">
        <v>1048</v>
      </c>
      <c r="AM45" s="87" t="s">
        <v>1049</v>
      </c>
      <c r="AN45" s="75" t="s">
        <v>1056</v>
      </c>
      <c r="AO45" s="75">
        <v>0</v>
      </c>
      <c r="AP45" s="76">
        <v>24</v>
      </c>
      <c r="AQ45" s="75">
        <v>240</v>
      </c>
      <c r="AR45" s="76">
        <v>0</v>
      </c>
      <c r="AS45" s="88" t="s">
        <v>1057</v>
      </c>
      <c r="AT45" s="76">
        <v>0</v>
      </c>
      <c r="AU45" s="75">
        <v>3</v>
      </c>
      <c r="AV45" s="70" t="s">
        <v>141</v>
      </c>
      <c r="AW45" s="75" t="s">
        <v>677</v>
      </c>
      <c r="AY45" s="53">
        <v>32</v>
      </c>
      <c r="AZ45" s="95">
        <v>5202</v>
      </c>
      <c r="BA45" s="90">
        <v>5006</v>
      </c>
      <c r="BB45" s="53">
        <v>0</v>
      </c>
      <c r="BE45" s="53" t="s">
        <v>1058</v>
      </c>
    </row>
    <row r="46" s="53" customFormat="1" ht="27" spans="1:57">
      <c r="A46" s="64">
        <v>53</v>
      </c>
      <c r="B46" s="64">
        <v>0</v>
      </c>
      <c r="C46" s="71" t="s">
        <v>1059</v>
      </c>
      <c r="D46" s="64" t="s">
        <v>1043</v>
      </c>
      <c r="E46" s="91">
        <f t="shared" si="0"/>
        <v>54</v>
      </c>
      <c r="F46" s="71">
        <f t="shared" si="10"/>
        <v>24</v>
      </c>
      <c r="G46" s="71">
        <f t="shared" si="1"/>
        <v>44</v>
      </c>
      <c r="H46" s="79" t="s">
        <v>1044</v>
      </c>
      <c r="I46" s="79" t="s">
        <v>915</v>
      </c>
      <c r="J46" s="71" t="s">
        <v>926</v>
      </c>
      <c r="K46" s="64">
        <v>10</v>
      </c>
      <c r="L46" s="75" t="s">
        <v>141</v>
      </c>
      <c r="M46" s="75">
        <v>6</v>
      </c>
      <c r="N46" s="75">
        <f t="shared" si="7"/>
        <v>10</v>
      </c>
      <c r="O46" s="75">
        <f t="shared" si="12"/>
        <v>40</v>
      </c>
      <c r="P46" s="75">
        <f t="shared" si="13"/>
        <v>55</v>
      </c>
      <c r="Q46" s="75">
        <v>250</v>
      </c>
      <c r="R46" s="76">
        <f t="shared" si="8"/>
        <v>20</v>
      </c>
      <c r="S46" s="76">
        <f t="shared" si="5"/>
        <v>15000</v>
      </c>
      <c r="T46" s="76">
        <f t="shared" si="6"/>
        <v>28000</v>
      </c>
      <c r="U46" s="76">
        <v>10</v>
      </c>
      <c r="V46" s="76" t="str">
        <f>出怪成长!D44</f>
        <v>6#30001#1|12#30002#1|15#30001,30004#1</v>
      </c>
      <c r="W46" s="85" t="str">
        <f>出怪数量!Z45</f>
        <v>1:2:1|1:6:1|2:12:1|2:7:1#2:7:1#3:7:1|3:6:1#2:6:1#3:6:1|3:8:1#2:8:1#3:8:1|4:10:2#2:10:1#3:10:1|4:12:2#2:12:1#3:12:1|1:16:1#2:16:1#3:16:1|2:28:1#2:19:1#3:28:1</v>
      </c>
      <c r="X46" s="76" t="s">
        <v>1060</v>
      </c>
      <c r="Y46" s="76" t="s">
        <v>472</v>
      </c>
      <c r="Z46" s="85" t="str">
        <f>每波成长!G47</f>
        <v>49#15#12</v>
      </c>
      <c r="AA46" s="75" t="s">
        <v>473</v>
      </c>
      <c r="AB46" s="86">
        <v>0</v>
      </c>
      <c r="AC46" s="75" t="s">
        <v>179</v>
      </c>
      <c r="AD46" s="75">
        <v>2</v>
      </c>
      <c r="AE46" s="70" t="s">
        <v>1061</v>
      </c>
      <c r="AF46" s="75">
        <v>0</v>
      </c>
      <c r="AG46" s="75">
        <v>0</v>
      </c>
      <c r="AH46" s="70" t="s">
        <v>1062</v>
      </c>
      <c r="AI46" s="75" t="s">
        <v>1063</v>
      </c>
      <c r="AJ46" s="86">
        <v>0</v>
      </c>
      <c r="AK46" s="70" t="s">
        <v>149</v>
      </c>
      <c r="AL46" s="75" t="s">
        <v>1048</v>
      </c>
      <c r="AM46" s="87" t="s">
        <v>1049</v>
      </c>
      <c r="AN46" s="75" t="s">
        <v>1064</v>
      </c>
      <c r="AO46" s="75">
        <v>0</v>
      </c>
      <c r="AP46" s="85">
        <v>25</v>
      </c>
      <c r="AQ46" s="75">
        <v>250</v>
      </c>
      <c r="AR46" s="76">
        <v>0</v>
      </c>
      <c r="AS46" s="88" t="s">
        <v>1065</v>
      </c>
      <c r="AT46" s="76">
        <v>0</v>
      </c>
      <c r="AU46" s="75">
        <v>3</v>
      </c>
      <c r="AV46" s="70" t="s">
        <v>141</v>
      </c>
      <c r="AW46" s="75" t="s">
        <v>677</v>
      </c>
      <c r="AY46" s="53">
        <v>33</v>
      </c>
      <c r="AZ46" s="95">
        <v>5203</v>
      </c>
      <c r="BA46" s="90">
        <v>5006</v>
      </c>
      <c r="BB46" s="53">
        <v>0</v>
      </c>
    </row>
    <row r="47" s="53" customFormat="1" ht="27" spans="1:57">
      <c r="A47" s="64">
        <v>54</v>
      </c>
      <c r="B47" s="64">
        <v>0</v>
      </c>
      <c r="C47" s="71" t="s">
        <v>1066</v>
      </c>
      <c r="D47" s="64" t="s">
        <v>1043</v>
      </c>
      <c r="E47" s="91">
        <f t="shared" si="0"/>
        <v>55</v>
      </c>
      <c r="F47" s="71">
        <f t="shared" si="10"/>
        <v>24</v>
      </c>
      <c r="G47" s="71">
        <f t="shared" si="1"/>
        <v>44</v>
      </c>
      <c r="H47" s="79" t="s">
        <v>1044</v>
      </c>
      <c r="I47" s="79" t="s">
        <v>915</v>
      </c>
      <c r="J47" s="71" t="s">
        <v>926</v>
      </c>
      <c r="K47" s="64">
        <v>10</v>
      </c>
      <c r="L47" s="75" t="s">
        <v>141</v>
      </c>
      <c r="M47" s="75">
        <v>6</v>
      </c>
      <c r="N47" s="75">
        <f t="shared" si="7"/>
        <v>11</v>
      </c>
      <c r="O47" s="75">
        <f t="shared" si="12"/>
        <v>41</v>
      </c>
      <c r="P47" s="75">
        <f t="shared" si="13"/>
        <v>56</v>
      </c>
      <c r="Q47" s="75">
        <v>250</v>
      </c>
      <c r="R47" s="76">
        <f t="shared" si="8"/>
        <v>20</v>
      </c>
      <c r="S47" s="76">
        <f t="shared" si="5"/>
        <v>15000</v>
      </c>
      <c r="T47" s="76">
        <f t="shared" si="6"/>
        <v>28000</v>
      </c>
      <c r="U47" s="76">
        <v>10</v>
      </c>
      <c r="V47" s="76" t="str">
        <f>出怪成长!D45</f>
        <v>6#30001#1|12#30002#1|15#30001,30004#1</v>
      </c>
      <c r="W47" s="85" t="str">
        <f>出怪数量!Z46</f>
        <v>1:2:1|1:6:1|2:12:1|2:7:1#2:7:1#3:7:1|3:6:1#2:6:1#3:6:1|3:8:1#2:8:1#3:8:1|4:10:2#2:10:1#3:10:1|4:12:2#2:12:1#3:12:1|1:16:1#2:16:1#3:16:1|2:28:1#2:19:1#3:28:1</v>
      </c>
      <c r="X47" s="76" t="s">
        <v>1067</v>
      </c>
      <c r="Y47" s="76" t="s">
        <v>472</v>
      </c>
      <c r="Z47" s="85" t="str">
        <f>每波成长!G48</f>
        <v>31#8#5</v>
      </c>
      <c r="AA47" s="75" t="s">
        <v>473</v>
      </c>
      <c r="AB47" s="86">
        <v>0</v>
      </c>
      <c r="AC47" s="75" t="s">
        <v>179</v>
      </c>
      <c r="AD47" s="75">
        <v>2</v>
      </c>
      <c r="AE47" s="70" t="s">
        <v>1068</v>
      </c>
      <c r="AF47" s="75">
        <v>0</v>
      </c>
      <c r="AG47" s="75">
        <v>0</v>
      </c>
      <c r="AH47" s="70" t="s">
        <v>1069</v>
      </c>
      <c r="AI47" s="75" t="s">
        <v>1070</v>
      </c>
      <c r="AJ47" s="86">
        <v>0</v>
      </c>
      <c r="AK47" s="70" t="s">
        <v>149</v>
      </c>
      <c r="AL47" s="75" t="s">
        <v>1048</v>
      </c>
      <c r="AM47" s="87" t="s">
        <v>1049</v>
      </c>
      <c r="AN47" s="75" t="s">
        <v>1071</v>
      </c>
      <c r="AO47" s="75">
        <v>0</v>
      </c>
      <c r="AP47" s="76">
        <v>26</v>
      </c>
      <c r="AQ47" s="75">
        <v>260</v>
      </c>
      <c r="AR47" s="76" t="s">
        <v>1072</v>
      </c>
      <c r="AS47" s="88" t="s">
        <v>1073</v>
      </c>
      <c r="AT47" s="76">
        <v>0</v>
      </c>
      <c r="AU47" s="75">
        <v>3</v>
      </c>
      <c r="AV47" s="70" t="s">
        <v>141</v>
      </c>
      <c r="AW47" s="75" t="s">
        <v>677</v>
      </c>
      <c r="AY47" s="53">
        <v>34</v>
      </c>
      <c r="AZ47" s="95">
        <v>5204</v>
      </c>
      <c r="BA47" s="90">
        <v>5006</v>
      </c>
      <c r="BB47" s="53">
        <v>0</v>
      </c>
      <c r="BE47" s="53" t="s">
        <v>1074</v>
      </c>
    </row>
    <row r="48" s="54" customFormat="1" ht="27" spans="1:57">
      <c r="A48" s="64">
        <v>55</v>
      </c>
      <c r="B48" s="64">
        <v>0</v>
      </c>
      <c r="C48" s="71" t="s">
        <v>1075</v>
      </c>
      <c r="D48" s="64" t="s">
        <v>1043</v>
      </c>
      <c r="E48" s="91">
        <f t="shared" si="0"/>
        <v>56</v>
      </c>
      <c r="F48" s="71">
        <f t="shared" si="10"/>
        <v>25</v>
      </c>
      <c r="G48" s="71">
        <f t="shared" si="1"/>
        <v>45</v>
      </c>
      <c r="H48" s="79" t="s">
        <v>1044</v>
      </c>
      <c r="I48" s="79" t="s">
        <v>915</v>
      </c>
      <c r="J48" s="71" t="s">
        <v>926</v>
      </c>
      <c r="K48" s="64">
        <v>10</v>
      </c>
      <c r="L48" s="75" t="s">
        <v>141</v>
      </c>
      <c r="M48" s="75">
        <v>6</v>
      </c>
      <c r="N48" s="75">
        <f t="shared" si="7"/>
        <v>9</v>
      </c>
      <c r="O48" s="75">
        <f t="shared" si="12"/>
        <v>40</v>
      </c>
      <c r="P48" s="75">
        <f t="shared" si="13"/>
        <v>55</v>
      </c>
      <c r="Q48" s="75">
        <v>250</v>
      </c>
      <c r="R48" s="76">
        <f t="shared" si="8"/>
        <v>20</v>
      </c>
      <c r="S48" s="76">
        <f t="shared" si="5"/>
        <v>15000</v>
      </c>
      <c r="T48" s="76">
        <f t="shared" si="6"/>
        <v>28000</v>
      </c>
      <c r="U48" s="76">
        <v>10</v>
      </c>
      <c r="V48" s="76" t="str">
        <f>出怪成长!D46</f>
        <v>6#30001#1|12#30002#1|15#30001,30004#1</v>
      </c>
      <c r="W48" s="85" t="str">
        <f>出怪数量!Z47</f>
        <v>1:3:1|1:7:1|2:13:1|2:7:1#2:7:1#3:7:1|3:6:1#2:6:1#3:6:1|3:8:1#2:8:1#3:8:1|4:10:1#2:10:1#3:10:1|4:12:1#2:12:1#3:12:1|1:16:1#2:16:1#3:16:1|2:28:1#2:19:1#3:28:1</v>
      </c>
      <c r="X48" s="76" t="s">
        <v>1076</v>
      </c>
      <c r="Y48" s="76" t="s">
        <v>472</v>
      </c>
      <c r="Z48" s="85" t="str">
        <f>每波成长!G49</f>
        <v>33#9#6</v>
      </c>
      <c r="AA48" s="75" t="s">
        <v>473</v>
      </c>
      <c r="AB48" s="86">
        <v>0</v>
      </c>
      <c r="AC48" s="75" t="s">
        <v>179</v>
      </c>
      <c r="AD48" s="75">
        <v>2</v>
      </c>
      <c r="AE48" s="70" t="s">
        <v>1077</v>
      </c>
      <c r="AF48" s="75">
        <v>0</v>
      </c>
      <c r="AG48" s="75">
        <v>0</v>
      </c>
      <c r="AH48" s="70" t="s">
        <v>1078</v>
      </c>
      <c r="AI48" s="75" t="s">
        <v>1079</v>
      </c>
      <c r="AJ48" s="86">
        <v>0</v>
      </c>
      <c r="AK48" s="70" t="s">
        <v>149</v>
      </c>
      <c r="AL48" s="75" t="s">
        <v>1048</v>
      </c>
      <c r="AM48" s="87" t="s">
        <v>1049</v>
      </c>
      <c r="AN48" s="75" t="s">
        <v>1080</v>
      </c>
      <c r="AO48" s="75">
        <v>0</v>
      </c>
      <c r="AP48" s="85">
        <v>27</v>
      </c>
      <c r="AQ48" s="75">
        <v>270</v>
      </c>
      <c r="AR48" s="76" t="s">
        <v>1081</v>
      </c>
      <c r="AS48" s="88" t="s">
        <v>1082</v>
      </c>
      <c r="AT48" s="76">
        <v>0</v>
      </c>
      <c r="AU48" s="75">
        <v>3</v>
      </c>
      <c r="AV48" s="70" t="s">
        <v>141</v>
      </c>
      <c r="AW48" s="75" t="s">
        <v>677</v>
      </c>
      <c r="AY48" s="54">
        <v>35</v>
      </c>
      <c r="AZ48" s="93">
        <v>5205</v>
      </c>
      <c r="BA48" s="94">
        <v>5007</v>
      </c>
      <c r="BB48" s="54">
        <v>5008</v>
      </c>
    </row>
    <row r="49" s="53" customFormat="1" ht="27" spans="1:57">
      <c r="A49" s="64">
        <v>56</v>
      </c>
      <c r="B49" s="64">
        <v>0</v>
      </c>
      <c r="C49" s="71" t="s">
        <v>1083</v>
      </c>
      <c r="D49" s="64" t="s">
        <v>1043</v>
      </c>
      <c r="E49" s="91">
        <f t="shared" si="0"/>
        <v>57</v>
      </c>
      <c r="F49" s="71">
        <f t="shared" si="10"/>
        <v>25</v>
      </c>
      <c r="G49" s="71">
        <f t="shared" si="1"/>
        <v>45</v>
      </c>
      <c r="H49" s="79" t="s">
        <v>1044</v>
      </c>
      <c r="I49" s="79" t="s">
        <v>915</v>
      </c>
      <c r="J49" s="71" t="s">
        <v>926</v>
      </c>
      <c r="K49" s="64">
        <v>10</v>
      </c>
      <c r="L49" s="75" t="s">
        <v>141</v>
      </c>
      <c r="M49" s="75">
        <v>6</v>
      </c>
      <c r="N49" s="75">
        <f t="shared" si="7"/>
        <v>10</v>
      </c>
      <c r="O49" s="75">
        <f t="shared" si="12"/>
        <v>41</v>
      </c>
      <c r="P49" s="75">
        <f t="shared" si="13"/>
        <v>56</v>
      </c>
      <c r="Q49" s="75">
        <v>250</v>
      </c>
      <c r="R49" s="76">
        <f t="shared" si="8"/>
        <v>20</v>
      </c>
      <c r="S49" s="76">
        <f t="shared" si="5"/>
        <v>15000</v>
      </c>
      <c r="T49" s="76">
        <f t="shared" si="6"/>
        <v>28000</v>
      </c>
      <c r="U49" s="76">
        <v>10</v>
      </c>
      <c r="V49" s="76" t="str">
        <f>出怪成长!D47</f>
        <v>6#30001#1|12#30002#1|15#30001,30004#1</v>
      </c>
      <c r="W49" s="85" t="str">
        <f>出怪数量!Z48</f>
        <v>1:3:1|1:7:1|2:13:1|2:7:1#2:7:1#3:7:2|3:6:2#2:6:1#3:6:2|3:8:2#2:8:1#3:8:2|4:10:2#2:10:1#3:10:2|4:12:2#2:12:1#3:12:2|1:16:1#2:16:1#3:16:2|2:28:1#2:19:1#3:28:2</v>
      </c>
      <c r="X49" s="76" t="s">
        <v>1084</v>
      </c>
      <c r="Y49" s="76" t="s">
        <v>472</v>
      </c>
      <c r="Z49" s="85" t="str">
        <f>每波成长!G50</f>
        <v>34#9#6</v>
      </c>
      <c r="AA49" s="75" t="s">
        <v>473</v>
      </c>
      <c r="AB49" s="86">
        <v>0</v>
      </c>
      <c r="AC49" s="75" t="s">
        <v>179</v>
      </c>
      <c r="AD49" s="75">
        <v>2</v>
      </c>
      <c r="AE49" s="70" t="s">
        <v>1085</v>
      </c>
      <c r="AF49" s="75">
        <v>0</v>
      </c>
      <c r="AG49" s="75">
        <v>0</v>
      </c>
      <c r="AH49" s="70" t="s">
        <v>1086</v>
      </c>
      <c r="AI49" s="75" t="s">
        <v>1030</v>
      </c>
      <c r="AJ49" s="86">
        <v>0</v>
      </c>
      <c r="AK49" s="70" t="s">
        <v>149</v>
      </c>
      <c r="AL49" s="75" t="s">
        <v>1048</v>
      </c>
      <c r="AM49" s="87" t="s">
        <v>1049</v>
      </c>
      <c r="AN49" s="75" t="s">
        <v>1087</v>
      </c>
      <c r="AO49" s="75">
        <v>0</v>
      </c>
      <c r="AP49" s="76">
        <v>28</v>
      </c>
      <c r="AQ49" s="75">
        <v>280</v>
      </c>
      <c r="AR49" s="76">
        <v>0</v>
      </c>
      <c r="AS49" s="88" t="s">
        <v>1088</v>
      </c>
      <c r="AT49" s="76">
        <v>0</v>
      </c>
      <c r="AU49" s="75">
        <v>3</v>
      </c>
      <c r="AV49" s="70" t="s">
        <v>141</v>
      </c>
      <c r="AW49" s="75" t="s">
        <v>677</v>
      </c>
      <c r="AY49" s="53">
        <v>36</v>
      </c>
      <c r="AZ49" s="95">
        <v>5206</v>
      </c>
      <c r="BA49" s="90">
        <v>5007</v>
      </c>
      <c r="BB49" s="53">
        <v>0</v>
      </c>
      <c r="BE49" s="53" t="s">
        <v>1089</v>
      </c>
    </row>
    <row r="50" s="54" customFormat="1" ht="27" spans="1:57">
      <c r="A50" s="64">
        <v>57</v>
      </c>
      <c r="B50" s="64">
        <v>0</v>
      </c>
      <c r="C50" s="71" t="s">
        <v>1090</v>
      </c>
      <c r="D50" s="64" t="s">
        <v>1043</v>
      </c>
      <c r="E50" s="91">
        <f t="shared" si="0"/>
        <v>58</v>
      </c>
      <c r="F50" s="71">
        <f t="shared" si="10"/>
        <v>26</v>
      </c>
      <c r="G50" s="71">
        <f t="shared" si="1"/>
        <v>46</v>
      </c>
      <c r="H50" s="79" t="s">
        <v>1044</v>
      </c>
      <c r="I50" s="79" t="s">
        <v>915</v>
      </c>
      <c r="J50" s="71" t="s">
        <v>926</v>
      </c>
      <c r="K50" s="64">
        <v>10</v>
      </c>
      <c r="L50" s="75" t="s">
        <v>141</v>
      </c>
      <c r="M50" s="75">
        <v>6</v>
      </c>
      <c r="N50" s="75">
        <f t="shared" si="7"/>
        <v>11</v>
      </c>
      <c r="O50" s="75">
        <f t="shared" si="12"/>
        <v>43</v>
      </c>
      <c r="P50" s="75">
        <f t="shared" si="13"/>
        <v>58</v>
      </c>
      <c r="Q50" s="75">
        <v>250</v>
      </c>
      <c r="R50" s="76">
        <f t="shared" si="8"/>
        <v>20</v>
      </c>
      <c r="S50" s="76">
        <f t="shared" si="5"/>
        <v>15000</v>
      </c>
      <c r="T50" s="76">
        <f t="shared" si="6"/>
        <v>28000</v>
      </c>
      <c r="U50" s="76">
        <v>10</v>
      </c>
      <c r="V50" s="76" t="str">
        <f>出怪成长!D48</f>
        <v>6#30001#1|12#30002#1|15#30001,30004#1</v>
      </c>
      <c r="W50" s="85" t="str">
        <f>出怪数量!Z49</f>
        <v>1:3:1|1:7:1|2:13:1|2:7:1#2:7:1#3:7:1|3:6:1#2:6:1#3:6:1|3:8:1#2:8:1#3:8:1|4:10:2#2:10:1#3:10:1|4:12:2#2:12:1#3:12:1|1:16:1#2:16:1#3:16:1|2:28:1#2:19:1#3:28:1</v>
      </c>
      <c r="X50" s="76" t="s">
        <v>1076</v>
      </c>
      <c r="Y50" s="76" t="s">
        <v>472</v>
      </c>
      <c r="Z50" s="85" t="str">
        <f>每波成长!G51</f>
        <v>36#10#7</v>
      </c>
      <c r="AA50" s="75" t="s">
        <v>473</v>
      </c>
      <c r="AB50" s="86">
        <v>0</v>
      </c>
      <c r="AC50" s="75" t="s">
        <v>179</v>
      </c>
      <c r="AD50" s="75">
        <v>2</v>
      </c>
      <c r="AE50" s="70" t="s">
        <v>1091</v>
      </c>
      <c r="AF50" s="75">
        <v>0</v>
      </c>
      <c r="AG50" s="75">
        <v>0</v>
      </c>
      <c r="AH50" s="70" t="s">
        <v>1092</v>
      </c>
      <c r="AI50" s="75" t="s">
        <v>1079</v>
      </c>
      <c r="AJ50" s="86">
        <v>0</v>
      </c>
      <c r="AK50" s="70" t="s">
        <v>149</v>
      </c>
      <c r="AL50" s="75" t="s">
        <v>1048</v>
      </c>
      <c r="AM50" s="87" t="s">
        <v>1049</v>
      </c>
      <c r="AN50" s="75" t="s">
        <v>1080</v>
      </c>
      <c r="AO50" s="75">
        <v>0</v>
      </c>
      <c r="AP50" s="85">
        <v>27</v>
      </c>
      <c r="AQ50" s="75">
        <v>290</v>
      </c>
      <c r="AR50" s="76" t="s">
        <v>1081</v>
      </c>
      <c r="AS50" s="88" t="s">
        <v>1082</v>
      </c>
      <c r="AT50" s="76">
        <v>0</v>
      </c>
      <c r="AU50" s="75">
        <v>3</v>
      </c>
      <c r="AV50" s="70" t="s">
        <v>141</v>
      </c>
      <c r="AW50" s="75" t="s">
        <v>677</v>
      </c>
      <c r="AY50" s="54">
        <v>35</v>
      </c>
      <c r="AZ50" s="93">
        <v>5205</v>
      </c>
      <c r="BA50" s="94">
        <v>5007</v>
      </c>
      <c r="BB50" s="54">
        <v>5008</v>
      </c>
    </row>
    <row r="51" s="53" customFormat="1" ht="27" spans="1:57">
      <c r="A51" s="64">
        <v>58</v>
      </c>
      <c r="B51" s="64">
        <v>0</v>
      </c>
      <c r="C51" s="71" t="s">
        <v>1093</v>
      </c>
      <c r="D51" s="64" t="s">
        <v>1043</v>
      </c>
      <c r="E51" s="91">
        <f t="shared" si="0"/>
        <v>59</v>
      </c>
      <c r="F51" s="71">
        <f t="shared" si="10"/>
        <v>26</v>
      </c>
      <c r="G51" s="71">
        <f t="shared" si="1"/>
        <v>46</v>
      </c>
      <c r="H51" s="79" t="s">
        <v>1044</v>
      </c>
      <c r="I51" s="79" t="s">
        <v>915</v>
      </c>
      <c r="J51" s="71" t="s">
        <v>926</v>
      </c>
      <c r="K51" s="64">
        <v>10</v>
      </c>
      <c r="L51" s="75" t="s">
        <v>141</v>
      </c>
      <c r="M51" s="75">
        <v>6</v>
      </c>
      <c r="N51" s="75">
        <f t="shared" si="7"/>
        <v>12</v>
      </c>
      <c r="O51" s="75">
        <f t="shared" si="12"/>
        <v>44</v>
      </c>
      <c r="P51" s="75">
        <f t="shared" si="13"/>
        <v>59</v>
      </c>
      <c r="Q51" s="75">
        <v>250</v>
      </c>
      <c r="R51" s="76">
        <f t="shared" si="8"/>
        <v>20</v>
      </c>
      <c r="S51" s="76">
        <f t="shared" si="5"/>
        <v>15000</v>
      </c>
      <c r="T51" s="76">
        <f t="shared" si="6"/>
        <v>28000</v>
      </c>
      <c r="U51" s="76">
        <v>10</v>
      </c>
      <c r="V51" s="76" t="str">
        <f>出怪成长!D49</f>
        <v>6#30001#1|12#30002#1|15#30001,30004#1</v>
      </c>
      <c r="W51" s="85" t="str">
        <f>出怪数量!Z50</f>
        <v>1:3:1|1:7:1|2:13:1|2:7:1#2:7:1#3:7:1|3:6:1#2:6:1#3:6:1|3:8:1#2:8:1#3:8:1|4:10:1#2:10:1#3:10:1|4:12:1#2:12:1#3:12:1|1:16:1#2:16:1#3:16:1|2:28:1#2:19:1#3:28:1</v>
      </c>
      <c r="X51" s="76" t="s">
        <v>1084</v>
      </c>
      <c r="Y51" s="76" t="s">
        <v>472</v>
      </c>
      <c r="Z51" s="85" t="str">
        <f>每波成长!G52</f>
        <v>37#10#7</v>
      </c>
      <c r="AA51" s="75" t="s">
        <v>473</v>
      </c>
      <c r="AB51" s="86">
        <v>0</v>
      </c>
      <c r="AC51" s="75" t="s">
        <v>179</v>
      </c>
      <c r="AD51" s="75">
        <v>2</v>
      </c>
      <c r="AE51" s="70" t="s">
        <v>1094</v>
      </c>
      <c r="AF51" s="75">
        <v>0</v>
      </c>
      <c r="AG51" s="75">
        <v>0</v>
      </c>
      <c r="AH51" s="70" t="s">
        <v>1095</v>
      </c>
      <c r="AI51" s="75" t="s">
        <v>1030</v>
      </c>
      <c r="AJ51" s="86">
        <v>0</v>
      </c>
      <c r="AK51" s="70" t="s">
        <v>149</v>
      </c>
      <c r="AL51" s="75" t="s">
        <v>1048</v>
      </c>
      <c r="AM51" s="87" t="s">
        <v>1049</v>
      </c>
      <c r="AN51" s="75" t="s">
        <v>1087</v>
      </c>
      <c r="AO51" s="75">
        <v>0</v>
      </c>
      <c r="AP51" s="76">
        <v>28</v>
      </c>
      <c r="AQ51" s="75">
        <v>300</v>
      </c>
      <c r="AR51" s="76">
        <v>0</v>
      </c>
      <c r="AS51" s="88" t="s">
        <v>1088</v>
      </c>
      <c r="AT51" s="76">
        <v>0</v>
      </c>
      <c r="AU51" s="75">
        <v>3</v>
      </c>
      <c r="AV51" s="70" t="s">
        <v>141</v>
      </c>
      <c r="AW51" s="75" t="s">
        <v>677</v>
      </c>
      <c r="AY51" s="53">
        <v>36</v>
      </c>
      <c r="AZ51" s="95">
        <v>5206</v>
      </c>
      <c r="BA51" s="90">
        <v>5007</v>
      </c>
      <c r="BB51" s="53">
        <v>0</v>
      </c>
      <c r="BE51" s="53" t="s">
        <v>1089</v>
      </c>
    </row>
    <row r="52" s="53" customFormat="1" ht="27" spans="1:57">
      <c r="A52" s="64">
        <v>59</v>
      </c>
      <c r="B52" s="64">
        <v>0</v>
      </c>
      <c r="C52" s="71" t="s">
        <v>1096</v>
      </c>
      <c r="D52" s="64" t="s">
        <v>1097</v>
      </c>
      <c r="E52" s="91">
        <f t="shared" si="0"/>
        <v>60</v>
      </c>
      <c r="F52" s="71">
        <f t="shared" si="10"/>
        <v>27</v>
      </c>
      <c r="G52" s="71">
        <f t="shared" si="1"/>
        <v>47</v>
      </c>
      <c r="H52" s="79" t="s">
        <v>1044</v>
      </c>
      <c r="I52" s="79" t="s">
        <v>915</v>
      </c>
      <c r="J52" s="71" t="s">
        <v>926</v>
      </c>
      <c r="K52" s="64">
        <v>10</v>
      </c>
      <c r="L52" s="75" t="s">
        <v>141</v>
      </c>
      <c r="M52" s="75">
        <v>7</v>
      </c>
      <c r="N52" s="75">
        <f t="shared" si="7"/>
        <v>12</v>
      </c>
      <c r="O52" s="75">
        <f t="shared" si="12"/>
        <v>46</v>
      </c>
      <c r="P52" s="75">
        <f t="shared" si="13"/>
        <v>61</v>
      </c>
      <c r="Q52" s="75">
        <v>250</v>
      </c>
      <c r="R52" s="76">
        <f t="shared" si="8"/>
        <v>21</v>
      </c>
      <c r="S52" s="76">
        <f t="shared" si="5"/>
        <v>15000</v>
      </c>
      <c r="T52" s="76">
        <f t="shared" si="6"/>
        <v>28000</v>
      </c>
      <c r="U52" s="76">
        <v>10</v>
      </c>
      <c r="V52" s="76" t="str">
        <f>出怪成长!D50</f>
        <v>6#30001#1|12#30002#1|15#30001,30004#1</v>
      </c>
      <c r="W52" s="85" t="str">
        <f>出怪数量!Z51</f>
        <v>1:2:1|1:3:1|2:10:1|2:6:1#2:6:1#3:6:1|3:6:1#2:6:1#3:6:1|3:9:1#2:9:1#3:9:1|4:11:1#2:11:1#3:11:1|4:13:1#2:13:1#3:13:1|1:18:1#2:18:1#3:18:1|2:32:1#2:21:1#3:32:1</v>
      </c>
      <c r="X52" s="76" t="s">
        <v>1098</v>
      </c>
      <c r="Y52" s="76" t="s">
        <v>472</v>
      </c>
      <c r="Z52" s="85" t="str">
        <f>每波成长!G53</f>
        <v>39#11#8</v>
      </c>
      <c r="AA52" s="75" t="s">
        <v>473</v>
      </c>
      <c r="AB52" s="86">
        <v>0</v>
      </c>
      <c r="AC52" s="75" t="s">
        <v>179</v>
      </c>
      <c r="AD52" s="75">
        <v>2</v>
      </c>
      <c r="AE52" s="70" t="s">
        <v>1099</v>
      </c>
      <c r="AF52" s="75">
        <v>0</v>
      </c>
      <c r="AG52" s="75">
        <v>0</v>
      </c>
      <c r="AH52" s="70" t="s">
        <v>1100</v>
      </c>
      <c r="AI52" s="75" t="s">
        <v>1101</v>
      </c>
      <c r="AJ52" s="86">
        <v>0</v>
      </c>
      <c r="AK52" s="70" t="s">
        <v>149</v>
      </c>
      <c r="AL52" s="75" t="s">
        <v>1102</v>
      </c>
      <c r="AM52" s="87" t="s">
        <v>1103</v>
      </c>
      <c r="AN52" s="75" t="s">
        <v>1104</v>
      </c>
      <c r="AO52" s="75">
        <v>0</v>
      </c>
      <c r="AP52" s="85">
        <v>29</v>
      </c>
      <c r="AQ52" s="75">
        <v>290</v>
      </c>
      <c r="AR52" s="76">
        <v>0</v>
      </c>
      <c r="AS52" s="88" t="s">
        <v>1105</v>
      </c>
      <c r="AT52" s="76">
        <v>0</v>
      </c>
      <c r="AU52" s="75">
        <v>3</v>
      </c>
      <c r="AV52" s="70" t="s">
        <v>141</v>
      </c>
      <c r="AW52" s="75" t="s">
        <v>666</v>
      </c>
      <c r="AY52" s="53">
        <v>37</v>
      </c>
      <c r="AZ52" s="95">
        <v>1107</v>
      </c>
      <c r="BA52" s="90">
        <v>1007</v>
      </c>
      <c r="BB52" s="53">
        <v>0</v>
      </c>
    </row>
    <row r="53" s="53" customFormat="1" ht="27" spans="1:57">
      <c r="A53" s="64">
        <v>60</v>
      </c>
      <c r="B53" s="64">
        <v>0</v>
      </c>
      <c r="C53" s="71" t="s">
        <v>1106</v>
      </c>
      <c r="D53" s="64" t="s">
        <v>1097</v>
      </c>
      <c r="E53" s="91" t="s">
        <v>1107</v>
      </c>
      <c r="F53" s="71">
        <f t="shared" si="10"/>
        <v>27</v>
      </c>
      <c r="G53" s="71">
        <f t="shared" si="1"/>
        <v>47</v>
      </c>
      <c r="H53" s="79" t="s">
        <v>1044</v>
      </c>
      <c r="I53" s="79" t="s">
        <v>915</v>
      </c>
      <c r="J53" s="71" t="s">
        <v>926</v>
      </c>
      <c r="K53" s="64">
        <v>10</v>
      </c>
      <c r="L53" s="75" t="s">
        <v>141</v>
      </c>
      <c r="M53" s="75">
        <v>7</v>
      </c>
      <c r="N53" s="75">
        <f t="shared" si="7"/>
        <v>11</v>
      </c>
      <c r="O53" s="75">
        <f t="shared" si="12"/>
        <v>45</v>
      </c>
      <c r="P53" s="75">
        <f t="shared" si="13"/>
        <v>60</v>
      </c>
      <c r="Q53" s="75">
        <v>250</v>
      </c>
      <c r="R53" s="76">
        <f t="shared" si="8"/>
        <v>21</v>
      </c>
      <c r="S53" s="76">
        <f t="shared" si="5"/>
        <v>15000</v>
      </c>
      <c r="T53" s="76">
        <f t="shared" si="6"/>
        <v>28000</v>
      </c>
      <c r="U53" s="76">
        <v>10</v>
      </c>
      <c r="V53" s="76" t="str">
        <f>出怪成长!D51</f>
        <v>6#30001#1|12#30002#1|15#30001,30004#1</v>
      </c>
      <c r="W53" s="85" t="str">
        <f>出怪数量!Z52</f>
        <v>1:2:1|1:3:1|2:10:1|2:6:1#2:6:1#3:6:1|3:6:1#2:6:1#3:6:1|3:9:1#2:9:1#3:9:1|4:11:1#2:11:1#3:11:1|4:13:1#2:13:1#3:13:1|1:18:1#2:18:1#3:18:1|2:32:1#2:21:1#3:32:1</v>
      </c>
      <c r="X53" s="76" t="s">
        <v>1108</v>
      </c>
      <c r="Y53" s="76" t="s">
        <v>472</v>
      </c>
      <c r="Z53" s="85" t="str">
        <f>每波成长!G54</f>
        <v>40#12#9</v>
      </c>
      <c r="AA53" s="75" t="s">
        <v>473</v>
      </c>
      <c r="AB53" s="86">
        <v>0</v>
      </c>
      <c r="AC53" s="75" t="s">
        <v>179</v>
      </c>
      <c r="AD53" s="75">
        <v>2</v>
      </c>
      <c r="AE53" s="70" t="s">
        <v>1109</v>
      </c>
      <c r="AF53" s="75">
        <v>0</v>
      </c>
      <c r="AG53" s="75">
        <v>0</v>
      </c>
      <c r="AH53" s="70" t="s">
        <v>1110</v>
      </c>
      <c r="AI53" s="75" t="s">
        <v>1111</v>
      </c>
      <c r="AJ53" s="86">
        <v>0</v>
      </c>
      <c r="AK53" s="70" t="s">
        <v>149</v>
      </c>
      <c r="AL53" s="75" t="s">
        <v>1102</v>
      </c>
      <c r="AM53" s="87" t="s">
        <v>1103</v>
      </c>
      <c r="AN53" s="75" t="s">
        <v>1112</v>
      </c>
      <c r="AO53" s="75">
        <v>0</v>
      </c>
      <c r="AP53" s="76">
        <v>30</v>
      </c>
      <c r="AQ53" s="75">
        <v>300</v>
      </c>
      <c r="AR53" s="76">
        <v>0</v>
      </c>
      <c r="AS53" s="88" t="s">
        <v>1113</v>
      </c>
      <c r="AT53" s="76">
        <v>0</v>
      </c>
      <c r="AU53" s="75">
        <v>3</v>
      </c>
      <c r="AV53" s="70" t="s">
        <v>141</v>
      </c>
      <c r="AW53" s="75" t="s">
        <v>666</v>
      </c>
      <c r="AY53" s="53">
        <v>38</v>
      </c>
      <c r="AZ53" s="95">
        <v>2107</v>
      </c>
      <c r="BA53" s="90">
        <v>2007</v>
      </c>
      <c r="BB53" s="53">
        <v>0</v>
      </c>
      <c r="BE53" s="53" t="s">
        <v>1114</v>
      </c>
    </row>
    <row r="54" s="57" customFormat="1" spans="1:57">
      <c r="A54" s="108">
        <v>401</v>
      </c>
      <c r="B54" s="108">
        <v>3</v>
      </c>
      <c r="C54" s="109" t="s">
        <v>633</v>
      </c>
      <c r="D54" s="108" t="s">
        <v>634</v>
      </c>
      <c r="E54" s="108">
        <v>402</v>
      </c>
      <c r="F54" s="108">
        <v>10</v>
      </c>
      <c r="G54" s="71">
        <f t="shared" si="1"/>
        <v>30</v>
      </c>
      <c r="H54" s="110" t="s">
        <v>1115</v>
      </c>
      <c r="I54" s="110"/>
      <c r="J54" s="109">
        <v>0</v>
      </c>
      <c r="K54" s="64">
        <v>10</v>
      </c>
      <c r="L54" s="111" t="s">
        <v>141</v>
      </c>
      <c r="M54" s="111">
        <v>0</v>
      </c>
      <c r="N54" s="111">
        <v>1</v>
      </c>
      <c r="O54" s="75">
        <f t="shared" si="12"/>
        <v>11</v>
      </c>
      <c r="P54" s="75">
        <f t="shared" si="13"/>
        <v>26</v>
      </c>
      <c r="Q54" s="75">
        <v>250</v>
      </c>
      <c r="R54" s="111">
        <v>3</v>
      </c>
      <c r="S54" s="112">
        <v>15000</v>
      </c>
      <c r="T54" s="112">
        <v>20000</v>
      </c>
      <c r="U54" s="112">
        <v>10</v>
      </c>
      <c r="V54" s="76">
        <f>出怪成长!D98</f>
        <v>0</v>
      </c>
      <c r="W54" s="113" t="s">
        <v>636</v>
      </c>
      <c r="X54" s="111" t="s">
        <v>637</v>
      </c>
      <c r="Y54" s="114" t="s">
        <v>638</v>
      </c>
      <c r="Z54" s="113" t="s">
        <v>639</v>
      </c>
      <c r="AA54" s="111">
        <v>0</v>
      </c>
      <c r="AB54" s="115">
        <v>0</v>
      </c>
      <c r="AC54" s="116">
        <v>0</v>
      </c>
      <c r="AD54" s="111">
        <v>0</v>
      </c>
      <c r="AE54" s="111" t="str">
        <f t="shared" ref="AE54:AE107" si="18">"Lv"&amp;N54&amp;""</f>
        <v>Lv1</v>
      </c>
      <c r="AF54" s="75">
        <v>0</v>
      </c>
      <c r="AG54" s="75">
        <v>0</v>
      </c>
      <c r="AH54" s="70" t="s">
        <v>640</v>
      </c>
      <c r="AI54" s="108">
        <v>0</v>
      </c>
      <c r="AJ54" s="117">
        <v>0</v>
      </c>
      <c r="AK54" s="108">
        <v>0</v>
      </c>
      <c r="AL54" s="108" t="s">
        <v>641</v>
      </c>
      <c r="AM54" s="108" t="s">
        <v>642</v>
      </c>
      <c r="AN54" s="108" t="s">
        <v>643</v>
      </c>
      <c r="AO54" s="75">
        <v>0</v>
      </c>
      <c r="AP54" s="108">
        <v>1</v>
      </c>
      <c r="AQ54" s="108">
        <v>10</v>
      </c>
      <c r="AR54" s="108" t="s">
        <v>644</v>
      </c>
      <c r="AS54" s="118" t="s">
        <v>645</v>
      </c>
      <c r="AT54" s="76">
        <v>0</v>
      </c>
      <c r="AU54" s="108">
        <v>0</v>
      </c>
      <c r="AV54" s="70" t="s">
        <v>141</v>
      </c>
      <c r="AW54" s="111" t="s">
        <v>141</v>
      </c>
      <c r="AX54" s="57">
        <v>1</v>
      </c>
      <c r="AZ54" s="119">
        <f t="shared" ref="AZ54:AZ64" si="19">AX54*1000+INT(MIN(9,(N54+1)/1.5))+INT((N54-1)/6)*100</f>
        <v>1001</v>
      </c>
      <c r="BA54" s="57">
        <f t="shared" ref="BA54:BA64" si="20">AZ54</f>
        <v>1001</v>
      </c>
      <c r="BB54" s="119"/>
    </row>
    <row r="55" s="58" customFormat="1" spans="1:57">
      <c r="A55" s="120">
        <v>402</v>
      </c>
      <c r="B55" s="120">
        <v>3</v>
      </c>
      <c r="C55" s="121" t="s">
        <v>633</v>
      </c>
      <c r="D55" s="120" t="s">
        <v>634</v>
      </c>
      <c r="E55" s="120">
        <v>403</v>
      </c>
      <c r="F55" s="120">
        <v>15</v>
      </c>
      <c r="G55" s="71">
        <f t="shared" si="1"/>
        <v>35</v>
      </c>
      <c r="H55" s="122" t="s">
        <v>646</v>
      </c>
      <c r="I55" s="122"/>
      <c r="J55" s="121">
        <v>0</v>
      </c>
      <c r="K55" s="64">
        <v>10</v>
      </c>
      <c r="L55" s="123" t="s">
        <v>141</v>
      </c>
      <c r="M55" s="123">
        <v>0</v>
      </c>
      <c r="N55" s="123">
        <v>2</v>
      </c>
      <c r="O55" s="75">
        <f t="shared" si="12"/>
        <v>17</v>
      </c>
      <c r="P55" s="75">
        <f t="shared" si="13"/>
        <v>32</v>
      </c>
      <c r="Q55" s="75">
        <v>250</v>
      </c>
      <c r="R55" s="123">
        <v>3</v>
      </c>
      <c r="S55" s="124">
        <v>15000</v>
      </c>
      <c r="T55" s="124">
        <v>20000</v>
      </c>
      <c r="U55" s="124">
        <v>10</v>
      </c>
      <c r="V55" s="76">
        <f>出怪成长!D99</f>
        <v>0</v>
      </c>
      <c r="W55" s="125" t="s">
        <v>636</v>
      </c>
      <c r="X55" s="123" t="s">
        <v>637</v>
      </c>
      <c r="Y55" s="126" t="s">
        <v>638</v>
      </c>
      <c r="Z55" s="125" t="s">
        <v>647</v>
      </c>
      <c r="AA55" s="123">
        <v>0</v>
      </c>
      <c r="AB55" s="116">
        <v>0</v>
      </c>
      <c r="AC55" s="116">
        <v>0</v>
      </c>
      <c r="AD55" s="123">
        <v>0</v>
      </c>
      <c r="AE55" s="123" t="str">
        <f t="shared" si="18"/>
        <v>Lv2</v>
      </c>
      <c r="AF55" s="75">
        <v>0</v>
      </c>
      <c r="AG55" s="75">
        <v>0</v>
      </c>
      <c r="AH55" s="70" t="s">
        <v>648</v>
      </c>
      <c r="AI55" s="120">
        <v>0</v>
      </c>
      <c r="AJ55" s="127">
        <v>0</v>
      </c>
      <c r="AK55" s="120">
        <v>0</v>
      </c>
      <c r="AL55" s="120" t="s">
        <v>641</v>
      </c>
      <c r="AM55" s="120" t="s">
        <v>642</v>
      </c>
      <c r="AN55" s="120" t="s">
        <v>643</v>
      </c>
      <c r="AO55" s="75">
        <v>0</v>
      </c>
      <c r="AP55" s="120">
        <v>2.5</v>
      </c>
      <c r="AQ55" s="120">
        <v>25</v>
      </c>
      <c r="AR55" s="120" t="s">
        <v>649</v>
      </c>
      <c r="AS55" s="128" t="s">
        <v>650</v>
      </c>
      <c r="AT55" s="76">
        <v>0</v>
      </c>
      <c r="AU55" s="120">
        <v>0</v>
      </c>
      <c r="AV55" s="70" t="s">
        <v>141</v>
      </c>
      <c r="AW55" s="123" t="s">
        <v>651</v>
      </c>
      <c r="AX55" s="58">
        <v>3</v>
      </c>
      <c r="AZ55" s="129">
        <f t="shared" si="19"/>
        <v>3002</v>
      </c>
      <c r="BA55" s="58">
        <f t="shared" si="20"/>
        <v>3002</v>
      </c>
      <c r="BB55" s="129"/>
    </row>
    <row r="56" s="58" customFormat="1" spans="1:57">
      <c r="A56" s="120">
        <v>403</v>
      </c>
      <c r="B56" s="120">
        <v>3</v>
      </c>
      <c r="C56" s="121" t="s">
        <v>633</v>
      </c>
      <c r="D56" s="120" t="s">
        <v>634</v>
      </c>
      <c r="E56" s="120">
        <v>404</v>
      </c>
      <c r="F56" s="120">
        <v>20</v>
      </c>
      <c r="G56" s="71">
        <f t="shared" si="1"/>
        <v>40</v>
      </c>
      <c r="H56" s="122" t="s">
        <v>652</v>
      </c>
      <c r="I56" s="122"/>
      <c r="J56" s="121">
        <v>0</v>
      </c>
      <c r="K56" s="64">
        <v>10</v>
      </c>
      <c r="L56" s="123" t="s">
        <v>141</v>
      </c>
      <c r="M56" s="123">
        <v>0</v>
      </c>
      <c r="N56" s="123">
        <v>3</v>
      </c>
      <c r="O56" s="75">
        <f t="shared" si="12"/>
        <v>23</v>
      </c>
      <c r="P56" s="75">
        <f t="shared" si="13"/>
        <v>38</v>
      </c>
      <c r="Q56" s="75">
        <v>250</v>
      </c>
      <c r="R56" s="123">
        <v>4</v>
      </c>
      <c r="S56" s="124">
        <v>15000</v>
      </c>
      <c r="T56" s="124">
        <v>20000</v>
      </c>
      <c r="U56" s="124">
        <v>10</v>
      </c>
      <c r="V56" s="76">
        <f>出怪成长!D100</f>
        <v>0</v>
      </c>
      <c r="W56" s="125" t="s">
        <v>636</v>
      </c>
      <c r="X56" s="123" t="s">
        <v>637</v>
      </c>
      <c r="Y56" s="126" t="s">
        <v>638</v>
      </c>
      <c r="Z56" s="125" t="s">
        <v>653</v>
      </c>
      <c r="AA56" s="123">
        <v>0</v>
      </c>
      <c r="AB56" s="116">
        <v>0</v>
      </c>
      <c r="AC56" s="116">
        <v>0</v>
      </c>
      <c r="AD56" s="123">
        <v>0</v>
      </c>
      <c r="AE56" s="123" t="str">
        <f t="shared" si="18"/>
        <v>Lv3</v>
      </c>
      <c r="AF56" s="75">
        <v>0</v>
      </c>
      <c r="AG56" s="75">
        <v>0</v>
      </c>
      <c r="AH56" s="70" t="s">
        <v>654</v>
      </c>
      <c r="AI56" s="120">
        <v>0</v>
      </c>
      <c r="AJ56" s="127">
        <v>0</v>
      </c>
      <c r="AK56" s="120">
        <v>0</v>
      </c>
      <c r="AL56" s="120" t="s">
        <v>641</v>
      </c>
      <c r="AM56" s="120" t="s">
        <v>642</v>
      </c>
      <c r="AN56" s="120" t="s">
        <v>643</v>
      </c>
      <c r="AO56" s="75">
        <v>0</v>
      </c>
      <c r="AP56" s="120">
        <v>8</v>
      </c>
      <c r="AQ56" s="120">
        <v>80</v>
      </c>
      <c r="AR56" s="120" t="s">
        <v>411</v>
      </c>
      <c r="AS56" s="128" t="s">
        <v>655</v>
      </c>
      <c r="AT56" s="76">
        <v>0</v>
      </c>
      <c r="AU56" s="120">
        <v>0</v>
      </c>
      <c r="AV56" s="70" t="s">
        <v>141</v>
      </c>
      <c r="AW56" s="123" t="s">
        <v>374</v>
      </c>
      <c r="AX56" s="58">
        <v>2</v>
      </c>
      <c r="AZ56" s="129">
        <f t="shared" si="19"/>
        <v>2002</v>
      </c>
      <c r="BA56" s="58">
        <f t="shared" si="20"/>
        <v>2002</v>
      </c>
      <c r="BB56" s="129"/>
    </row>
    <row r="57" s="58" customFormat="1" spans="1:57">
      <c r="A57" s="120">
        <v>404</v>
      </c>
      <c r="B57" s="120">
        <v>3</v>
      </c>
      <c r="C57" s="121" t="s">
        <v>633</v>
      </c>
      <c r="D57" s="120" t="s">
        <v>634</v>
      </c>
      <c r="E57" s="120">
        <v>405</v>
      </c>
      <c r="F57" s="120">
        <v>25</v>
      </c>
      <c r="G57" s="71">
        <f t="shared" si="1"/>
        <v>45</v>
      </c>
      <c r="H57" s="122" t="s">
        <v>656</v>
      </c>
      <c r="I57" s="122"/>
      <c r="J57" s="121">
        <v>0</v>
      </c>
      <c r="K57" s="64">
        <v>10</v>
      </c>
      <c r="L57" s="123" t="s">
        <v>141</v>
      </c>
      <c r="M57" s="123">
        <v>0</v>
      </c>
      <c r="N57" s="123">
        <v>4</v>
      </c>
      <c r="O57" s="75">
        <f t="shared" si="12"/>
        <v>29</v>
      </c>
      <c r="P57" s="75">
        <f t="shared" si="13"/>
        <v>44</v>
      </c>
      <c r="Q57" s="75">
        <v>250</v>
      </c>
      <c r="R57" s="123">
        <v>4</v>
      </c>
      <c r="S57" s="124">
        <v>15000</v>
      </c>
      <c r="T57" s="124">
        <v>20000</v>
      </c>
      <c r="U57" s="124">
        <v>10</v>
      </c>
      <c r="V57" s="76">
        <f>出怪成长!D101</f>
        <v>0</v>
      </c>
      <c r="W57" s="125" t="s">
        <v>636</v>
      </c>
      <c r="X57" s="123" t="s">
        <v>637</v>
      </c>
      <c r="Y57" s="126" t="s">
        <v>638</v>
      </c>
      <c r="Z57" s="125" t="s">
        <v>657</v>
      </c>
      <c r="AA57" s="123">
        <v>0</v>
      </c>
      <c r="AB57" s="116">
        <v>0</v>
      </c>
      <c r="AC57" s="116">
        <v>0</v>
      </c>
      <c r="AD57" s="123">
        <v>0</v>
      </c>
      <c r="AE57" s="123" t="str">
        <f t="shared" si="18"/>
        <v>Lv4</v>
      </c>
      <c r="AF57" s="75">
        <v>0</v>
      </c>
      <c r="AG57" s="75">
        <v>0</v>
      </c>
      <c r="AH57" s="70" t="s">
        <v>658</v>
      </c>
      <c r="AI57" s="120">
        <v>0</v>
      </c>
      <c r="AJ57" s="127">
        <v>0</v>
      </c>
      <c r="AK57" s="120">
        <v>0</v>
      </c>
      <c r="AL57" s="120" t="s">
        <v>641</v>
      </c>
      <c r="AM57" s="120" t="s">
        <v>642</v>
      </c>
      <c r="AN57" s="120" t="s">
        <v>643</v>
      </c>
      <c r="AO57" s="75">
        <v>0</v>
      </c>
      <c r="AP57" s="120">
        <v>14</v>
      </c>
      <c r="AQ57" s="120">
        <v>140</v>
      </c>
      <c r="AR57" s="120" t="s">
        <v>512</v>
      </c>
      <c r="AS57" s="128" t="s">
        <v>659</v>
      </c>
      <c r="AT57" s="76">
        <v>0</v>
      </c>
      <c r="AU57" s="120">
        <v>0</v>
      </c>
      <c r="AV57" s="70" t="s">
        <v>141</v>
      </c>
      <c r="AW57" s="123" t="s">
        <v>660</v>
      </c>
      <c r="AX57" s="58">
        <v>2</v>
      </c>
      <c r="AZ57" s="129">
        <f t="shared" si="19"/>
        <v>2003</v>
      </c>
      <c r="BA57" s="58">
        <f t="shared" si="20"/>
        <v>2003</v>
      </c>
      <c r="BB57" s="129"/>
    </row>
    <row r="58" s="58" customFormat="1" spans="1:57">
      <c r="A58" s="120">
        <v>405</v>
      </c>
      <c r="B58" s="120">
        <v>3</v>
      </c>
      <c r="C58" s="121" t="s">
        <v>633</v>
      </c>
      <c r="D58" s="120" t="s">
        <v>634</v>
      </c>
      <c r="E58" s="120">
        <v>406</v>
      </c>
      <c r="F58" s="120">
        <v>30</v>
      </c>
      <c r="G58" s="71">
        <f t="shared" si="1"/>
        <v>50</v>
      </c>
      <c r="H58" s="122" t="s">
        <v>661</v>
      </c>
      <c r="I58" s="122"/>
      <c r="J58" s="121">
        <v>0</v>
      </c>
      <c r="K58" s="64">
        <v>10</v>
      </c>
      <c r="L58" s="123" t="s">
        <v>141</v>
      </c>
      <c r="M58" s="123">
        <v>0</v>
      </c>
      <c r="N58" s="123">
        <v>5</v>
      </c>
      <c r="O58" s="75">
        <f t="shared" si="12"/>
        <v>35</v>
      </c>
      <c r="P58" s="75">
        <f t="shared" si="13"/>
        <v>50</v>
      </c>
      <c r="Q58" s="75">
        <v>250</v>
      </c>
      <c r="R58" s="123">
        <v>5</v>
      </c>
      <c r="S58" s="124">
        <v>15000</v>
      </c>
      <c r="T58" s="124">
        <v>20000</v>
      </c>
      <c r="U58" s="124">
        <v>10</v>
      </c>
      <c r="V58" s="76">
        <f>出怪成长!D102</f>
        <v>0</v>
      </c>
      <c r="W58" s="125" t="s">
        <v>636</v>
      </c>
      <c r="X58" s="123" t="s">
        <v>637</v>
      </c>
      <c r="Y58" s="126" t="s">
        <v>638</v>
      </c>
      <c r="Z58" s="125" t="s">
        <v>662</v>
      </c>
      <c r="AA58" s="123">
        <v>0</v>
      </c>
      <c r="AB58" s="116">
        <v>0</v>
      </c>
      <c r="AC58" s="116">
        <v>0</v>
      </c>
      <c r="AD58" s="123">
        <v>0</v>
      </c>
      <c r="AE58" s="123" t="str">
        <f t="shared" si="18"/>
        <v>Lv5</v>
      </c>
      <c r="AF58" s="75">
        <v>0</v>
      </c>
      <c r="AG58" s="75">
        <v>0</v>
      </c>
      <c r="AH58" s="70" t="s">
        <v>663</v>
      </c>
      <c r="AI58" s="120">
        <v>0</v>
      </c>
      <c r="AJ58" s="127">
        <v>0</v>
      </c>
      <c r="AK58" s="120">
        <v>0</v>
      </c>
      <c r="AL58" s="120" t="s">
        <v>641</v>
      </c>
      <c r="AM58" s="120" t="s">
        <v>642</v>
      </c>
      <c r="AN58" s="120" t="s">
        <v>643</v>
      </c>
      <c r="AO58" s="75">
        <v>0</v>
      </c>
      <c r="AP58" s="120">
        <v>18</v>
      </c>
      <c r="AQ58" s="120">
        <v>180</v>
      </c>
      <c r="AR58" s="120" t="s">
        <v>664</v>
      </c>
      <c r="AS58" s="128" t="s">
        <v>665</v>
      </c>
      <c r="AT58" s="76">
        <v>0</v>
      </c>
      <c r="AU58" s="120">
        <v>0</v>
      </c>
      <c r="AV58" s="70" t="s">
        <v>141</v>
      </c>
      <c r="AW58" s="123" t="s">
        <v>666</v>
      </c>
      <c r="AX58" s="58">
        <v>4</v>
      </c>
      <c r="AZ58" s="129">
        <f t="shared" si="19"/>
        <v>4004</v>
      </c>
      <c r="BA58" s="58">
        <f t="shared" si="20"/>
        <v>4004</v>
      </c>
      <c r="BB58" s="129"/>
    </row>
    <row r="59" s="58" customFormat="1" spans="1:57">
      <c r="A59" s="120">
        <v>406</v>
      </c>
      <c r="B59" s="120">
        <v>3</v>
      </c>
      <c r="C59" s="121" t="s">
        <v>633</v>
      </c>
      <c r="D59" s="120" t="s">
        <v>634</v>
      </c>
      <c r="E59" s="120">
        <v>407</v>
      </c>
      <c r="F59" s="120">
        <v>35</v>
      </c>
      <c r="G59" s="71">
        <f t="shared" si="1"/>
        <v>55</v>
      </c>
      <c r="H59" s="122" t="s">
        <v>667</v>
      </c>
      <c r="I59" s="122"/>
      <c r="J59" s="121">
        <v>0</v>
      </c>
      <c r="K59" s="64">
        <v>10</v>
      </c>
      <c r="L59" s="123" t="s">
        <v>141</v>
      </c>
      <c r="M59" s="123">
        <v>0</v>
      </c>
      <c r="N59" s="123">
        <v>6</v>
      </c>
      <c r="O59" s="75">
        <f t="shared" si="12"/>
        <v>41</v>
      </c>
      <c r="P59" s="75">
        <f t="shared" si="13"/>
        <v>56</v>
      </c>
      <c r="Q59" s="75">
        <v>250</v>
      </c>
      <c r="R59" s="123">
        <v>5</v>
      </c>
      <c r="S59" s="124">
        <v>15000</v>
      </c>
      <c r="T59" s="124">
        <v>20000</v>
      </c>
      <c r="U59" s="124">
        <v>10</v>
      </c>
      <c r="V59" s="76">
        <f>出怪成长!D103</f>
        <v>0</v>
      </c>
      <c r="W59" s="125" t="s">
        <v>636</v>
      </c>
      <c r="X59" s="123" t="s">
        <v>637</v>
      </c>
      <c r="Y59" s="126" t="s">
        <v>638</v>
      </c>
      <c r="Z59" s="125" t="s">
        <v>668</v>
      </c>
      <c r="AA59" s="123">
        <v>0</v>
      </c>
      <c r="AB59" s="116">
        <v>0</v>
      </c>
      <c r="AC59" s="116">
        <v>0</v>
      </c>
      <c r="AD59" s="123">
        <v>0</v>
      </c>
      <c r="AE59" s="123" t="str">
        <f t="shared" si="18"/>
        <v>Lv6</v>
      </c>
      <c r="AF59" s="75">
        <v>0</v>
      </c>
      <c r="AG59" s="75">
        <v>0</v>
      </c>
      <c r="AH59" s="70" t="s">
        <v>669</v>
      </c>
      <c r="AI59" s="120">
        <v>0</v>
      </c>
      <c r="AJ59" s="127">
        <v>0</v>
      </c>
      <c r="AK59" s="120">
        <v>0</v>
      </c>
      <c r="AL59" s="120" t="s">
        <v>641</v>
      </c>
      <c r="AM59" s="120" t="s">
        <v>642</v>
      </c>
      <c r="AN59" s="120" t="s">
        <v>643</v>
      </c>
      <c r="AO59" s="75">
        <v>0</v>
      </c>
      <c r="AP59" s="120">
        <v>22</v>
      </c>
      <c r="AQ59" s="120">
        <v>220</v>
      </c>
      <c r="AR59" s="120" t="s">
        <v>670</v>
      </c>
      <c r="AS59" s="128" t="s">
        <v>671</v>
      </c>
      <c r="AT59" s="76">
        <v>0</v>
      </c>
      <c r="AU59" s="120">
        <v>0</v>
      </c>
      <c r="AV59" s="70" t="s">
        <v>141</v>
      </c>
      <c r="AW59" s="123" t="s">
        <v>275</v>
      </c>
      <c r="AX59" s="58">
        <v>1</v>
      </c>
      <c r="AZ59" s="129">
        <f t="shared" si="19"/>
        <v>1004</v>
      </c>
      <c r="BA59" s="58">
        <f t="shared" si="20"/>
        <v>1004</v>
      </c>
    </row>
    <row r="60" s="58" customFormat="1" spans="1:57">
      <c r="A60" s="120">
        <v>407</v>
      </c>
      <c r="B60" s="120">
        <v>3</v>
      </c>
      <c r="C60" s="121" t="s">
        <v>633</v>
      </c>
      <c r="D60" s="120" t="s">
        <v>634</v>
      </c>
      <c r="E60" s="120">
        <v>408</v>
      </c>
      <c r="F60" s="120">
        <v>40</v>
      </c>
      <c r="G60" s="71">
        <f t="shared" si="1"/>
        <v>60</v>
      </c>
      <c r="H60" s="122" t="s">
        <v>672</v>
      </c>
      <c r="I60" s="122"/>
      <c r="J60" s="121">
        <v>0</v>
      </c>
      <c r="K60" s="64">
        <v>10</v>
      </c>
      <c r="L60" s="123" t="s">
        <v>141</v>
      </c>
      <c r="M60" s="123">
        <v>0</v>
      </c>
      <c r="N60" s="123">
        <v>7</v>
      </c>
      <c r="O60" s="75">
        <f t="shared" si="12"/>
        <v>47</v>
      </c>
      <c r="P60" s="75">
        <f t="shared" si="13"/>
        <v>62</v>
      </c>
      <c r="Q60" s="75">
        <v>250</v>
      </c>
      <c r="R60" s="123">
        <v>6</v>
      </c>
      <c r="S60" s="124">
        <v>15000</v>
      </c>
      <c r="T60" s="124">
        <v>20000</v>
      </c>
      <c r="U60" s="124">
        <v>10</v>
      </c>
      <c r="V60" s="76">
        <f>出怪成长!D104</f>
        <v>0</v>
      </c>
      <c r="W60" s="125" t="s">
        <v>636</v>
      </c>
      <c r="X60" s="123" t="s">
        <v>637</v>
      </c>
      <c r="Y60" s="126" t="s">
        <v>638</v>
      </c>
      <c r="Z60" s="125" t="s">
        <v>673</v>
      </c>
      <c r="AA60" s="123">
        <v>0</v>
      </c>
      <c r="AB60" s="116">
        <v>0</v>
      </c>
      <c r="AC60" s="116">
        <v>0</v>
      </c>
      <c r="AD60" s="123">
        <v>0</v>
      </c>
      <c r="AE60" s="123" t="str">
        <f t="shared" si="18"/>
        <v>Lv7</v>
      </c>
      <c r="AF60" s="75">
        <v>0</v>
      </c>
      <c r="AG60" s="75">
        <v>0</v>
      </c>
      <c r="AH60" s="70" t="s">
        <v>674</v>
      </c>
      <c r="AI60" s="120">
        <v>0</v>
      </c>
      <c r="AJ60" s="127">
        <v>0</v>
      </c>
      <c r="AK60" s="120">
        <v>0</v>
      </c>
      <c r="AL60" s="120" t="s">
        <v>641</v>
      </c>
      <c r="AM60" s="120" t="s">
        <v>642</v>
      </c>
      <c r="AN60" s="120" t="s">
        <v>643</v>
      </c>
      <c r="AO60" s="75">
        <v>0</v>
      </c>
      <c r="AP60" s="120">
        <v>26</v>
      </c>
      <c r="AQ60" s="120">
        <v>260</v>
      </c>
      <c r="AR60" s="120" t="s">
        <v>675</v>
      </c>
      <c r="AS60" s="128" t="s">
        <v>676</v>
      </c>
      <c r="AT60" s="76">
        <v>0</v>
      </c>
      <c r="AU60" s="120">
        <v>0</v>
      </c>
      <c r="AV60" s="70" t="s">
        <v>141</v>
      </c>
      <c r="AW60" s="123" t="s">
        <v>677</v>
      </c>
      <c r="AX60" s="58">
        <v>5</v>
      </c>
      <c r="AZ60" s="129">
        <f t="shared" si="19"/>
        <v>5105</v>
      </c>
      <c r="BA60" s="58">
        <f t="shared" si="20"/>
        <v>5105</v>
      </c>
    </row>
    <row r="61" s="58" customFormat="1" spans="1:57">
      <c r="A61" s="120">
        <v>408</v>
      </c>
      <c r="B61" s="120">
        <v>3</v>
      </c>
      <c r="C61" s="121" t="s">
        <v>633</v>
      </c>
      <c r="D61" s="120" t="s">
        <v>634</v>
      </c>
      <c r="E61" s="120">
        <v>409</v>
      </c>
      <c r="F61" s="120">
        <v>45</v>
      </c>
      <c r="G61" s="71">
        <f t="shared" si="1"/>
        <v>65</v>
      </c>
      <c r="H61" s="122" t="s">
        <v>678</v>
      </c>
      <c r="I61" s="122"/>
      <c r="J61" s="121">
        <v>0</v>
      </c>
      <c r="K61" s="64">
        <v>10</v>
      </c>
      <c r="L61" s="123" t="s">
        <v>141</v>
      </c>
      <c r="M61" s="123">
        <v>0</v>
      </c>
      <c r="N61" s="123">
        <v>8</v>
      </c>
      <c r="O61" s="75">
        <f t="shared" si="12"/>
        <v>53</v>
      </c>
      <c r="P61" s="75">
        <f t="shared" si="13"/>
        <v>68</v>
      </c>
      <c r="Q61" s="75">
        <v>250</v>
      </c>
      <c r="R61" s="123">
        <v>6</v>
      </c>
      <c r="S61" s="124">
        <v>15000</v>
      </c>
      <c r="T61" s="124">
        <v>20000</v>
      </c>
      <c r="U61" s="124">
        <v>10</v>
      </c>
      <c r="V61" s="76">
        <f>出怪成长!D105</f>
        <v>0</v>
      </c>
      <c r="W61" s="125" t="s">
        <v>636</v>
      </c>
      <c r="X61" s="123" t="s">
        <v>637</v>
      </c>
      <c r="Y61" s="126" t="s">
        <v>638</v>
      </c>
      <c r="Z61" s="125" t="s">
        <v>679</v>
      </c>
      <c r="AA61" s="123">
        <v>0</v>
      </c>
      <c r="AB61" s="116">
        <v>0</v>
      </c>
      <c r="AC61" s="116">
        <v>0</v>
      </c>
      <c r="AD61" s="123">
        <v>0</v>
      </c>
      <c r="AE61" s="123" t="str">
        <f t="shared" si="18"/>
        <v>Lv8</v>
      </c>
      <c r="AF61" s="75">
        <v>0</v>
      </c>
      <c r="AG61" s="75">
        <v>0</v>
      </c>
      <c r="AH61" s="70" t="s">
        <v>680</v>
      </c>
      <c r="AI61" s="120">
        <v>0</v>
      </c>
      <c r="AJ61" s="127">
        <v>0</v>
      </c>
      <c r="AK61" s="120">
        <v>0</v>
      </c>
      <c r="AL61" s="120" t="s">
        <v>641</v>
      </c>
      <c r="AM61" s="120" t="s">
        <v>642</v>
      </c>
      <c r="AN61" s="120" t="s">
        <v>643</v>
      </c>
      <c r="AO61" s="75">
        <v>0</v>
      </c>
      <c r="AP61" s="120">
        <v>30</v>
      </c>
      <c r="AQ61" s="120">
        <v>300</v>
      </c>
      <c r="AR61" s="120" t="s">
        <v>681</v>
      </c>
      <c r="AS61" s="128" t="s">
        <v>682</v>
      </c>
      <c r="AT61" s="76">
        <v>0</v>
      </c>
      <c r="AU61" s="120">
        <v>0</v>
      </c>
      <c r="AV61" s="70" t="s">
        <v>141</v>
      </c>
      <c r="AW61" s="123" t="s">
        <v>481</v>
      </c>
      <c r="AX61" s="58">
        <v>6</v>
      </c>
      <c r="AZ61" s="129">
        <f t="shared" si="19"/>
        <v>6106</v>
      </c>
      <c r="BA61" s="58">
        <f t="shared" si="20"/>
        <v>6106</v>
      </c>
    </row>
    <row r="62" s="58" customFormat="1" spans="1:57">
      <c r="A62" s="120">
        <v>409</v>
      </c>
      <c r="B62" s="120">
        <v>3</v>
      </c>
      <c r="C62" s="121" t="s">
        <v>633</v>
      </c>
      <c r="D62" s="120" t="s">
        <v>634</v>
      </c>
      <c r="E62" s="120">
        <v>410</v>
      </c>
      <c r="F62" s="120">
        <v>50</v>
      </c>
      <c r="G62" s="71">
        <f t="shared" si="1"/>
        <v>70</v>
      </c>
      <c r="H62" s="122" t="s">
        <v>683</v>
      </c>
      <c r="I62" s="122"/>
      <c r="J62" s="121">
        <v>0</v>
      </c>
      <c r="K62" s="64">
        <v>10</v>
      </c>
      <c r="L62" s="123" t="s">
        <v>141</v>
      </c>
      <c r="M62" s="123">
        <v>0</v>
      </c>
      <c r="N62" s="123">
        <v>9</v>
      </c>
      <c r="O62" s="75">
        <f t="shared" si="12"/>
        <v>59</v>
      </c>
      <c r="P62" s="75">
        <f t="shared" si="13"/>
        <v>74</v>
      </c>
      <c r="Q62" s="75">
        <v>250</v>
      </c>
      <c r="R62" s="123">
        <v>7</v>
      </c>
      <c r="S62" s="124">
        <v>15000</v>
      </c>
      <c r="T62" s="124">
        <v>20000</v>
      </c>
      <c r="U62" s="124">
        <v>10</v>
      </c>
      <c r="V62" s="76">
        <f>出怪成长!D106</f>
        <v>0</v>
      </c>
      <c r="W62" s="125" t="s">
        <v>636</v>
      </c>
      <c r="X62" s="123" t="s">
        <v>637</v>
      </c>
      <c r="Y62" s="126" t="s">
        <v>638</v>
      </c>
      <c r="Z62" s="125" t="s">
        <v>684</v>
      </c>
      <c r="AA62" s="123">
        <v>0</v>
      </c>
      <c r="AB62" s="116">
        <v>0</v>
      </c>
      <c r="AC62" s="116">
        <v>0</v>
      </c>
      <c r="AD62" s="123">
        <v>0</v>
      </c>
      <c r="AE62" s="123" t="str">
        <f t="shared" si="18"/>
        <v>Lv9</v>
      </c>
      <c r="AF62" s="75">
        <v>0</v>
      </c>
      <c r="AG62" s="75">
        <v>0</v>
      </c>
      <c r="AH62" s="70" t="s">
        <v>685</v>
      </c>
      <c r="AI62" s="120">
        <v>0</v>
      </c>
      <c r="AJ62" s="127">
        <v>0</v>
      </c>
      <c r="AK62" s="120">
        <v>0</v>
      </c>
      <c r="AL62" s="120" t="s">
        <v>641</v>
      </c>
      <c r="AM62" s="120" t="s">
        <v>642</v>
      </c>
      <c r="AN62" s="120" t="s">
        <v>643</v>
      </c>
      <c r="AO62" s="75">
        <v>0</v>
      </c>
      <c r="AP62" s="120">
        <v>35</v>
      </c>
      <c r="AQ62" s="120">
        <v>350</v>
      </c>
      <c r="AR62" s="120" t="s">
        <v>686</v>
      </c>
      <c r="AS62" s="128" t="s">
        <v>687</v>
      </c>
      <c r="AT62" s="76">
        <v>0</v>
      </c>
      <c r="AU62" s="120">
        <v>0</v>
      </c>
      <c r="AV62" s="70" t="s">
        <v>141</v>
      </c>
      <c r="AW62" s="123" t="s">
        <v>677</v>
      </c>
      <c r="AX62" s="58">
        <v>5</v>
      </c>
      <c r="AZ62" s="129">
        <f t="shared" si="19"/>
        <v>5106</v>
      </c>
      <c r="BA62" s="58">
        <f t="shared" si="20"/>
        <v>5106</v>
      </c>
    </row>
    <row r="63" s="58" customFormat="1" spans="1:57">
      <c r="A63" s="120">
        <v>410</v>
      </c>
      <c r="B63" s="120">
        <v>3</v>
      </c>
      <c r="C63" s="121" t="s">
        <v>633</v>
      </c>
      <c r="D63" s="120" t="s">
        <v>634</v>
      </c>
      <c r="E63" s="120">
        <v>411</v>
      </c>
      <c r="F63" s="120">
        <v>55</v>
      </c>
      <c r="G63" s="71">
        <f t="shared" si="1"/>
        <v>75</v>
      </c>
      <c r="H63" s="122" t="s">
        <v>688</v>
      </c>
      <c r="I63" s="122"/>
      <c r="J63" s="121">
        <v>0</v>
      </c>
      <c r="K63" s="64">
        <v>10</v>
      </c>
      <c r="L63" s="123" t="s">
        <v>141</v>
      </c>
      <c r="M63" s="123">
        <v>0</v>
      </c>
      <c r="N63" s="123">
        <v>10</v>
      </c>
      <c r="O63" s="75">
        <f t="shared" si="12"/>
        <v>65</v>
      </c>
      <c r="P63" s="75">
        <f t="shared" si="13"/>
        <v>80</v>
      </c>
      <c r="Q63" s="75">
        <v>250</v>
      </c>
      <c r="R63" s="123">
        <v>7</v>
      </c>
      <c r="S63" s="124">
        <v>15000</v>
      </c>
      <c r="T63" s="124">
        <v>20000</v>
      </c>
      <c r="U63" s="124">
        <v>10</v>
      </c>
      <c r="V63" s="76">
        <f>出怪成长!D107</f>
        <v>0</v>
      </c>
      <c r="W63" s="125" t="s">
        <v>636</v>
      </c>
      <c r="X63" s="123" t="s">
        <v>637</v>
      </c>
      <c r="Y63" s="126" t="s">
        <v>638</v>
      </c>
      <c r="Z63" s="125" t="s">
        <v>689</v>
      </c>
      <c r="AA63" s="123">
        <v>0</v>
      </c>
      <c r="AB63" s="116">
        <v>0</v>
      </c>
      <c r="AC63" s="116">
        <v>0</v>
      </c>
      <c r="AD63" s="123">
        <v>0</v>
      </c>
      <c r="AE63" s="123" t="str">
        <f t="shared" si="18"/>
        <v>Lv10</v>
      </c>
      <c r="AF63" s="75">
        <v>0</v>
      </c>
      <c r="AG63" s="75">
        <v>0</v>
      </c>
      <c r="AH63" s="70" t="s">
        <v>690</v>
      </c>
      <c r="AI63" s="120">
        <v>0</v>
      </c>
      <c r="AJ63" s="127">
        <v>0</v>
      </c>
      <c r="AK63" s="120">
        <v>0</v>
      </c>
      <c r="AL63" s="120" t="s">
        <v>641</v>
      </c>
      <c r="AM63" s="120" t="s">
        <v>642</v>
      </c>
      <c r="AN63" s="120" t="s">
        <v>643</v>
      </c>
      <c r="AO63" s="75">
        <v>0</v>
      </c>
      <c r="AP63" s="120">
        <v>40</v>
      </c>
      <c r="AQ63" s="120">
        <v>400</v>
      </c>
      <c r="AR63" s="120" t="s">
        <v>691</v>
      </c>
      <c r="AS63" s="128" t="s">
        <v>692</v>
      </c>
      <c r="AT63" s="76">
        <v>0</v>
      </c>
      <c r="AU63" s="120">
        <v>0</v>
      </c>
      <c r="AV63" s="70" t="s">
        <v>141</v>
      </c>
      <c r="AW63" s="123" t="s">
        <v>666</v>
      </c>
      <c r="AX63" s="58">
        <v>4</v>
      </c>
      <c r="AZ63" s="129">
        <f t="shared" si="19"/>
        <v>4107</v>
      </c>
      <c r="BA63" s="58">
        <f t="shared" si="20"/>
        <v>4107</v>
      </c>
    </row>
    <row r="64" s="58" customFormat="1" spans="1:57">
      <c r="A64" s="120">
        <v>411</v>
      </c>
      <c r="B64" s="120">
        <v>3</v>
      </c>
      <c r="C64" s="121" t="s">
        <v>633</v>
      </c>
      <c r="D64" s="120" t="s">
        <v>634</v>
      </c>
      <c r="E64" s="120">
        <v>412</v>
      </c>
      <c r="F64" s="120">
        <v>60</v>
      </c>
      <c r="G64" s="71">
        <f t="shared" si="1"/>
        <v>80</v>
      </c>
      <c r="H64" s="122" t="s">
        <v>693</v>
      </c>
      <c r="I64" s="122"/>
      <c r="J64" s="121">
        <v>0</v>
      </c>
      <c r="K64" s="64">
        <v>10</v>
      </c>
      <c r="L64" s="123" t="s">
        <v>141</v>
      </c>
      <c r="M64" s="123">
        <v>0</v>
      </c>
      <c r="N64" s="123">
        <v>11</v>
      </c>
      <c r="O64" s="75">
        <f t="shared" si="12"/>
        <v>71</v>
      </c>
      <c r="P64" s="75">
        <f t="shared" si="13"/>
        <v>86</v>
      </c>
      <c r="Q64" s="75">
        <v>250</v>
      </c>
      <c r="R64" s="123">
        <v>8</v>
      </c>
      <c r="S64" s="124">
        <v>15000</v>
      </c>
      <c r="T64" s="124">
        <v>20000</v>
      </c>
      <c r="U64" s="124">
        <v>10</v>
      </c>
      <c r="V64" s="76">
        <f>出怪成长!D108</f>
        <v>0</v>
      </c>
      <c r="W64" s="125" t="s">
        <v>636</v>
      </c>
      <c r="X64" s="123" t="s">
        <v>637</v>
      </c>
      <c r="Y64" s="126" t="s">
        <v>638</v>
      </c>
      <c r="Z64" s="125" t="s">
        <v>694</v>
      </c>
      <c r="AA64" s="123">
        <v>0</v>
      </c>
      <c r="AB64" s="116">
        <v>0</v>
      </c>
      <c r="AC64" s="116">
        <v>0</v>
      </c>
      <c r="AD64" s="123">
        <v>0</v>
      </c>
      <c r="AE64" s="123" t="str">
        <f t="shared" si="18"/>
        <v>Lv11</v>
      </c>
      <c r="AF64" s="75">
        <v>0</v>
      </c>
      <c r="AG64" s="75">
        <v>0</v>
      </c>
      <c r="AH64" s="70" t="s">
        <v>695</v>
      </c>
      <c r="AI64" s="120">
        <v>0</v>
      </c>
      <c r="AJ64" s="127">
        <v>0</v>
      </c>
      <c r="AK64" s="120">
        <v>0</v>
      </c>
      <c r="AL64" s="120" t="s">
        <v>641</v>
      </c>
      <c r="AM64" s="120" t="s">
        <v>642</v>
      </c>
      <c r="AN64" s="120" t="s">
        <v>643</v>
      </c>
      <c r="AO64" s="75">
        <v>0</v>
      </c>
      <c r="AP64" s="120">
        <v>45</v>
      </c>
      <c r="AQ64" s="120">
        <v>450</v>
      </c>
      <c r="AR64" s="120" t="s">
        <v>696</v>
      </c>
      <c r="AS64" s="128" t="s">
        <v>697</v>
      </c>
      <c r="AT64" s="76">
        <v>0</v>
      </c>
      <c r="AU64" s="120">
        <v>0</v>
      </c>
      <c r="AV64" s="70" t="s">
        <v>141</v>
      </c>
      <c r="AW64" s="123" t="s">
        <v>666</v>
      </c>
      <c r="AX64" s="58">
        <v>4</v>
      </c>
      <c r="AZ64" s="129">
        <f t="shared" si="19"/>
        <v>4108</v>
      </c>
      <c r="BA64" s="58">
        <f t="shared" si="20"/>
        <v>4108</v>
      </c>
    </row>
    <row r="65" s="58" customFormat="1" spans="1:55">
      <c r="A65" s="120">
        <v>412</v>
      </c>
      <c r="B65" s="120">
        <v>3</v>
      </c>
      <c r="C65" s="121" t="s">
        <v>633</v>
      </c>
      <c r="D65" s="120" t="s">
        <v>634</v>
      </c>
      <c r="E65" s="120">
        <v>413</v>
      </c>
      <c r="F65" s="120">
        <v>65</v>
      </c>
      <c r="G65" s="71">
        <f t="shared" si="1"/>
        <v>85</v>
      </c>
      <c r="H65" s="122" t="s">
        <v>698</v>
      </c>
      <c r="I65" s="122"/>
      <c r="J65" s="121">
        <v>0</v>
      </c>
      <c r="K65" s="64">
        <v>10</v>
      </c>
      <c r="L65" s="123" t="s">
        <v>141</v>
      </c>
      <c r="M65" s="123">
        <v>0</v>
      </c>
      <c r="N65" s="123">
        <v>12</v>
      </c>
      <c r="O65" s="75">
        <f t="shared" si="12"/>
        <v>77</v>
      </c>
      <c r="P65" s="75">
        <f t="shared" si="13"/>
        <v>92</v>
      </c>
      <c r="Q65" s="75">
        <v>250</v>
      </c>
      <c r="R65" s="123">
        <v>8</v>
      </c>
      <c r="S65" s="124">
        <v>15000</v>
      </c>
      <c r="T65" s="124">
        <v>20000</v>
      </c>
      <c r="U65" s="124">
        <v>10</v>
      </c>
      <c r="V65" s="76">
        <f>出怪成长!D109</f>
        <v>0</v>
      </c>
      <c r="W65" s="125" t="s">
        <v>636</v>
      </c>
      <c r="X65" s="123" t="s">
        <v>637</v>
      </c>
      <c r="Y65" s="126" t="s">
        <v>638</v>
      </c>
      <c r="Z65" s="125" t="s">
        <v>699</v>
      </c>
      <c r="AA65" s="123">
        <v>0</v>
      </c>
      <c r="AB65" s="116">
        <v>0</v>
      </c>
      <c r="AC65" s="116">
        <v>0</v>
      </c>
      <c r="AD65" s="123">
        <v>0</v>
      </c>
      <c r="AE65" s="123" t="str">
        <f t="shared" si="18"/>
        <v>Lv12</v>
      </c>
      <c r="AF65" s="75">
        <v>0</v>
      </c>
      <c r="AG65" s="75">
        <v>0</v>
      </c>
      <c r="AH65" s="70" t="s">
        <v>700</v>
      </c>
      <c r="AI65" s="120">
        <v>0</v>
      </c>
      <c r="AJ65" s="127">
        <v>0</v>
      </c>
      <c r="AK65" s="120">
        <v>0</v>
      </c>
      <c r="AL65" s="120" t="s">
        <v>641</v>
      </c>
      <c r="AM65" s="120" t="s">
        <v>642</v>
      </c>
      <c r="AN65" s="120" t="s">
        <v>643</v>
      </c>
      <c r="AO65" s="75">
        <v>0</v>
      </c>
      <c r="AP65" s="120">
        <v>50</v>
      </c>
      <c r="AQ65" s="120">
        <v>500</v>
      </c>
      <c r="AR65" s="120" t="s">
        <v>696</v>
      </c>
      <c r="AS65" s="128" t="s">
        <v>697</v>
      </c>
      <c r="AT65" s="76">
        <v>0</v>
      </c>
      <c r="AU65" s="120">
        <v>0</v>
      </c>
      <c r="AV65" s="70" t="s">
        <v>141</v>
      </c>
      <c r="AW65" s="123" t="s">
        <v>666</v>
      </c>
      <c r="AZ65" s="129"/>
    </row>
    <row r="66" s="58" customFormat="1" spans="1:55">
      <c r="A66" s="120">
        <v>413</v>
      </c>
      <c r="B66" s="120">
        <v>3</v>
      </c>
      <c r="C66" s="121" t="s">
        <v>633</v>
      </c>
      <c r="D66" s="120" t="s">
        <v>634</v>
      </c>
      <c r="E66" s="120">
        <v>414</v>
      </c>
      <c r="F66" s="120">
        <v>70</v>
      </c>
      <c r="G66" s="71">
        <f t="shared" si="1"/>
        <v>90</v>
      </c>
      <c r="H66" s="122" t="s">
        <v>701</v>
      </c>
      <c r="I66" s="122"/>
      <c r="J66" s="121">
        <v>0</v>
      </c>
      <c r="K66" s="64">
        <v>10</v>
      </c>
      <c r="L66" s="123" t="s">
        <v>141</v>
      </c>
      <c r="M66" s="123">
        <v>0</v>
      </c>
      <c r="N66" s="123">
        <v>13</v>
      </c>
      <c r="O66" s="75">
        <f t="shared" si="12"/>
        <v>83</v>
      </c>
      <c r="P66" s="75">
        <f t="shared" si="13"/>
        <v>98</v>
      </c>
      <c r="Q66" s="75">
        <v>250</v>
      </c>
      <c r="R66" s="123">
        <v>9</v>
      </c>
      <c r="S66" s="124">
        <v>15000</v>
      </c>
      <c r="T66" s="124">
        <v>20000</v>
      </c>
      <c r="U66" s="124">
        <v>10</v>
      </c>
      <c r="V66" s="76">
        <f>出怪成长!D110</f>
        <v>0</v>
      </c>
      <c r="W66" s="125" t="s">
        <v>636</v>
      </c>
      <c r="X66" s="123" t="s">
        <v>637</v>
      </c>
      <c r="Y66" s="126" t="s">
        <v>638</v>
      </c>
      <c r="Z66" s="125" t="s">
        <v>702</v>
      </c>
      <c r="AA66" s="123">
        <v>0</v>
      </c>
      <c r="AB66" s="116">
        <v>0</v>
      </c>
      <c r="AC66" s="116">
        <v>0</v>
      </c>
      <c r="AD66" s="123">
        <v>0</v>
      </c>
      <c r="AE66" s="123" t="str">
        <f t="shared" si="18"/>
        <v>Lv13</v>
      </c>
      <c r="AF66" s="75">
        <v>0</v>
      </c>
      <c r="AG66" s="75">
        <v>0</v>
      </c>
      <c r="AH66" s="70" t="s">
        <v>703</v>
      </c>
      <c r="AI66" s="120">
        <v>0</v>
      </c>
      <c r="AJ66" s="127">
        <v>0</v>
      </c>
      <c r="AK66" s="120">
        <v>0</v>
      </c>
      <c r="AL66" s="120" t="s">
        <v>641</v>
      </c>
      <c r="AM66" s="120" t="s">
        <v>642</v>
      </c>
      <c r="AN66" s="120" t="s">
        <v>643</v>
      </c>
      <c r="AO66" s="75">
        <v>0</v>
      </c>
      <c r="AP66" s="120">
        <v>50</v>
      </c>
      <c r="AQ66" s="120">
        <v>500</v>
      </c>
      <c r="AR66" s="120" t="s">
        <v>696</v>
      </c>
      <c r="AS66" s="128" t="s">
        <v>697</v>
      </c>
      <c r="AT66" s="76">
        <v>0</v>
      </c>
      <c r="AU66" s="120">
        <v>0</v>
      </c>
      <c r="AV66" s="70" t="s">
        <v>141</v>
      </c>
      <c r="AW66" s="123" t="s">
        <v>666</v>
      </c>
      <c r="AZ66" s="129"/>
    </row>
    <row r="67" s="59" customFormat="1" spans="1:55">
      <c r="A67" s="130">
        <v>501</v>
      </c>
      <c r="B67" s="130">
        <v>4</v>
      </c>
      <c r="C67" s="109" t="s">
        <v>704</v>
      </c>
      <c r="D67" s="130" t="s">
        <v>705</v>
      </c>
      <c r="E67" s="130">
        <v>502</v>
      </c>
      <c r="F67" s="109">
        <v>10</v>
      </c>
      <c r="G67" s="71">
        <f t="shared" si="1"/>
        <v>30</v>
      </c>
      <c r="H67" s="131" t="s">
        <v>706</v>
      </c>
      <c r="I67" s="131"/>
      <c r="J67" s="109">
        <v>0</v>
      </c>
      <c r="K67" s="64">
        <v>10</v>
      </c>
      <c r="L67" s="111" t="s">
        <v>141</v>
      </c>
      <c r="M67" s="111">
        <v>0</v>
      </c>
      <c r="N67" s="111">
        <v>1</v>
      </c>
      <c r="O67" s="75">
        <f t="shared" si="12"/>
        <v>11</v>
      </c>
      <c r="P67" s="75">
        <f t="shared" si="13"/>
        <v>26</v>
      </c>
      <c r="Q67" s="75">
        <v>250</v>
      </c>
      <c r="R67" s="111">
        <v>3</v>
      </c>
      <c r="S67" s="112">
        <v>15000</v>
      </c>
      <c r="T67" s="112">
        <v>20000</v>
      </c>
      <c r="U67" s="112">
        <v>10</v>
      </c>
      <c r="V67" s="76">
        <f>出怪成长!D111</f>
        <v>0</v>
      </c>
      <c r="W67" s="113" t="s">
        <v>707</v>
      </c>
      <c r="X67" s="111">
        <v>0</v>
      </c>
      <c r="Y67" s="111" t="s">
        <v>708</v>
      </c>
      <c r="Z67" s="113" t="s">
        <v>709</v>
      </c>
      <c r="AA67" s="111">
        <v>0</v>
      </c>
      <c r="AB67" s="115">
        <v>0</v>
      </c>
      <c r="AC67" s="111" t="s">
        <v>710</v>
      </c>
      <c r="AD67" s="111">
        <v>0</v>
      </c>
      <c r="AE67" s="111" t="str">
        <f t="shared" si="18"/>
        <v>Lv1</v>
      </c>
      <c r="AF67" s="75">
        <v>0</v>
      </c>
      <c r="AG67" s="75">
        <v>0</v>
      </c>
      <c r="AH67" s="70" t="s">
        <v>711</v>
      </c>
      <c r="AI67" s="111">
        <v>0</v>
      </c>
      <c r="AJ67" s="115">
        <v>0</v>
      </c>
      <c r="AK67" s="111">
        <v>0</v>
      </c>
      <c r="AL67" s="111" t="s">
        <v>641</v>
      </c>
      <c r="AM67" s="111" t="s">
        <v>712</v>
      </c>
      <c r="AN67" s="111" t="s">
        <v>713</v>
      </c>
      <c r="AO67" s="75">
        <v>0</v>
      </c>
      <c r="AP67" s="111">
        <v>1</v>
      </c>
      <c r="AQ67" s="111">
        <v>10</v>
      </c>
      <c r="AR67" s="111" t="s">
        <v>644</v>
      </c>
      <c r="AS67" s="111" t="s">
        <v>714</v>
      </c>
      <c r="AT67" s="76">
        <v>0</v>
      </c>
      <c r="AU67" s="111">
        <v>3</v>
      </c>
      <c r="AV67" s="70" t="s">
        <v>141</v>
      </c>
      <c r="AW67" s="111" t="s">
        <v>374</v>
      </c>
      <c r="AX67" s="59">
        <v>3</v>
      </c>
      <c r="AZ67" s="132">
        <f t="shared" ref="AZ67:AZ107" si="21">AX67*1000+INT(MIN(9,(N67+1)/1.5))+INT((N67-1)/6)*100</f>
        <v>3001</v>
      </c>
      <c r="BA67" s="59">
        <f t="shared" ref="BA67:BA107" si="22">AZ67</f>
        <v>3001</v>
      </c>
    </row>
    <row r="68" s="60" customFormat="1" spans="1:55">
      <c r="A68" s="133">
        <v>502</v>
      </c>
      <c r="B68" s="133">
        <v>4</v>
      </c>
      <c r="C68" s="121" t="s">
        <v>704</v>
      </c>
      <c r="D68" s="133" t="s">
        <v>705</v>
      </c>
      <c r="E68" s="133">
        <v>503</v>
      </c>
      <c r="F68" s="121">
        <v>15</v>
      </c>
      <c r="G68" s="71">
        <f t="shared" ref="G68:G118" si="23">F68+20</f>
        <v>35</v>
      </c>
      <c r="H68" s="134" t="s">
        <v>715</v>
      </c>
      <c r="I68" s="134"/>
      <c r="J68" s="121">
        <v>0</v>
      </c>
      <c r="K68" s="64">
        <v>10</v>
      </c>
      <c r="L68" s="123" t="s">
        <v>141</v>
      </c>
      <c r="M68" s="123">
        <v>0</v>
      </c>
      <c r="N68" s="123">
        <v>2</v>
      </c>
      <c r="O68" s="75">
        <f t="shared" si="12"/>
        <v>17</v>
      </c>
      <c r="P68" s="75">
        <f t="shared" si="13"/>
        <v>32</v>
      </c>
      <c r="Q68" s="75">
        <v>250</v>
      </c>
      <c r="R68" s="123">
        <v>3</v>
      </c>
      <c r="S68" s="124">
        <v>15000</v>
      </c>
      <c r="T68" s="124">
        <v>20000</v>
      </c>
      <c r="U68" s="124">
        <v>10</v>
      </c>
      <c r="V68" s="76">
        <f>出怪成长!D112</f>
        <v>0</v>
      </c>
      <c r="W68" s="125" t="s">
        <v>707</v>
      </c>
      <c r="X68" s="123">
        <v>0</v>
      </c>
      <c r="Y68" s="123" t="s">
        <v>708</v>
      </c>
      <c r="Z68" s="125" t="s">
        <v>716</v>
      </c>
      <c r="AA68" s="123">
        <v>0</v>
      </c>
      <c r="AB68" s="116">
        <v>0</v>
      </c>
      <c r="AC68" s="123" t="s">
        <v>710</v>
      </c>
      <c r="AD68" s="123">
        <v>0</v>
      </c>
      <c r="AE68" s="123" t="str">
        <f t="shared" si="18"/>
        <v>Lv2</v>
      </c>
      <c r="AF68" s="75">
        <v>0</v>
      </c>
      <c r="AG68" s="75">
        <v>0</v>
      </c>
      <c r="AH68" s="70" t="s">
        <v>717</v>
      </c>
      <c r="AI68" s="123">
        <v>0</v>
      </c>
      <c r="AJ68" s="116">
        <v>0</v>
      </c>
      <c r="AK68" s="123">
        <v>0</v>
      </c>
      <c r="AL68" s="123" t="s">
        <v>641</v>
      </c>
      <c r="AM68" s="123" t="s">
        <v>712</v>
      </c>
      <c r="AN68" s="123" t="s">
        <v>713</v>
      </c>
      <c r="AO68" s="75">
        <v>0</v>
      </c>
      <c r="AP68" s="123">
        <v>2.5</v>
      </c>
      <c r="AQ68" s="123">
        <v>25</v>
      </c>
      <c r="AR68" s="123" t="s">
        <v>649</v>
      </c>
      <c r="AS68" s="123" t="s">
        <v>718</v>
      </c>
      <c r="AT68" s="76">
        <v>0</v>
      </c>
      <c r="AU68" s="123">
        <v>3</v>
      </c>
      <c r="AV68" s="70" t="s">
        <v>141</v>
      </c>
      <c r="AW68" s="123" t="s">
        <v>651</v>
      </c>
      <c r="AX68" s="60">
        <v>2</v>
      </c>
      <c r="AZ68" s="135">
        <f t="shared" si="21"/>
        <v>2002</v>
      </c>
      <c r="BA68" s="60">
        <f t="shared" si="22"/>
        <v>2002</v>
      </c>
    </row>
    <row r="69" s="60" customFormat="1" spans="1:55">
      <c r="A69" s="133">
        <v>503</v>
      </c>
      <c r="B69" s="133">
        <v>4</v>
      </c>
      <c r="C69" s="121" t="s">
        <v>704</v>
      </c>
      <c r="D69" s="133" t="s">
        <v>705</v>
      </c>
      <c r="E69" s="133">
        <v>504</v>
      </c>
      <c r="F69" s="121">
        <v>20</v>
      </c>
      <c r="G69" s="71">
        <f t="shared" si="23"/>
        <v>40</v>
      </c>
      <c r="H69" s="134" t="s">
        <v>719</v>
      </c>
      <c r="I69" s="134"/>
      <c r="J69" s="121">
        <v>0</v>
      </c>
      <c r="K69" s="64">
        <v>10</v>
      </c>
      <c r="L69" s="123" t="s">
        <v>141</v>
      </c>
      <c r="M69" s="123">
        <v>0</v>
      </c>
      <c r="N69" s="123">
        <v>3</v>
      </c>
      <c r="O69" s="75">
        <f t="shared" si="12"/>
        <v>23</v>
      </c>
      <c r="P69" s="75">
        <f t="shared" si="13"/>
        <v>38</v>
      </c>
      <c r="Q69" s="75">
        <v>250</v>
      </c>
      <c r="R69" s="123">
        <v>4</v>
      </c>
      <c r="S69" s="124">
        <v>15000</v>
      </c>
      <c r="T69" s="124">
        <v>20000</v>
      </c>
      <c r="U69" s="124">
        <v>10</v>
      </c>
      <c r="V69" s="76">
        <f>出怪成长!D113</f>
        <v>0</v>
      </c>
      <c r="W69" s="125" t="s">
        <v>707</v>
      </c>
      <c r="X69" s="123">
        <v>0</v>
      </c>
      <c r="Y69" s="123" t="s">
        <v>708</v>
      </c>
      <c r="Z69" s="125" t="s">
        <v>720</v>
      </c>
      <c r="AA69" s="123">
        <v>0</v>
      </c>
      <c r="AB69" s="116">
        <v>0</v>
      </c>
      <c r="AC69" s="123" t="s">
        <v>710</v>
      </c>
      <c r="AD69" s="123">
        <v>0</v>
      </c>
      <c r="AE69" s="123" t="str">
        <f t="shared" si="18"/>
        <v>Lv3</v>
      </c>
      <c r="AF69" s="75">
        <v>0</v>
      </c>
      <c r="AG69" s="75">
        <v>0</v>
      </c>
      <c r="AH69" s="70" t="s">
        <v>721</v>
      </c>
      <c r="AI69" s="123">
        <v>0</v>
      </c>
      <c r="AJ69" s="116">
        <v>0</v>
      </c>
      <c r="AK69" s="123">
        <v>0</v>
      </c>
      <c r="AL69" s="123" t="s">
        <v>641</v>
      </c>
      <c r="AM69" s="123" t="s">
        <v>712</v>
      </c>
      <c r="AN69" s="123" t="s">
        <v>713</v>
      </c>
      <c r="AO69" s="75">
        <v>0</v>
      </c>
      <c r="AP69" s="123">
        <v>8</v>
      </c>
      <c r="AQ69" s="123">
        <v>80</v>
      </c>
      <c r="AR69" s="123" t="s">
        <v>411</v>
      </c>
      <c r="AS69" s="123" t="s">
        <v>722</v>
      </c>
      <c r="AT69" s="76">
        <v>0</v>
      </c>
      <c r="AU69" s="123">
        <v>4</v>
      </c>
      <c r="AV69" s="70" t="s">
        <v>141</v>
      </c>
      <c r="AW69" s="123" t="s">
        <v>141</v>
      </c>
      <c r="AX69" s="60">
        <v>1</v>
      </c>
      <c r="AZ69" s="135">
        <f t="shared" si="21"/>
        <v>1002</v>
      </c>
      <c r="BA69" s="60">
        <f t="shared" si="22"/>
        <v>1002</v>
      </c>
    </row>
    <row r="70" s="60" customFormat="1" spans="1:55">
      <c r="A70" s="133">
        <v>504</v>
      </c>
      <c r="B70" s="133">
        <v>4</v>
      </c>
      <c r="C70" s="121" t="s">
        <v>704</v>
      </c>
      <c r="D70" s="133" t="s">
        <v>705</v>
      </c>
      <c r="E70" s="133">
        <v>505</v>
      </c>
      <c r="F70" s="121">
        <v>25</v>
      </c>
      <c r="G70" s="71">
        <f t="shared" si="23"/>
        <v>45</v>
      </c>
      <c r="H70" s="134" t="s">
        <v>723</v>
      </c>
      <c r="I70" s="134"/>
      <c r="J70" s="121">
        <v>0</v>
      </c>
      <c r="K70" s="64">
        <v>10</v>
      </c>
      <c r="L70" s="123" t="s">
        <v>141</v>
      </c>
      <c r="M70" s="123">
        <v>0</v>
      </c>
      <c r="N70" s="123">
        <v>4</v>
      </c>
      <c r="O70" s="75">
        <f t="shared" si="12"/>
        <v>29</v>
      </c>
      <c r="P70" s="75">
        <f t="shared" si="13"/>
        <v>44</v>
      </c>
      <c r="Q70" s="75">
        <v>250</v>
      </c>
      <c r="R70" s="123">
        <v>4</v>
      </c>
      <c r="S70" s="124">
        <v>15000</v>
      </c>
      <c r="T70" s="124">
        <v>20000</v>
      </c>
      <c r="U70" s="124">
        <v>10</v>
      </c>
      <c r="V70" s="76">
        <f>出怪成长!D114</f>
        <v>0</v>
      </c>
      <c r="W70" s="125" t="s">
        <v>707</v>
      </c>
      <c r="X70" s="123">
        <v>0</v>
      </c>
      <c r="Y70" s="123" t="s">
        <v>708</v>
      </c>
      <c r="Z70" s="125" t="s">
        <v>724</v>
      </c>
      <c r="AA70" s="123">
        <v>0</v>
      </c>
      <c r="AB70" s="116">
        <v>0</v>
      </c>
      <c r="AC70" s="123" t="s">
        <v>710</v>
      </c>
      <c r="AD70" s="123">
        <v>0</v>
      </c>
      <c r="AE70" s="123" t="str">
        <f t="shared" si="18"/>
        <v>Lv4</v>
      </c>
      <c r="AF70" s="75">
        <v>0</v>
      </c>
      <c r="AG70" s="75">
        <v>0</v>
      </c>
      <c r="AH70" s="70" t="s">
        <v>725</v>
      </c>
      <c r="AI70" s="123">
        <v>0</v>
      </c>
      <c r="AJ70" s="116">
        <v>0</v>
      </c>
      <c r="AK70" s="123">
        <v>0</v>
      </c>
      <c r="AL70" s="123" t="s">
        <v>641</v>
      </c>
      <c r="AM70" s="123" t="s">
        <v>712</v>
      </c>
      <c r="AN70" s="123" t="s">
        <v>713</v>
      </c>
      <c r="AO70" s="75">
        <v>0</v>
      </c>
      <c r="AP70" s="123">
        <v>14</v>
      </c>
      <c r="AQ70" s="123">
        <v>140</v>
      </c>
      <c r="AR70" s="123" t="s">
        <v>512</v>
      </c>
      <c r="AS70" s="123" t="s">
        <v>659</v>
      </c>
      <c r="AT70" s="76">
        <v>0</v>
      </c>
      <c r="AU70" s="123">
        <v>4</v>
      </c>
      <c r="AV70" s="70" t="s">
        <v>141</v>
      </c>
      <c r="AW70" s="123" t="s">
        <v>275</v>
      </c>
      <c r="AX70" s="60">
        <v>2</v>
      </c>
      <c r="AZ70" s="135">
        <f t="shared" si="21"/>
        <v>2003</v>
      </c>
      <c r="BA70" s="60">
        <f t="shared" si="22"/>
        <v>2003</v>
      </c>
    </row>
    <row r="71" s="60" customFormat="1" spans="1:55">
      <c r="A71" s="133">
        <v>505</v>
      </c>
      <c r="B71" s="133">
        <v>4</v>
      </c>
      <c r="C71" s="121" t="s">
        <v>704</v>
      </c>
      <c r="D71" s="133" t="s">
        <v>705</v>
      </c>
      <c r="E71" s="133">
        <v>506</v>
      </c>
      <c r="F71" s="121">
        <v>30</v>
      </c>
      <c r="G71" s="71">
        <f t="shared" si="23"/>
        <v>50</v>
      </c>
      <c r="H71" s="134" t="s">
        <v>726</v>
      </c>
      <c r="I71" s="134"/>
      <c r="J71" s="121">
        <v>0</v>
      </c>
      <c r="K71" s="64">
        <v>10</v>
      </c>
      <c r="L71" s="123" t="s">
        <v>141</v>
      </c>
      <c r="M71" s="123">
        <v>0</v>
      </c>
      <c r="N71" s="123">
        <v>5</v>
      </c>
      <c r="O71" s="75">
        <f t="shared" si="12"/>
        <v>35</v>
      </c>
      <c r="P71" s="75">
        <f t="shared" si="13"/>
        <v>50</v>
      </c>
      <c r="Q71" s="75">
        <v>250</v>
      </c>
      <c r="R71" s="123">
        <v>5</v>
      </c>
      <c r="S71" s="124">
        <v>15000</v>
      </c>
      <c r="T71" s="124">
        <v>20000</v>
      </c>
      <c r="U71" s="124">
        <v>10</v>
      </c>
      <c r="V71" s="76">
        <f>出怪成长!D115</f>
        <v>0</v>
      </c>
      <c r="W71" s="125" t="s">
        <v>707</v>
      </c>
      <c r="X71" s="123">
        <v>0</v>
      </c>
      <c r="Y71" s="123" t="s">
        <v>708</v>
      </c>
      <c r="Z71" s="125" t="s">
        <v>727</v>
      </c>
      <c r="AA71" s="123">
        <v>0</v>
      </c>
      <c r="AB71" s="116">
        <v>0</v>
      </c>
      <c r="AC71" s="123" t="s">
        <v>710</v>
      </c>
      <c r="AD71" s="123">
        <v>0</v>
      </c>
      <c r="AE71" s="123" t="str">
        <f t="shared" si="18"/>
        <v>Lv5</v>
      </c>
      <c r="AF71" s="75">
        <v>0</v>
      </c>
      <c r="AG71" s="75">
        <v>0</v>
      </c>
      <c r="AH71" s="70" t="s">
        <v>728</v>
      </c>
      <c r="AI71" s="123">
        <v>0</v>
      </c>
      <c r="AJ71" s="116">
        <v>0</v>
      </c>
      <c r="AK71" s="123">
        <v>0</v>
      </c>
      <c r="AL71" s="123" t="s">
        <v>641</v>
      </c>
      <c r="AM71" s="123" t="s">
        <v>712</v>
      </c>
      <c r="AN71" s="123" t="s">
        <v>713</v>
      </c>
      <c r="AO71" s="75">
        <v>0</v>
      </c>
      <c r="AP71" s="123">
        <v>18</v>
      </c>
      <c r="AQ71" s="123">
        <v>180</v>
      </c>
      <c r="AR71" s="123" t="s">
        <v>664</v>
      </c>
      <c r="AS71" s="123" t="s">
        <v>729</v>
      </c>
      <c r="AT71" s="76">
        <v>0</v>
      </c>
      <c r="AU71" s="123">
        <v>5</v>
      </c>
      <c r="AV71" s="70" t="s">
        <v>141</v>
      </c>
      <c r="AW71" s="123" t="s">
        <v>677</v>
      </c>
      <c r="AX71" s="60">
        <v>5</v>
      </c>
      <c r="AZ71" s="135">
        <f t="shared" si="21"/>
        <v>5004</v>
      </c>
      <c r="BA71" s="60">
        <f t="shared" si="22"/>
        <v>5004</v>
      </c>
    </row>
    <row r="72" s="60" customFormat="1" spans="1:55">
      <c r="A72" s="133">
        <v>506</v>
      </c>
      <c r="B72" s="133">
        <v>4</v>
      </c>
      <c r="C72" s="121" t="s">
        <v>704</v>
      </c>
      <c r="D72" s="133" t="s">
        <v>705</v>
      </c>
      <c r="E72" s="133">
        <v>507</v>
      </c>
      <c r="F72" s="121">
        <v>35</v>
      </c>
      <c r="G72" s="71">
        <f t="shared" si="23"/>
        <v>55</v>
      </c>
      <c r="H72" s="134" t="s">
        <v>730</v>
      </c>
      <c r="I72" s="134"/>
      <c r="J72" s="121">
        <v>0</v>
      </c>
      <c r="K72" s="64">
        <v>10</v>
      </c>
      <c r="L72" s="123" t="s">
        <v>141</v>
      </c>
      <c r="M72" s="123">
        <v>0</v>
      </c>
      <c r="N72" s="123">
        <v>6</v>
      </c>
      <c r="O72" s="75">
        <f t="shared" si="12"/>
        <v>41</v>
      </c>
      <c r="P72" s="75">
        <f t="shared" si="13"/>
        <v>56</v>
      </c>
      <c r="Q72" s="75">
        <v>250</v>
      </c>
      <c r="R72" s="123">
        <v>5</v>
      </c>
      <c r="S72" s="124">
        <v>15000</v>
      </c>
      <c r="T72" s="124">
        <v>20000</v>
      </c>
      <c r="U72" s="124">
        <v>10</v>
      </c>
      <c r="V72" s="76">
        <f>出怪成长!D116</f>
        <v>0</v>
      </c>
      <c r="W72" s="125" t="s">
        <v>707</v>
      </c>
      <c r="X72" s="123">
        <v>0</v>
      </c>
      <c r="Y72" s="123" t="s">
        <v>708</v>
      </c>
      <c r="Z72" s="125" t="s">
        <v>731</v>
      </c>
      <c r="AA72" s="123">
        <v>0</v>
      </c>
      <c r="AB72" s="116">
        <v>0</v>
      </c>
      <c r="AC72" s="123" t="s">
        <v>710</v>
      </c>
      <c r="AD72" s="123">
        <v>0</v>
      </c>
      <c r="AE72" s="123" t="str">
        <f t="shared" si="18"/>
        <v>Lv6</v>
      </c>
      <c r="AF72" s="75">
        <v>0</v>
      </c>
      <c r="AG72" s="75">
        <v>0</v>
      </c>
      <c r="AH72" s="70" t="s">
        <v>732</v>
      </c>
      <c r="AI72" s="123">
        <v>0</v>
      </c>
      <c r="AJ72" s="116">
        <v>0</v>
      </c>
      <c r="AK72" s="123">
        <v>0</v>
      </c>
      <c r="AL72" s="123" t="s">
        <v>641</v>
      </c>
      <c r="AM72" s="123" t="s">
        <v>712</v>
      </c>
      <c r="AN72" s="123" t="s">
        <v>713</v>
      </c>
      <c r="AO72" s="75">
        <v>0</v>
      </c>
      <c r="AP72" s="123">
        <v>22</v>
      </c>
      <c r="AQ72" s="123">
        <v>220</v>
      </c>
      <c r="AR72" s="123" t="s">
        <v>670</v>
      </c>
      <c r="AS72" s="123" t="s">
        <v>671</v>
      </c>
      <c r="AT72" s="76">
        <v>0</v>
      </c>
      <c r="AU72" s="123">
        <v>5</v>
      </c>
      <c r="AV72" s="70" t="s">
        <v>141</v>
      </c>
      <c r="AW72" s="123" t="s">
        <v>481</v>
      </c>
      <c r="AX72" s="60">
        <v>1</v>
      </c>
      <c r="AZ72" s="135">
        <f t="shared" si="21"/>
        <v>1004</v>
      </c>
      <c r="BA72" s="60">
        <f t="shared" si="22"/>
        <v>1004</v>
      </c>
    </row>
    <row r="73" s="60" customFormat="1" spans="1:55">
      <c r="A73" s="133">
        <v>507</v>
      </c>
      <c r="B73" s="133">
        <v>4</v>
      </c>
      <c r="C73" s="121" t="s">
        <v>704</v>
      </c>
      <c r="D73" s="133" t="s">
        <v>705</v>
      </c>
      <c r="E73" s="133">
        <v>508</v>
      </c>
      <c r="F73" s="121">
        <v>40</v>
      </c>
      <c r="G73" s="71">
        <f t="shared" si="23"/>
        <v>60</v>
      </c>
      <c r="H73" s="134" t="s">
        <v>733</v>
      </c>
      <c r="I73" s="134"/>
      <c r="J73" s="121">
        <v>0</v>
      </c>
      <c r="K73" s="64">
        <v>10</v>
      </c>
      <c r="L73" s="123" t="s">
        <v>141</v>
      </c>
      <c r="M73" s="123">
        <v>0</v>
      </c>
      <c r="N73" s="123">
        <v>7</v>
      </c>
      <c r="O73" s="75">
        <f t="shared" si="12"/>
        <v>47</v>
      </c>
      <c r="P73" s="75">
        <f t="shared" si="13"/>
        <v>62</v>
      </c>
      <c r="Q73" s="75">
        <v>250</v>
      </c>
      <c r="R73" s="123">
        <v>6</v>
      </c>
      <c r="S73" s="124">
        <v>15000</v>
      </c>
      <c r="T73" s="124">
        <v>20000</v>
      </c>
      <c r="U73" s="124">
        <v>10</v>
      </c>
      <c r="V73" s="76">
        <f>出怪成长!D117</f>
        <v>0</v>
      </c>
      <c r="W73" s="125" t="s">
        <v>707</v>
      </c>
      <c r="X73" s="123">
        <v>0</v>
      </c>
      <c r="Y73" s="123" t="s">
        <v>708</v>
      </c>
      <c r="Z73" s="125" t="s">
        <v>734</v>
      </c>
      <c r="AA73" s="123">
        <v>0</v>
      </c>
      <c r="AB73" s="116">
        <v>0</v>
      </c>
      <c r="AC73" s="123" t="s">
        <v>710</v>
      </c>
      <c r="AD73" s="123">
        <v>0</v>
      </c>
      <c r="AE73" s="123" t="str">
        <f t="shared" si="18"/>
        <v>Lv7</v>
      </c>
      <c r="AF73" s="75">
        <v>0</v>
      </c>
      <c r="AG73" s="75">
        <v>0</v>
      </c>
      <c r="AH73" s="70" t="s">
        <v>735</v>
      </c>
      <c r="AI73" s="123">
        <v>0</v>
      </c>
      <c r="AJ73" s="116">
        <v>0</v>
      </c>
      <c r="AK73" s="123">
        <v>0</v>
      </c>
      <c r="AL73" s="123" t="s">
        <v>641</v>
      </c>
      <c r="AM73" s="123" t="s">
        <v>712</v>
      </c>
      <c r="AN73" s="123" t="s">
        <v>713</v>
      </c>
      <c r="AO73" s="75">
        <v>0</v>
      </c>
      <c r="AP73" s="123">
        <v>26</v>
      </c>
      <c r="AQ73" s="123">
        <v>260</v>
      </c>
      <c r="AR73" s="123" t="s">
        <v>675</v>
      </c>
      <c r="AS73" s="123" t="s">
        <v>736</v>
      </c>
      <c r="AT73" s="76">
        <v>0</v>
      </c>
      <c r="AU73" s="123">
        <v>6</v>
      </c>
      <c r="AV73" s="70" t="s">
        <v>141</v>
      </c>
      <c r="AW73" s="123" t="s">
        <v>666</v>
      </c>
      <c r="AX73" s="60">
        <v>1</v>
      </c>
      <c r="AZ73" s="135">
        <f t="shared" si="21"/>
        <v>1105</v>
      </c>
      <c r="BA73" s="60">
        <f t="shared" si="22"/>
        <v>1105</v>
      </c>
    </row>
    <row r="74" s="60" customFormat="1" spans="1:55">
      <c r="A74" s="133">
        <v>508</v>
      </c>
      <c r="B74" s="133">
        <v>4</v>
      </c>
      <c r="C74" s="121" t="s">
        <v>704</v>
      </c>
      <c r="D74" s="133" t="s">
        <v>705</v>
      </c>
      <c r="E74" s="133">
        <v>509</v>
      </c>
      <c r="F74" s="121">
        <v>45</v>
      </c>
      <c r="G74" s="71">
        <f t="shared" si="23"/>
        <v>65</v>
      </c>
      <c r="H74" s="134" t="s">
        <v>737</v>
      </c>
      <c r="I74" s="134"/>
      <c r="J74" s="121">
        <v>0</v>
      </c>
      <c r="K74" s="64">
        <v>10</v>
      </c>
      <c r="L74" s="123" t="s">
        <v>141</v>
      </c>
      <c r="M74" s="123">
        <v>0</v>
      </c>
      <c r="N74" s="123">
        <v>8</v>
      </c>
      <c r="O74" s="75">
        <f t="shared" si="12"/>
        <v>53</v>
      </c>
      <c r="P74" s="75">
        <f t="shared" si="13"/>
        <v>68</v>
      </c>
      <c r="Q74" s="75">
        <v>250</v>
      </c>
      <c r="R74" s="123">
        <v>6</v>
      </c>
      <c r="S74" s="124">
        <v>15000</v>
      </c>
      <c r="T74" s="124">
        <v>20000</v>
      </c>
      <c r="U74" s="124">
        <v>10</v>
      </c>
      <c r="V74" s="76">
        <f>出怪成长!D118</f>
        <v>0</v>
      </c>
      <c r="W74" s="125" t="s">
        <v>707</v>
      </c>
      <c r="X74" s="123">
        <v>0</v>
      </c>
      <c r="Y74" s="123" t="s">
        <v>708</v>
      </c>
      <c r="Z74" s="125" t="s">
        <v>738</v>
      </c>
      <c r="AA74" s="123">
        <v>0</v>
      </c>
      <c r="AB74" s="116">
        <v>0</v>
      </c>
      <c r="AC74" s="123" t="s">
        <v>710</v>
      </c>
      <c r="AD74" s="123">
        <v>0</v>
      </c>
      <c r="AE74" s="123" t="str">
        <f t="shared" si="18"/>
        <v>Lv8</v>
      </c>
      <c r="AF74" s="75">
        <v>0</v>
      </c>
      <c r="AG74" s="75">
        <v>0</v>
      </c>
      <c r="AH74" s="70" t="s">
        <v>739</v>
      </c>
      <c r="AI74" s="123">
        <v>0</v>
      </c>
      <c r="AJ74" s="116">
        <v>0</v>
      </c>
      <c r="AK74" s="123">
        <v>0</v>
      </c>
      <c r="AL74" s="123" t="s">
        <v>641</v>
      </c>
      <c r="AM74" s="123" t="s">
        <v>712</v>
      </c>
      <c r="AN74" s="123" t="s">
        <v>713</v>
      </c>
      <c r="AO74" s="75">
        <v>0</v>
      </c>
      <c r="AP74" s="123">
        <v>30</v>
      </c>
      <c r="AQ74" s="123">
        <v>300</v>
      </c>
      <c r="AR74" s="123" t="s">
        <v>681</v>
      </c>
      <c r="AS74" s="123" t="s">
        <v>740</v>
      </c>
      <c r="AT74" s="76">
        <v>0</v>
      </c>
      <c r="AU74" s="123">
        <v>6</v>
      </c>
      <c r="AV74" s="70" t="s">
        <v>141</v>
      </c>
      <c r="AW74" s="123" t="s">
        <v>651</v>
      </c>
      <c r="AX74" s="60">
        <v>5</v>
      </c>
      <c r="AZ74" s="135">
        <f t="shared" si="21"/>
        <v>5106</v>
      </c>
      <c r="BA74" s="60">
        <f t="shared" si="22"/>
        <v>5106</v>
      </c>
    </row>
    <row r="75" s="60" customFormat="1" spans="1:55">
      <c r="A75" s="133">
        <v>509</v>
      </c>
      <c r="B75" s="133">
        <v>4</v>
      </c>
      <c r="C75" s="121" t="s">
        <v>704</v>
      </c>
      <c r="D75" s="133" t="s">
        <v>705</v>
      </c>
      <c r="E75" s="133">
        <v>510</v>
      </c>
      <c r="F75" s="121">
        <v>50</v>
      </c>
      <c r="G75" s="71">
        <f t="shared" si="23"/>
        <v>70</v>
      </c>
      <c r="H75" s="134" t="s">
        <v>741</v>
      </c>
      <c r="I75" s="134"/>
      <c r="J75" s="121">
        <v>0</v>
      </c>
      <c r="K75" s="64">
        <v>10</v>
      </c>
      <c r="L75" s="123" t="s">
        <v>141</v>
      </c>
      <c r="M75" s="123">
        <v>0</v>
      </c>
      <c r="N75" s="123">
        <v>9</v>
      </c>
      <c r="O75" s="75">
        <f t="shared" si="12"/>
        <v>59</v>
      </c>
      <c r="P75" s="75">
        <f t="shared" si="13"/>
        <v>74</v>
      </c>
      <c r="Q75" s="75">
        <v>250</v>
      </c>
      <c r="R75" s="123">
        <v>7</v>
      </c>
      <c r="S75" s="124">
        <v>15000</v>
      </c>
      <c r="T75" s="124">
        <v>20000</v>
      </c>
      <c r="U75" s="124">
        <v>10</v>
      </c>
      <c r="V75" s="76">
        <f>出怪成长!D119</f>
        <v>0</v>
      </c>
      <c r="W75" s="125" t="s">
        <v>707</v>
      </c>
      <c r="X75" s="123">
        <v>0</v>
      </c>
      <c r="Y75" s="123" t="s">
        <v>708</v>
      </c>
      <c r="Z75" s="125" t="s">
        <v>742</v>
      </c>
      <c r="AA75" s="123">
        <v>0</v>
      </c>
      <c r="AB75" s="116">
        <v>0</v>
      </c>
      <c r="AC75" s="123" t="s">
        <v>710</v>
      </c>
      <c r="AD75" s="123">
        <v>0</v>
      </c>
      <c r="AE75" s="123" t="str">
        <f t="shared" si="18"/>
        <v>Lv9</v>
      </c>
      <c r="AF75" s="75">
        <v>0</v>
      </c>
      <c r="AG75" s="75">
        <v>0</v>
      </c>
      <c r="AH75" s="70" t="s">
        <v>743</v>
      </c>
      <c r="AI75" s="123">
        <v>0</v>
      </c>
      <c r="AJ75" s="116">
        <v>0</v>
      </c>
      <c r="AK75" s="123">
        <v>0</v>
      </c>
      <c r="AL75" s="123" t="s">
        <v>641</v>
      </c>
      <c r="AM75" s="123" t="s">
        <v>712</v>
      </c>
      <c r="AN75" s="123" t="s">
        <v>713</v>
      </c>
      <c r="AO75" s="75">
        <v>0</v>
      </c>
      <c r="AP75" s="123">
        <v>35</v>
      </c>
      <c r="AQ75" s="123">
        <v>350</v>
      </c>
      <c r="AR75" s="123" t="s">
        <v>686</v>
      </c>
      <c r="AS75" s="123" t="s">
        <v>744</v>
      </c>
      <c r="AT75" s="76">
        <v>0</v>
      </c>
      <c r="AU75" s="123">
        <v>7</v>
      </c>
      <c r="AV75" s="70" t="s">
        <v>141</v>
      </c>
      <c r="AW75" s="123" t="s">
        <v>660</v>
      </c>
      <c r="AX75" s="60">
        <v>4</v>
      </c>
      <c r="AZ75" s="135">
        <f t="shared" si="21"/>
        <v>4106</v>
      </c>
      <c r="BA75" s="60">
        <f t="shared" si="22"/>
        <v>4106</v>
      </c>
    </row>
    <row r="76" s="60" customFormat="1" spans="1:55">
      <c r="A76" s="133">
        <v>510</v>
      </c>
      <c r="B76" s="133">
        <v>4</v>
      </c>
      <c r="C76" s="121" t="s">
        <v>704</v>
      </c>
      <c r="D76" s="133" t="s">
        <v>705</v>
      </c>
      <c r="E76" s="133">
        <v>511</v>
      </c>
      <c r="F76" s="121">
        <v>55</v>
      </c>
      <c r="G76" s="71">
        <f t="shared" si="23"/>
        <v>75</v>
      </c>
      <c r="H76" s="134" t="s">
        <v>745</v>
      </c>
      <c r="I76" s="134"/>
      <c r="J76" s="121">
        <v>0</v>
      </c>
      <c r="K76" s="64">
        <v>10</v>
      </c>
      <c r="L76" s="123" t="s">
        <v>141</v>
      </c>
      <c r="M76" s="123">
        <v>0</v>
      </c>
      <c r="N76" s="123">
        <v>10</v>
      </c>
      <c r="O76" s="75">
        <f t="shared" si="12"/>
        <v>65</v>
      </c>
      <c r="P76" s="75">
        <f t="shared" si="13"/>
        <v>80</v>
      </c>
      <c r="Q76" s="75">
        <v>250</v>
      </c>
      <c r="R76" s="123">
        <v>7</v>
      </c>
      <c r="S76" s="124">
        <v>15000</v>
      </c>
      <c r="T76" s="124">
        <v>20000</v>
      </c>
      <c r="U76" s="124">
        <v>10</v>
      </c>
      <c r="V76" s="76">
        <f>出怪成长!D120</f>
        <v>0</v>
      </c>
      <c r="W76" s="125" t="s">
        <v>707</v>
      </c>
      <c r="X76" s="123">
        <v>0</v>
      </c>
      <c r="Y76" s="123" t="s">
        <v>708</v>
      </c>
      <c r="Z76" s="125" t="s">
        <v>746</v>
      </c>
      <c r="AA76" s="123">
        <v>0</v>
      </c>
      <c r="AB76" s="116">
        <v>0</v>
      </c>
      <c r="AC76" s="123" t="s">
        <v>710</v>
      </c>
      <c r="AD76" s="123">
        <v>0</v>
      </c>
      <c r="AE76" s="123" t="str">
        <f t="shared" si="18"/>
        <v>Lv10</v>
      </c>
      <c r="AF76" s="75">
        <v>0</v>
      </c>
      <c r="AG76" s="75">
        <v>0</v>
      </c>
      <c r="AH76" s="70" t="s">
        <v>747</v>
      </c>
      <c r="AI76" s="123">
        <v>0</v>
      </c>
      <c r="AJ76" s="116">
        <v>0</v>
      </c>
      <c r="AK76" s="123">
        <v>0</v>
      </c>
      <c r="AL76" s="123" t="s">
        <v>641</v>
      </c>
      <c r="AM76" s="123" t="s">
        <v>712</v>
      </c>
      <c r="AN76" s="123" t="s">
        <v>713</v>
      </c>
      <c r="AO76" s="75">
        <v>0</v>
      </c>
      <c r="AP76" s="123">
        <v>40</v>
      </c>
      <c r="AQ76" s="123">
        <v>400</v>
      </c>
      <c r="AR76" s="123" t="s">
        <v>691</v>
      </c>
      <c r="AS76" s="123" t="s">
        <v>748</v>
      </c>
      <c r="AT76" s="76">
        <v>0</v>
      </c>
      <c r="AU76" s="123">
        <v>7</v>
      </c>
      <c r="AV76" s="70" t="s">
        <v>141</v>
      </c>
      <c r="AW76" s="123" t="s">
        <v>141</v>
      </c>
      <c r="AX76" s="60">
        <v>5</v>
      </c>
      <c r="AZ76" s="135">
        <f t="shared" si="21"/>
        <v>5107</v>
      </c>
      <c r="BA76" s="60">
        <f t="shared" si="22"/>
        <v>5107</v>
      </c>
    </row>
    <row r="77" s="60" customFormat="1" spans="1:55">
      <c r="A77" s="133">
        <v>511</v>
      </c>
      <c r="B77" s="133">
        <v>4</v>
      </c>
      <c r="C77" s="121" t="s">
        <v>704</v>
      </c>
      <c r="D77" s="133" t="s">
        <v>705</v>
      </c>
      <c r="E77" s="133">
        <v>512</v>
      </c>
      <c r="F77" s="121">
        <v>60</v>
      </c>
      <c r="G77" s="71">
        <f t="shared" si="23"/>
        <v>80</v>
      </c>
      <c r="H77" s="134" t="s">
        <v>749</v>
      </c>
      <c r="I77" s="134"/>
      <c r="J77" s="121">
        <v>0</v>
      </c>
      <c r="K77" s="64">
        <v>10</v>
      </c>
      <c r="L77" s="123" t="s">
        <v>141</v>
      </c>
      <c r="M77" s="123">
        <v>0</v>
      </c>
      <c r="N77" s="123">
        <v>11</v>
      </c>
      <c r="O77" s="75">
        <f t="shared" si="12"/>
        <v>71</v>
      </c>
      <c r="P77" s="75">
        <f t="shared" si="13"/>
        <v>86</v>
      </c>
      <c r="Q77" s="75">
        <v>250</v>
      </c>
      <c r="R77" s="123">
        <v>8</v>
      </c>
      <c r="S77" s="124">
        <v>15000</v>
      </c>
      <c r="T77" s="124">
        <v>20000</v>
      </c>
      <c r="U77" s="124">
        <v>10</v>
      </c>
      <c r="V77" s="76">
        <f>出怪成长!D121</f>
        <v>0</v>
      </c>
      <c r="W77" s="125" t="s">
        <v>707</v>
      </c>
      <c r="X77" s="123">
        <v>0</v>
      </c>
      <c r="Y77" s="123" t="s">
        <v>708</v>
      </c>
      <c r="Z77" s="125" t="s">
        <v>750</v>
      </c>
      <c r="AA77" s="123">
        <v>0</v>
      </c>
      <c r="AB77" s="116">
        <v>0</v>
      </c>
      <c r="AC77" s="123" t="s">
        <v>710</v>
      </c>
      <c r="AD77" s="123">
        <v>0</v>
      </c>
      <c r="AE77" s="123" t="str">
        <f t="shared" si="18"/>
        <v>Lv11</v>
      </c>
      <c r="AF77" s="75">
        <v>0</v>
      </c>
      <c r="AG77" s="75">
        <v>0</v>
      </c>
      <c r="AH77" s="70" t="s">
        <v>751</v>
      </c>
      <c r="AI77" s="123">
        <v>0</v>
      </c>
      <c r="AJ77" s="116">
        <v>0</v>
      </c>
      <c r="AK77" s="123">
        <v>0</v>
      </c>
      <c r="AL77" s="123" t="s">
        <v>641</v>
      </c>
      <c r="AM77" s="123" t="s">
        <v>712</v>
      </c>
      <c r="AN77" s="123" t="s">
        <v>713</v>
      </c>
      <c r="AO77" s="75">
        <v>0</v>
      </c>
      <c r="AP77" s="123">
        <v>45</v>
      </c>
      <c r="AQ77" s="123">
        <v>450</v>
      </c>
      <c r="AR77" s="123" t="s">
        <v>696</v>
      </c>
      <c r="AS77" s="123" t="s">
        <v>752</v>
      </c>
      <c r="AT77" s="76">
        <v>0</v>
      </c>
      <c r="AU77" s="123">
        <v>7</v>
      </c>
      <c r="AV77" s="70" t="s">
        <v>141</v>
      </c>
      <c r="AW77" s="123" t="s">
        <v>141</v>
      </c>
      <c r="AX77" s="60">
        <v>5</v>
      </c>
      <c r="AZ77" s="135">
        <f t="shared" si="21"/>
        <v>5108</v>
      </c>
      <c r="BA77" s="60">
        <f t="shared" si="22"/>
        <v>5108</v>
      </c>
    </row>
    <row r="78" s="60" customFormat="1" spans="1:55">
      <c r="A78" s="133">
        <v>512</v>
      </c>
      <c r="B78" s="133">
        <v>4</v>
      </c>
      <c r="C78" s="121" t="s">
        <v>704</v>
      </c>
      <c r="D78" s="133" t="s">
        <v>705</v>
      </c>
      <c r="E78" s="133">
        <v>513</v>
      </c>
      <c r="F78" s="121">
        <v>65</v>
      </c>
      <c r="G78" s="71">
        <f t="shared" si="23"/>
        <v>85</v>
      </c>
      <c r="H78" s="134" t="s">
        <v>753</v>
      </c>
      <c r="I78" s="134"/>
      <c r="J78" s="121">
        <v>0</v>
      </c>
      <c r="K78" s="64">
        <v>10</v>
      </c>
      <c r="L78" s="123" t="s">
        <v>141</v>
      </c>
      <c r="M78" s="123">
        <v>0</v>
      </c>
      <c r="N78" s="123">
        <v>12</v>
      </c>
      <c r="O78" s="75">
        <f t="shared" si="12"/>
        <v>77</v>
      </c>
      <c r="P78" s="75">
        <f t="shared" si="13"/>
        <v>92</v>
      </c>
      <c r="Q78" s="75">
        <v>250</v>
      </c>
      <c r="R78" s="123">
        <v>9</v>
      </c>
      <c r="S78" s="124">
        <v>15000</v>
      </c>
      <c r="T78" s="124">
        <v>20000</v>
      </c>
      <c r="U78" s="124">
        <v>10</v>
      </c>
      <c r="V78" s="76">
        <f>出怪成长!D122</f>
        <v>0</v>
      </c>
      <c r="W78" s="125" t="s">
        <v>707</v>
      </c>
      <c r="X78" s="123">
        <v>0</v>
      </c>
      <c r="Y78" s="123" t="s">
        <v>708</v>
      </c>
      <c r="Z78" s="125" t="s">
        <v>754</v>
      </c>
      <c r="AA78" s="123">
        <v>0</v>
      </c>
      <c r="AB78" s="116">
        <v>0</v>
      </c>
      <c r="AC78" s="123" t="s">
        <v>710</v>
      </c>
      <c r="AD78" s="123">
        <v>0</v>
      </c>
      <c r="AE78" s="123" t="str">
        <f t="shared" si="18"/>
        <v>Lv12</v>
      </c>
      <c r="AF78" s="75">
        <v>0</v>
      </c>
      <c r="AG78" s="75">
        <v>0</v>
      </c>
      <c r="AH78" s="70" t="s">
        <v>755</v>
      </c>
      <c r="AI78" s="123">
        <v>0</v>
      </c>
      <c r="AJ78" s="116">
        <v>0</v>
      </c>
      <c r="AK78" s="123">
        <v>0</v>
      </c>
      <c r="AL78" s="123" t="s">
        <v>641</v>
      </c>
      <c r="AM78" s="123" t="s">
        <v>712</v>
      </c>
      <c r="AN78" s="123" t="s">
        <v>713</v>
      </c>
      <c r="AO78" s="75">
        <v>0</v>
      </c>
      <c r="AP78" s="123">
        <v>50</v>
      </c>
      <c r="AQ78" s="123">
        <v>500</v>
      </c>
      <c r="AR78" s="123" t="s">
        <v>756</v>
      </c>
      <c r="AS78" s="123" t="s">
        <v>757</v>
      </c>
      <c r="AT78" s="76">
        <v>0</v>
      </c>
      <c r="AU78" s="123">
        <v>7</v>
      </c>
      <c r="AV78" s="70" t="s">
        <v>141</v>
      </c>
      <c r="AW78" s="123" t="s">
        <v>141</v>
      </c>
      <c r="AX78" s="60">
        <v>5</v>
      </c>
      <c r="AZ78" s="135">
        <f t="shared" si="21"/>
        <v>5108</v>
      </c>
      <c r="BA78" s="60">
        <f t="shared" si="22"/>
        <v>5108</v>
      </c>
    </row>
    <row r="79" s="60" customFormat="1" spans="1:55">
      <c r="A79" s="133">
        <v>513</v>
      </c>
      <c r="B79" s="133">
        <v>4</v>
      </c>
      <c r="C79" s="121" t="s">
        <v>704</v>
      </c>
      <c r="D79" s="133" t="s">
        <v>705</v>
      </c>
      <c r="E79" s="133">
        <v>514</v>
      </c>
      <c r="F79" s="121">
        <v>70</v>
      </c>
      <c r="G79" s="71">
        <f t="shared" si="23"/>
        <v>90</v>
      </c>
      <c r="H79" s="134" t="s">
        <v>758</v>
      </c>
      <c r="I79" s="134"/>
      <c r="J79" s="121">
        <v>0</v>
      </c>
      <c r="K79" s="64">
        <v>10</v>
      </c>
      <c r="L79" s="123" t="s">
        <v>141</v>
      </c>
      <c r="M79" s="123">
        <v>0</v>
      </c>
      <c r="N79" s="123">
        <v>13</v>
      </c>
      <c r="O79" s="75">
        <f t="shared" si="12"/>
        <v>83</v>
      </c>
      <c r="P79" s="75">
        <f t="shared" si="13"/>
        <v>98</v>
      </c>
      <c r="Q79" s="75">
        <v>250</v>
      </c>
      <c r="R79" s="123">
        <v>10</v>
      </c>
      <c r="S79" s="124">
        <v>15000</v>
      </c>
      <c r="T79" s="124">
        <v>20000</v>
      </c>
      <c r="U79" s="124">
        <v>10</v>
      </c>
      <c r="V79" s="76">
        <f>出怪成长!D123</f>
        <v>0</v>
      </c>
      <c r="W79" s="125" t="s">
        <v>707</v>
      </c>
      <c r="X79" s="123">
        <v>0</v>
      </c>
      <c r="Y79" s="123" t="s">
        <v>708</v>
      </c>
      <c r="Z79" s="125" t="s">
        <v>759</v>
      </c>
      <c r="AA79" s="123">
        <v>0</v>
      </c>
      <c r="AB79" s="116">
        <v>0</v>
      </c>
      <c r="AC79" s="123" t="s">
        <v>710</v>
      </c>
      <c r="AD79" s="123">
        <v>0</v>
      </c>
      <c r="AE79" s="123" t="str">
        <f t="shared" si="18"/>
        <v>Lv13</v>
      </c>
      <c r="AF79" s="75">
        <v>0</v>
      </c>
      <c r="AG79" s="75">
        <v>0</v>
      </c>
      <c r="AH79" s="70" t="s">
        <v>760</v>
      </c>
      <c r="AI79" s="123">
        <v>0</v>
      </c>
      <c r="AJ79" s="116">
        <v>0</v>
      </c>
      <c r="AK79" s="123">
        <v>0</v>
      </c>
      <c r="AL79" s="123" t="s">
        <v>641</v>
      </c>
      <c r="AM79" s="123" t="s">
        <v>712</v>
      </c>
      <c r="AN79" s="123" t="s">
        <v>713</v>
      </c>
      <c r="AO79" s="75">
        <v>0</v>
      </c>
      <c r="AP79" s="123">
        <v>60</v>
      </c>
      <c r="AQ79" s="123">
        <v>600</v>
      </c>
      <c r="AR79" s="123" t="s">
        <v>761</v>
      </c>
      <c r="AS79" s="123" t="s">
        <v>762</v>
      </c>
      <c r="AT79" s="76">
        <v>0</v>
      </c>
      <c r="AU79" s="123">
        <v>7</v>
      </c>
      <c r="AV79" s="70" t="s">
        <v>141</v>
      </c>
      <c r="AW79" s="123" t="s">
        <v>141</v>
      </c>
      <c r="AX79" s="60">
        <v>5</v>
      </c>
      <c r="AZ79" s="135">
        <f t="shared" si="21"/>
        <v>5209</v>
      </c>
      <c r="BA79" s="60">
        <f t="shared" si="22"/>
        <v>5209</v>
      </c>
    </row>
    <row r="80" s="59" customFormat="1" spans="1:55">
      <c r="A80" s="130">
        <v>601</v>
      </c>
      <c r="B80" s="130">
        <v>5</v>
      </c>
      <c r="C80" s="109" t="s">
        <v>763</v>
      </c>
      <c r="D80" s="130" t="s">
        <v>764</v>
      </c>
      <c r="E80" s="130">
        <v>602</v>
      </c>
      <c r="F80" s="109">
        <v>10</v>
      </c>
      <c r="G80" s="71">
        <f t="shared" si="23"/>
        <v>30</v>
      </c>
      <c r="H80" s="131" t="s">
        <v>765</v>
      </c>
      <c r="I80" s="131"/>
      <c r="J80" s="109">
        <v>0</v>
      </c>
      <c r="K80" s="64">
        <v>10</v>
      </c>
      <c r="L80" s="111" t="s">
        <v>141</v>
      </c>
      <c r="M80" s="111">
        <v>0</v>
      </c>
      <c r="N80" s="111">
        <v>1</v>
      </c>
      <c r="O80" s="75">
        <f t="shared" si="12"/>
        <v>11</v>
      </c>
      <c r="P80" s="75">
        <f t="shared" si="13"/>
        <v>26</v>
      </c>
      <c r="Q80" s="75">
        <v>250</v>
      </c>
      <c r="R80" s="111">
        <v>3</v>
      </c>
      <c r="S80" s="112">
        <v>15000</v>
      </c>
      <c r="T80" s="112">
        <v>20000</v>
      </c>
      <c r="U80" s="112">
        <v>10</v>
      </c>
      <c r="V80" s="76">
        <f>出怪成长!D124</f>
        <v>0</v>
      </c>
      <c r="W80" s="113">
        <v>0</v>
      </c>
      <c r="X80" s="111">
        <v>0</v>
      </c>
      <c r="Y80" s="111" t="s">
        <v>766</v>
      </c>
      <c r="Z80" s="113" t="s">
        <v>662</v>
      </c>
      <c r="AA80" s="111">
        <v>0</v>
      </c>
      <c r="AB80" s="115">
        <v>0</v>
      </c>
      <c r="AC80" s="111" t="s">
        <v>710</v>
      </c>
      <c r="AD80" s="111">
        <v>0</v>
      </c>
      <c r="AE80" s="111" t="str">
        <f t="shared" si="18"/>
        <v>Lv1</v>
      </c>
      <c r="AF80" s="75">
        <v>0</v>
      </c>
      <c r="AG80" s="75">
        <v>0</v>
      </c>
      <c r="AH80" s="70" t="s">
        <v>767</v>
      </c>
      <c r="AI80" s="111">
        <v>0</v>
      </c>
      <c r="AJ80" s="115">
        <v>0</v>
      </c>
      <c r="AK80" s="111">
        <v>0</v>
      </c>
      <c r="AL80" s="111" t="s">
        <v>641</v>
      </c>
      <c r="AM80" s="111" t="s">
        <v>768</v>
      </c>
      <c r="AN80" s="111" t="s">
        <v>769</v>
      </c>
      <c r="AO80" s="75">
        <v>0</v>
      </c>
      <c r="AP80" s="111">
        <v>1</v>
      </c>
      <c r="AQ80" s="111">
        <v>10</v>
      </c>
      <c r="AR80" s="111" t="s">
        <v>770</v>
      </c>
      <c r="AS80" s="111" t="s">
        <v>771</v>
      </c>
      <c r="AT80" s="76">
        <v>0</v>
      </c>
      <c r="AU80" s="111">
        <v>3</v>
      </c>
      <c r="AV80" s="70" t="s">
        <v>141</v>
      </c>
      <c r="AW80" s="111" t="s">
        <v>651</v>
      </c>
      <c r="AX80" s="59">
        <v>2</v>
      </c>
      <c r="AZ80" s="132">
        <f t="shared" si="21"/>
        <v>2001</v>
      </c>
      <c r="BA80" s="59">
        <f t="shared" si="22"/>
        <v>2001</v>
      </c>
      <c r="BC80" s="59">
        <f t="shared" ref="BC80:BC92" si="24">1000+INT(MIN(9,(N80+1)/1.5))+INT((N80-1)/6)*100</f>
        <v>1001</v>
      </c>
    </row>
    <row r="81" s="60" customFormat="1" spans="1:55">
      <c r="A81" s="133">
        <v>602</v>
      </c>
      <c r="B81" s="133">
        <v>5</v>
      </c>
      <c r="C81" s="121" t="s">
        <v>763</v>
      </c>
      <c r="D81" s="133" t="s">
        <v>764</v>
      </c>
      <c r="E81" s="133">
        <v>603</v>
      </c>
      <c r="F81" s="121">
        <v>15</v>
      </c>
      <c r="G81" s="71">
        <f t="shared" si="23"/>
        <v>35</v>
      </c>
      <c r="H81" s="134" t="s">
        <v>772</v>
      </c>
      <c r="I81" s="134"/>
      <c r="J81" s="121">
        <v>0</v>
      </c>
      <c r="K81" s="64">
        <v>10</v>
      </c>
      <c r="L81" s="123" t="s">
        <v>141</v>
      </c>
      <c r="M81" s="123">
        <v>0</v>
      </c>
      <c r="N81" s="123">
        <v>2</v>
      </c>
      <c r="O81" s="75">
        <f t="shared" si="12"/>
        <v>17</v>
      </c>
      <c r="P81" s="75">
        <f t="shared" si="13"/>
        <v>32</v>
      </c>
      <c r="Q81" s="75">
        <v>250</v>
      </c>
      <c r="R81" s="123">
        <v>3</v>
      </c>
      <c r="S81" s="124">
        <v>15000</v>
      </c>
      <c r="T81" s="124">
        <v>20000</v>
      </c>
      <c r="U81" s="124">
        <v>10</v>
      </c>
      <c r="V81" s="76">
        <f>出怪成长!D125</f>
        <v>0</v>
      </c>
      <c r="W81" s="125">
        <v>0</v>
      </c>
      <c r="X81" s="123">
        <v>0</v>
      </c>
      <c r="Y81" s="123" t="s">
        <v>766</v>
      </c>
      <c r="Z81" s="125" t="s">
        <v>689</v>
      </c>
      <c r="AA81" s="123">
        <v>0</v>
      </c>
      <c r="AB81" s="116">
        <v>0</v>
      </c>
      <c r="AC81" s="123" t="s">
        <v>710</v>
      </c>
      <c r="AD81" s="123">
        <v>0</v>
      </c>
      <c r="AE81" s="123" t="str">
        <f t="shared" si="18"/>
        <v>Lv2</v>
      </c>
      <c r="AF81" s="75">
        <v>0</v>
      </c>
      <c r="AG81" s="75">
        <v>0</v>
      </c>
      <c r="AH81" s="70" t="s">
        <v>773</v>
      </c>
      <c r="AI81" s="123">
        <v>0</v>
      </c>
      <c r="AJ81" s="116">
        <v>0</v>
      </c>
      <c r="AK81" s="123">
        <v>0</v>
      </c>
      <c r="AL81" s="123" t="s">
        <v>641</v>
      </c>
      <c r="AM81" s="123" t="s">
        <v>768</v>
      </c>
      <c r="AN81" s="123" t="s">
        <v>769</v>
      </c>
      <c r="AO81" s="75">
        <v>0</v>
      </c>
      <c r="AP81" s="123">
        <v>2.5</v>
      </c>
      <c r="AQ81" s="123">
        <v>25</v>
      </c>
      <c r="AR81" s="123" t="s">
        <v>774</v>
      </c>
      <c r="AS81" s="123" t="s">
        <v>650</v>
      </c>
      <c r="AT81" s="76">
        <v>0</v>
      </c>
      <c r="AU81" s="123">
        <v>3</v>
      </c>
      <c r="AV81" s="70" t="s">
        <v>141</v>
      </c>
      <c r="AW81" s="123" t="s">
        <v>374</v>
      </c>
      <c r="AX81" s="60">
        <v>3</v>
      </c>
      <c r="AZ81" s="135">
        <f t="shared" si="21"/>
        <v>3002</v>
      </c>
      <c r="BA81" s="60">
        <f t="shared" si="22"/>
        <v>3002</v>
      </c>
      <c r="BC81" s="60">
        <f t="shared" si="24"/>
        <v>1002</v>
      </c>
    </row>
    <row r="82" s="60" customFormat="1" spans="1:55">
      <c r="A82" s="133">
        <v>603</v>
      </c>
      <c r="B82" s="133">
        <v>5</v>
      </c>
      <c r="C82" s="121" t="s">
        <v>763</v>
      </c>
      <c r="D82" s="133" t="s">
        <v>764</v>
      </c>
      <c r="E82" s="133">
        <v>604</v>
      </c>
      <c r="F82" s="121">
        <v>20</v>
      </c>
      <c r="G82" s="71">
        <f t="shared" si="23"/>
        <v>40</v>
      </c>
      <c r="H82" s="134" t="s">
        <v>775</v>
      </c>
      <c r="I82" s="134"/>
      <c r="J82" s="121">
        <v>0</v>
      </c>
      <c r="K82" s="64">
        <v>10</v>
      </c>
      <c r="L82" s="123" t="s">
        <v>141</v>
      </c>
      <c r="M82" s="123">
        <v>0</v>
      </c>
      <c r="N82" s="123">
        <v>3</v>
      </c>
      <c r="O82" s="75">
        <f t="shared" si="12"/>
        <v>23</v>
      </c>
      <c r="P82" s="75">
        <f t="shared" si="13"/>
        <v>38</v>
      </c>
      <c r="Q82" s="75">
        <v>250</v>
      </c>
      <c r="R82" s="123">
        <v>4</v>
      </c>
      <c r="S82" s="124">
        <v>15000</v>
      </c>
      <c r="T82" s="124">
        <v>20000</v>
      </c>
      <c r="U82" s="124">
        <v>10</v>
      </c>
      <c r="V82" s="76">
        <f>出怪成长!D126</f>
        <v>0</v>
      </c>
      <c r="W82" s="125">
        <v>0</v>
      </c>
      <c r="X82" s="123">
        <v>0</v>
      </c>
      <c r="Y82" s="123" t="s">
        <v>766</v>
      </c>
      <c r="Z82" s="125" t="s">
        <v>776</v>
      </c>
      <c r="AA82" s="123">
        <v>0</v>
      </c>
      <c r="AB82" s="116">
        <v>0</v>
      </c>
      <c r="AC82" s="123" t="s">
        <v>710</v>
      </c>
      <c r="AD82" s="123">
        <v>0</v>
      </c>
      <c r="AE82" s="123" t="str">
        <f t="shared" si="18"/>
        <v>Lv3</v>
      </c>
      <c r="AF82" s="75">
        <v>0</v>
      </c>
      <c r="AG82" s="75">
        <v>0</v>
      </c>
      <c r="AH82" s="70" t="s">
        <v>777</v>
      </c>
      <c r="AI82" s="123">
        <v>0</v>
      </c>
      <c r="AJ82" s="116">
        <v>0</v>
      </c>
      <c r="AK82" s="123">
        <v>0</v>
      </c>
      <c r="AL82" s="123" t="s">
        <v>641</v>
      </c>
      <c r="AM82" s="123" t="s">
        <v>768</v>
      </c>
      <c r="AN82" s="123" t="s">
        <v>769</v>
      </c>
      <c r="AO82" s="75">
        <v>0</v>
      </c>
      <c r="AP82" s="123">
        <v>8</v>
      </c>
      <c r="AQ82" s="123">
        <v>80</v>
      </c>
      <c r="AR82" s="123" t="s">
        <v>778</v>
      </c>
      <c r="AS82" s="123" t="s">
        <v>722</v>
      </c>
      <c r="AT82" s="76">
        <v>0</v>
      </c>
      <c r="AU82" s="123">
        <v>4</v>
      </c>
      <c r="AV82" s="70" t="s">
        <v>141</v>
      </c>
      <c r="AW82" s="123" t="s">
        <v>275</v>
      </c>
      <c r="AX82" s="60">
        <v>1</v>
      </c>
      <c r="AZ82" s="135">
        <f t="shared" si="21"/>
        <v>1002</v>
      </c>
      <c r="BA82" s="60">
        <f t="shared" si="22"/>
        <v>1002</v>
      </c>
      <c r="BC82" s="60">
        <f t="shared" si="24"/>
        <v>1002</v>
      </c>
    </row>
    <row r="83" s="60" customFormat="1" spans="1:55">
      <c r="A83" s="133">
        <v>604</v>
      </c>
      <c r="B83" s="133">
        <v>5</v>
      </c>
      <c r="C83" s="121" t="s">
        <v>763</v>
      </c>
      <c r="D83" s="133" t="s">
        <v>764</v>
      </c>
      <c r="E83" s="133">
        <v>605</v>
      </c>
      <c r="F83" s="121">
        <v>25</v>
      </c>
      <c r="G83" s="71">
        <f t="shared" si="23"/>
        <v>45</v>
      </c>
      <c r="H83" s="134" t="s">
        <v>779</v>
      </c>
      <c r="I83" s="134"/>
      <c r="J83" s="121">
        <v>0</v>
      </c>
      <c r="K83" s="64">
        <v>10</v>
      </c>
      <c r="L83" s="123" t="s">
        <v>141</v>
      </c>
      <c r="M83" s="123">
        <v>0</v>
      </c>
      <c r="N83" s="123">
        <v>4</v>
      </c>
      <c r="O83" s="75">
        <f t="shared" si="12"/>
        <v>29</v>
      </c>
      <c r="P83" s="75">
        <f t="shared" si="13"/>
        <v>44</v>
      </c>
      <c r="Q83" s="75">
        <v>250</v>
      </c>
      <c r="R83" s="123">
        <v>4</v>
      </c>
      <c r="S83" s="124">
        <v>15000</v>
      </c>
      <c r="T83" s="124">
        <v>20000</v>
      </c>
      <c r="U83" s="124">
        <v>10</v>
      </c>
      <c r="V83" s="76">
        <f>出怪成长!D127</f>
        <v>0</v>
      </c>
      <c r="W83" s="125">
        <v>0</v>
      </c>
      <c r="X83" s="123">
        <v>0</v>
      </c>
      <c r="Y83" s="123" t="s">
        <v>766</v>
      </c>
      <c r="Z83" s="125" t="s">
        <v>780</v>
      </c>
      <c r="AA83" s="123">
        <v>0</v>
      </c>
      <c r="AB83" s="116">
        <v>0</v>
      </c>
      <c r="AC83" s="123" t="s">
        <v>710</v>
      </c>
      <c r="AD83" s="123">
        <v>0</v>
      </c>
      <c r="AE83" s="123" t="str">
        <f t="shared" si="18"/>
        <v>Lv4</v>
      </c>
      <c r="AF83" s="75">
        <v>0</v>
      </c>
      <c r="AG83" s="75">
        <v>0</v>
      </c>
      <c r="AH83" s="70" t="s">
        <v>781</v>
      </c>
      <c r="AI83" s="123">
        <v>0</v>
      </c>
      <c r="AJ83" s="116">
        <v>0</v>
      </c>
      <c r="AK83" s="123">
        <v>0</v>
      </c>
      <c r="AL83" s="123" t="s">
        <v>641</v>
      </c>
      <c r="AM83" s="123" t="s">
        <v>768</v>
      </c>
      <c r="AN83" s="123" t="s">
        <v>769</v>
      </c>
      <c r="AO83" s="75">
        <v>0</v>
      </c>
      <c r="AP83" s="123">
        <v>14</v>
      </c>
      <c r="AQ83" s="123">
        <v>140</v>
      </c>
      <c r="AR83" s="123" t="s">
        <v>782</v>
      </c>
      <c r="AS83" s="123" t="s">
        <v>783</v>
      </c>
      <c r="AT83" s="76">
        <v>0</v>
      </c>
      <c r="AU83" s="123">
        <v>4</v>
      </c>
      <c r="AV83" s="70" t="s">
        <v>141</v>
      </c>
      <c r="AW83" s="123" t="s">
        <v>374</v>
      </c>
      <c r="AX83" s="60">
        <v>1</v>
      </c>
      <c r="AZ83" s="135">
        <f t="shared" si="21"/>
        <v>1003</v>
      </c>
      <c r="BA83" s="60">
        <f t="shared" si="22"/>
        <v>1003</v>
      </c>
      <c r="BC83" s="60">
        <f t="shared" si="24"/>
        <v>1003</v>
      </c>
    </row>
    <row r="84" s="60" customFormat="1" spans="1:55">
      <c r="A84" s="133">
        <v>605</v>
      </c>
      <c r="B84" s="133">
        <v>5</v>
      </c>
      <c r="C84" s="121" t="s">
        <v>763</v>
      </c>
      <c r="D84" s="133" t="s">
        <v>764</v>
      </c>
      <c r="E84" s="133">
        <v>606</v>
      </c>
      <c r="F84" s="121">
        <v>30</v>
      </c>
      <c r="G84" s="71">
        <f t="shared" si="23"/>
        <v>50</v>
      </c>
      <c r="H84" s="134" t="s">
        <v>784</v>
      </c>
      <c r="I84" s="134"/>
      <c r="J84" s="121">
        <v>0</v>
      </c>
      <c r="K84" s="64">
        <v>10</v>
      </c>
      <c r="L84" s="123" t="s">
        <v>141</v>
      </c>
      <c r="M84" s="123">
        <v>0</v>
      </c>
      <c r="N84" s="123">
        <v>5</v>
      </c>
      <c r="O84" s="75">
        <f t="shared" si="12"/>
        <v>35</v>
      </c>
      <c r="P84" s="75">
        <f t="shared" si="13"/>
        <v>50</v>
      </c>
      <c r="Q84" s="75">
        <v>250</v>
      </c>
      <c r="R84" s="123">
        <v>5</v>
      </c>
      <c r="S84" s="124">
        <v>15000</v>
      </c>
      <c r="T84" s="124">
        <v>20000</v>
      </c>
      <c r="U84" s="124">
        <v>10</v>
      </c>
      <c r="V84" s="76">
        <f>出怪成长!D128</f>
        <v>0</v>
      </c>
      <c r="W84" s="125">
        <v>0</v>
      </c>
      <c r="X84" s="123">
        <v>0</v>
      </c>
      <c r="Y84" s="123" t="s">
        <v>766</v>
      </c>
      <c r="Z84" s="125" t="s">
        <v>785</v>
      </c>
      <c r="AA84" s="123">
        <v>0</v>
      </c>
      <c r="AB84" s="116">
        <v>0</v>
      </c>
      <c r="AC84" s="123" t="s">
        <v>710</v>
      </c>
      <c r="AD84" s="123">
        <v>0</v>
      </c>
      <c r="AE84" s="123" t="str">
        <f t="shared" si="18"/>
        <v>Lv5</v>
      </c>
      <c r="AF84" s="75">
        <v>0</v>
      </c>
      <c r="AG84" s="75">
        <v>0</v>
      </c>
      <c r="AH84" s="70" t="s">
        <v>786</v>
      </c>
      <c r="AI84" s="123">
        <v>0</v>
      </c>
      <c r="AJ84" s="116">
        <v>0</v>
      </c>
      <c r="AK84" s="123">
        <v>0</v>
      </c>
      <c r="AL84" s="123" t="s">
        <v>641</v>
      </c>
      <c r="AM84" s="123" t="s">
        <v>768</v>
      </c>
      <c r="AN84" s="123" t="s">
        <v>769</v>
      </c>
      <c r="AO84" s="75">
        <v>0</v>
      </c>
      <c r="AP84" s="123">
        <v>18</v>
      </c>
      <c r="AQ84" s="123">
        <v>180</v>
      </c>
      <c r="AR84" s="123" t="s">
        <v>787</v>
      </c>
      <c r="AS84" s="123" t="s">
        <v>729</v>
      </c>
      <c r="AT84" s="76">
        <v>0</v>
      </c>
      <c r="AU84" s="123">
        <v>5</v>
      </c>
      <c r="AV84" s="70" t="s">
        <v>141</v>
      </c>
      <c r="AW84" s="123" t="s">
        <v>677</v>
      </c>
      <c r="AX84" s="60">
        <v>5</v>
      </c>
      <c r="AZ84" s="135">
        <f t="shared" si="21"/>
        <v>5004</v>
      </c>
      <c r="BA84" s="60">
        <f t="shared" si="22"/>
        <v>5004</v>
      </c>
      <c r="BC84" s="60">
        <f t="shared" si="24"/>
        <v>1004</v>
      </c>
    </row>
    <row r="85" s="60" customFormat="1" spans="1:55">
      <c r="A85" s="133">
        <v>606</v>
      </c>
      <c r="B85" s="133">
        <v>5</v>
      </c>
      <c r="C85" s="121" t="s">
        <v>763</v>
      </c>
      <c r="D85" s="133" t="s">
        <v>764</v>
      </c>
      <c r="E85" s="133">
        <v>607</v>
      </c>
      <c r="F85" s="121">
        <v>35</v>
      </c>
      <c r="G85" s="71">
        <f t="shared" si="23"/>
        <v>55</v>
      </c>
      <c r="H85" s="134" t="s">
        <v>788</v>
      </c>
      <c r="I85" s="134"/>
      <c r="J85" s="121">
        <v>0</v>
      </c>
      <c r="K85" s="64">
        <v>10</v>
      </c>
      <c r="L85" s="123" t="s">
        <v>141</v>
      </c>
      <c r="M85" s="123">
        <v>0</v>
      </c>
      <c r="N85" s="123">
        <v>6</v>
      </c>
      <c r="O85" s="75">
        <f t="shared" si="12"/>
        <v>41</v>
      </c>
      <c r="P85" s="75">
        <f t="shared" si="13"/>
        <v>56</v>
      </c>
      <c r="Q85" s="75">
        <v>250</v>
      </c>
      <c r="R85" s="123">
        <v>5</v>
      </c>
      <c r="S85" s="124">
        <v>15000</v>
      </c>
      <c r="T85" s="124">
        <v>20000</v>
      </c>
      <c r="U85" s="124">
        <v>10</v>
      </c>
      <c r="V85" s="76">
        <f>出怪成长!D129</f>
        <v>0</v>
      </c>
      <c r="W85" s="125">
        <v>0</v>
      </c>
      <c r="X85" s="123">
        <v>0</v>
      </c>
      <c r="Y85" s="123" t="s">
        <v>766</v>
      </c>
      <c r="Z85" s="125" t="s">
        <v>789</v>
      </c>
      <c r="AA85" s="123">
        <v>0</v>
      </c>
      <c r="AB85" s="116">
        <v>0</v>
      </c>
      <c r="AC85" s="123" t="s">
        <v>710</v>
      </c>
      <c r="AD85" s="123">
        <v>0</v>
      </c>
      <c r="AE85" s="123" t="str">
        <f t="shared" si="18"/>
        <v>Lv6</v>
      </c>
      <c r="AF85" s="75">
        <v>0</v>
      </c>
      <c r="AG85" s="75">
        <v>0</v>
      </c>
      <c r="AH85" s="70" t="s">
        <v>790</v>
      </c>
      <c r="AI85" s="123">
        <v>0</v>
      </c>
      <c r="AJ85" s="116">
        <v>0</v>
      </c>
      <c r="AK85" s="123">
        <v>0</v>
      </c>
      <c r="AL85" s="123" t="s">
        <v>641</v>
      </c>
      <c r="AM85" s="123" t="s">
        <v>768</v>
      </c>
      <c r="AN85" s="123" t="s">
        <v>769</v>
      </c>
      <c r="AO85" s="75">
        <v>0</v>
      </c>
      <c r="AP85" s="123">
        <v>22</v>
      </c>
      <c r="AQ85" s="123">
        <v>220</v>
      </c>
      <c r="AR85" s="123" t="s">
        <v>791</v>
      </c>
      <c r="AS85" s="123" t="s">
        <v>792</v>
      </c>
      <c r="AT85" s="76">
        <v>0</v>
      </c>
      <c r="AU85" s="123">
        <v>5</v>
      </c>
      <c r="AV85" s="70" t="s">
        <v>141</v>
      </c>
      <c r="AW85" s="123" t="s">
        <v>141</v>
      </c>
      <c r="AX85" s="60">
        <v>6</v>
      </c>
      <c r="AZ85" s="135">
        <f t="shared" si="21"/>
        <v>6004</v>
      </c>
      <c r="BA85" s="60">
        <f t="shared" si="22"/>
        <v>6004</v>
      </c>
      <c r="BC85" s="60">
        <f t="shared" si="24"/>
        <v>1004</v>
      </c>
    </row>
    <row r="86" s="60" customFormat="1" spans="1:55">
      <c r="A86" s="133">
        <v>607</v>
      </c>
      <c r="B86" s="133">
        <v>5</v>
      </c>
      <c r="C86" s="121" t="s">
        <v>763</v>
      </c>
      <c r="D86" s="133" t="s">
        <v>764</v>
      </c>
      <c r="E86" s="133">
        <v>608</v>
      </c>
      <c r="F86" s="121">
        <v>40</v>
      </c>
      <c r="G86" s="71">
        <f t="shared" si="23"/>
        <v>60</v>
      </c>
      <c r="H86" s="134" t="s">
        <v>793</v>
      </c>
      <c r="I86" s="134"/>
      <c r="J86" s="121">
        <v>0</v>
      </c>
      <c r="K86" s="64">
        <v>10</v>
      </c>
      <c r="L86" s="123" t="s">
        <v>141</v>
      </c>
      <c r="M86" s="123">
        <v>0</v>
      </c>
      <c r="N86" s="123">
        <v>7</v>
      </c>
      <c r="O86" s="75">
        <f t="shared" si="12"/>
        <v>47</v>
      </c>
      <c r="P86" s="75">
        <f t="shared" si="13"/>
        <v>62</v>
      </c>
      <c r="Q86" s="75">
        <v>250</v>
      </c>
      <c r="R86" s="123">
        <v>6</v>
      </c>
      <c r="S86" s="124">
        <v>15000</v>
      </c>
      <c r="T86" s="124">
        <v>20000</v>
      </c>
      <c r="U86" s="124">
        <v>10</v>
      </c>
      <c r="V86" s="76">
        <f>出怪成长!D130</f>
        <v>0</v>
      </c>
      <c r="W86" s="125">
        <v>0</v>
      </c>
      <c r="X86" s="123">
        <v>0</v>
      </c>
      <c r="Y86" s="123" t="s">
        <v>766</v>
      </c>
      <c r="Z86" s="125" t="s">
        <v>794</v>
      </c>
      <c r="AA86" s="123">
        <v>0</v>
      </c>
      <c r="AB86" s="116">
        <v>0</v>
      </c>
      <c r="AC86" s="123" t="s">
        <v>710</v>
      </c>
      <c r="AD86" s="123">
        <v>0</v>
      </c>
      <c r="AE86" s="123" t="str">
        <f t="shared" si="18"/>
        <v>Lv7</v>
      </c>
      <c r="AF86" s="75">
        <v>0</v>
      </c>
      <c r="AG86" s="75">
        <v>0</v>
      </c>
      <c r="AH86" s="70" t="s">
        <v>795</v>
      </c>
      <c r="AI86" s="123">
        <v>0</v>
      </c>
      <c r="AJ86" s="116">
        <v>0</v>
      </c>
      <c r="AK86" s="123">
        <v>0</v>
      </c>
      <c r="AL86" s="123" t="s">
        <v>641</v>
      </c>
      <c r="AM86" s="123" t="s">
        <v>768</v>
      </c>
      <c r="AN86" s="123" t="s">
        <v>769</v>
      </c>
      <c r="AO86" s="75">
        <v>0</v>
      </c>
      <c r="AP86" s="123">
        <v>26</v>
      </c>
      <c r="AQ86" s="123">
        <v>260</v>
      </c>
      <c r="AR86" s="123" t="s">
        <v>796</v>
      </c>
      <c r="AS86" s="123" t="s">
        <v>797</v>
      </c>
      <c r="AT86" s="76">
        <v>0</v>
      </c>
      <c r="AU86" s="123">
        <v>6</v>
      </c>
      <c r="AV86" s="70" t="s">
        <v>141</v>
      </c>
      <c r="AW86" s="123" t="s">
        <v>660</v>
      </c>
      <c r="AX86" s="60">
        <v>4</v>
      </c>
      <c r="AZ86" s="135">
        <f t="shared" si="21"/>
        <v>4105</v>
      </c>
      <c r="BA86" s="60">
        <f t="shared" si="22"/>
        <v>4105</v>
      </c>
      <c r="BC86" s="60">
        <f t="shared" si="24"/>
        <v>1105</v>
      </c>
    </row>
    <row r="87" s="60" customFormat="1" spans="1:55">
      <c r="A87" s="133">
        <v>608</v>
      </c>
      <c r="B87" s="133">
        <v>5</v>
      </c>
      <c r="C87" s="121" t="s">
        <v>763</v>
      </c>
      <c r="D87" s="133" t="s">
        <v>764</v>
      </c>
      <c r="E87" s="133">
        <v>609</v>
      </c>
      <c r="F87" s="121">
        <v>45</v>
      </c>
      <c r="G87" s="71">
        <f t="shared" si="23"/>
        <v>65</v>
      </c>
      <c r="H87" s="134" t="s">
        <v>798</v>
      </c>
      <c r="I87" s="134"/>
      <c r="J87" s="121">
        <v>0</v>
      </c>
      <c r="K87" s="64">
        <v>10</v>
      </c>
      <c r="L87" s="123" t="s">
        <v>141</v>
      </c>
      <c r="M87" s="123">
        <v>0</v>
      </c>
      <c r="N87" s="123">
        <v>8</v>
      </c>
      <c r="O87" s="75">
        <f t="shared" si="12"/>
        <v>53</v>
      </c>
      <c r="P87" s="75">
        <f t="shared" si="13"/>
        <v>68</v>
      </c>
      <c r="Q87" s="75">
        <v>250</v>
      </c>
      <c r="R87" s="123">
        <v>6</v>
      </c>
      <c r="S87" s="124">
        <v>15000</v>
      </c>
      <c r="T87" s="124">
        <v>20000</v>
      </c>
      <c r="U87" s="124">
        <v>10</v>
      </c>
      <c r="V87" s="76">
        <f>出怪成长!D131</f>
        <v>0</v>
      </c>
      <c r="W87" s="125">
        <v>0</v>
      </c>
      <c r="X87" s="123">
        <v>0</v>
      </c>
      <c r="Y87" s="123" t="s">
        <v>766</v>
      </c>
      <c r="Z87" s="125" t="s">
        <v>799</v>
      </c>
      <c r="AA87" s="123">
        <v>0</v>
      </c>
      <c r="AB87" s="116">
        <v>0</v>
      </c>
      <c r="AC87" s="123" t="s">
        <v>710</v>
      </c>
      <c r="AD87" s="123">
        <v>0</v>
      </c>
      <c r="AE87" s="123" t="str">
        <f t="shared" si="18"/>
        <v>Lv8</v>
      </c>
      <c r="AF87" s="75">
        <v>0</v>
      </c>
      <c r="AG87" s="75">
        <v>0</v>
      </c>
      <c r="AH87" s="70" t="s">
        <v>800</v>
      </c>
      <c r="AI87" s="123">
        <v>0</v>
      </c>
      <c r="AJ87" s="116">
        <v>0</v>
      </c>
      <c r="AK87" s="123">
        <v>0</v>
      </c>
      <c r="AL87" s="123" t="s">
        <v>641</v>
      </c>
      <c r="AM87" s="123" t="s">
        <v>768</v>
      </c>
      <c r="AN87" s="123" t="s">
        <v>769</v>
      </c>
      <c r="AO87" s="75">
        <v>0</v>
      </c>
      <c r="AP87" s="123">
        <v>30</v>
      </c>
      <c r="AQ87" s="123">
        <v>300</v>
      </c>
      <c r="AR87" s="123" t="s">
        <v>801</v>
      </c>
      <c r="AS87" s="123" t="s">
        <v>802</v>
      </c>
      <c r="AT87" s="76">
        <v>0</v>
      </c>
      <c r="AU87" s="123">
        <v>6</v>
      </c>
      <c r="AV87" s="70" t="s">
        <v>141</v>
      </c>
      <c r="AW87" s="123" t="s">
        <v>677</v>
      </c>
      <c r="AX87" s="60">
        <v>3</v>
      </c>
      <c r="AZ87" s="135">
        <f t="shared" si="21"/>
        <v>3106</v>
      </c>
      <c r="BA87" s="60">
        <f t="shared" si="22"/>
        <v>3106</v>
      </c>
      <c r="BC87" s="60">
        <f t="shared" si="24"/>
        <v>1106</v>
      </c>
    </row>
    <row r="88" s="60" customFormat="1" spans="1:55">
      <c r="A88" s="133">
        <v>609</v>
      </c>
      <c r="B88" s="133">
        <v>5</v>
      </c>
      <c r="C88" s="121" t="s">
        <v>763</v>
      </c>
      <c r="D88" s="133" t="s">
        <v>764</v>
      </c>
      <c r="E88" s="133">
        <v>610</v>
      </c>
      <c r="F88" s="121">
        <v>50</v>
      </c>
      <c r="G88" s="71">
        <f t="shared" si="23"/>
        <v>70</v>
      </c>
      <c r="H88" s="134" t="s">
        <v>803</v>
      </c>
      <c r="I88" s="134"/>
      <c r="J88" s="121">
        <v>0</v>
      </c>
      <c r="K88" s="64">
        <v>10</v>
      </c>
      <c r="L88" s="123" t="s">
        <v>141</v>
      </c>
      <c r="M88" s="123">
        <v>0</v>
      </c>
      <c r="N88" s="123">
        <v>9</v>
      </c>
      <c r="O88" s="75">
        <f t="shared" si="12"/>
        <v>59</v>
      </c>
      <c r="P88" s="75">
        <f t="shared" si="13"/>
        <v>74</v>
      </c>
      <c r="Q88" s="75">
        <v>250</v>
      </c>
      <c r="R88" s="123">
        <v>7</v>
      </c>
      <c r="S88" s="124">
        <v>15000</v>
      </c>
      <c r="T88" s="124">
        <v>20000</v>
      </c>
      <c r="U88" s="124">
        <v>10</v>
      </c>
      <c r="V88" s="76">
        <f>出怪成长!D132</f>
        <v>0</v>
      </c>
      <c r="W88" s="125">
        <v>0</v>
      </c>
      <c r="X88" s="123">
        <v>0</v>
      </c>
      <c r="Y88" s="123" t="s">
        <v>766</v>
      </c>
      <c r="Z88" s="125" t="s">
        <v>804</v>
      </c>
      <c r="AA88" s="123">
        <v>0</v>
      </c>
      <c r="AB88" s="116">
        <v>0</v>
      </c>
      <c r="AC88" s="123" t="s">
        <v>710</v>
      </c>
      <c r="AD88" s="123">
        <v>0</v>
      </c>
      <c r="AE88" s="123" t="str">
        <f t="shared" si="18"/>
        <v>Lv9</v>
      </c>
      <c r="AF88" s="75">
        <v>0</v>
      </c>
      <c r="AG88" s="75">
        <v>0</v>
      </c>
      <c r="AH88" s="70" t="s">
        <v>805</v>
      </c>
      <c r="AI88" s="123">
        <v>0</v>
      </c>
      <c r="AJ88" s="116">
        <v>0</v>
      </c>
      <c r="AK88" s="123">
        <v>0</v>
      </c>
      <c r="AL88" s="123" t="s">
        <v>641</v>
      </c>
      <c r="AM88" s="123" t="s">
        <v>768</v>
      </c>
      <c r="AN88" s="123" t="s">
        <v>769</v>
      </c>
      <c r="AO88" s="75">
        <v>0</v>
      </c>
      <c r="AP88" s="123">
        <v>35</v>
      </c>
      <c r="AQ88" s="123">
        <v>350</v>
      </c>
      <c r="AR88" s="123" t="s">
        <v>806</v>
      </c>
      <c r="AS88" s="123" t="s">
        <v>807</v>
      </c>
      <c r="AT88" s="76">
        <v>0</v>
      </c>
      <c r="AU88" s="123">
        <v>7</v>
      </c>
      <c r="AV88" s="70" t="s">
        <v>141</v>
      </c>
      <c r="AW88" s="123" t="s">
        <v>666</v>
      </c>
      <c r="AX88" s="60">
        <v>1</v>
      </c>
      <c r="AZ88" s="135">
        <f t="shared" si="21"/>
        <v>1106</v>
      </c>
      <c r="BA88" s="60">
        <f t="shared" si="22"/>
        <v>1106</v>
      </c>
      <c r="BC88" s="60">
        <f t="shared" si="24"/>
        <v>1106</v>
      </c>
    </row>
    <row r="89" s="60" customFormat="1" spans="1:55">
      <c r="A89" s="133">
        <v>610</v>
      </c>
      <c r="B89" s="133">
        <v>5</v>
      </c>
      <c r="C89" s="121" t="s">
        <v>763</v>
      </c>
      <c r="D89" s="133" t="s">
        <v>764</v>
      </c>
      <c r="E89" s="133">
        <v>611</v>
      </c>
      <c r="F89" s="121">
        <v>55</v>
      </c>
      <c r="G89" s="71">
        <f t="shared" si="23"/>
        <v>75</v>
      </c>
      <c r="H89" s="134" t="s">
        <v>808</v>
      </c>
      <c r="I89" s="134"/>
      <c r="J89" s="121">
        <v>0</v>
      </c>
      <c r="K89" s="64">
        <v>10</v>
      </c>
      <c r="L89" s="123" t="s">
        <v>141</v>
      </c>
      <c r="M89" s="123">
        <v>0</v>
      </c>
      <c r="N89" s="123">
        <v>10</v>
      </c>
      <c r="O89" s="75">
        <f t="shared" si="12"/>
        <v>65</v>
      </c>
      <c r="P89" s="75">
        <f t="shared" si="13"/>
        <v>80</v>
      </c>
      <c r="Q89" s="75">
        <v>250</v>
      </c>
      <c r="R89" s="123">
        <v>7</v>
      </c>
      <c r="S89" s="124">
        <v>15000</v>
      </c>
      <c r="T89" s="124">
        <v>20000</v>
      </c>
      <c r="U89" s="124">
        <v>10</v>
      </c>
      <c r="V89" s="76">
        <f>出怪成长!D133</f>
        <v>0</v>
      </c>
      <c r="W89" s="125">
        <v>0</v>
      </c>
      <c r="X89" s="123">
        <v>0</v>
      </c>
      <c r="Y89" s="123" t="s">
        <v>766</v>
      </c>
      <c r="Z89" s="125" t="s">
        <v>809</v>
      </c>
      <c r="AA89" s="123">
        <v>0</v>
      </c>
      <c r="AB89" s="116">
        <v>0</v>
      </c>
      <c r="AC89" s="123" t="s">
        <v>710</v>
      </c>
      <c r="AD89" s="123">
        <v>0</v>
      </c>
      <c r="AE89" s="123" t="str">
        <f t="shared" si="18"/>
        <v>Lv10</v>
      </c>
      <c r="AF89" s="75">
        <v>0</v>
      </c>
      <c r="AG89" s="75">
        <v>0</v>
      </c>
      <c r="AH89" s="70" t="s">
        <v>810</v>
      </c>
      <c r="AI89" s="123">
        <v>0</v>
      </c>
      <c r="AJ89" s="116">
        <v>0</v>
      </c>
      <c r="AK89" s="123">
        <v>0</v>
      </c>
      <c r="AL89" s="123" t="s">
        <v>641</v>
      </c>
      <c r="AM89" s="123" t="s">
        <v>768</v>
      </c>
      <c r="AN89" s="123" t="s">
        <v>769</v>
      </c>
      <c r="AO89" s="75">
        <v>0</v>
      </c>
      <c r="AP89" s="123">
        <v>40</v>
      </c>
      <c r="AQ89" s="123">
        <v>400</v>
      </c>
      <c r="AR89" s="123" t="s">
        <v>811</v>
      </c>
      <c r="AS89" s="123" t="s">
        <v>692</v>
      </c>
      <c r="AT89" s="76">
        <v>0</v>
      </c>
      <c r="AU89" s="123">
        <v>7</v>
      </c>
      <c r="AV89" s="70" t="s">
        <v>141</v>
      </c>
      <c r="AW89" s="123" t="s">
        <v>677</v>
      </c>
      <c r="AX89" s="60">
        <v>4</v>
      </c>
      <c r="AZ89" s="135">
        <f t="shared" si="21"/>
        <v>4107</v>
      </c>
      <c r="BA89" s="60">
        <f t="shared" si="22"/>
        <v>4107</v>
      </c>
      <c r="BC89" s="60">
        <f t="shared" si="24"/>
        <v>1107</v>
      </c>
    </row>
    <row r="90" s="60" customFormat="1" spans="1:55">
      <c r="A90" s="133">
        <v>611</v>
      </c>
      <c r="B90" s="133">
        <v>5</v>
      </c>
      <c r="C90" s="121" t="s">
        <v>763</v>
      </c>
      <c r="D90" s="133" t="s">
        <v>764</v>
      </c>
      <c r="E90" s="133">
        <v>612</v>
      </c>
      <c r="F90" s="121">
        <v>60</v>
      </c>
      <c r="G90" s="71">
        <f t="shared" si="23"/>
        <v>80</v>
      </c>
      <c r="H90" s="134" t="s">
        <v>812</v>
      </c>
      <c r="I90" s="134"/>
      <c r="J90" s="121">
        <v>0</v>
      </c>
      <c r="K90" s="64">
        <v>10</v>
      </c>
      <c r="L90" s="123" t="s">
        <v>141</v>
      </c>
      <c r="M90" s="123">
        <v>0</v>
      </c>
      <c r="N90" s="123">
        <v>11</v>
      </c>
      <c r="O90" s="75">
        <f t="shared" si="12"/>
        <v>71</v>
      </c>
      <c r="P90" s="75">
        <f t="shared" si="13"/>
        <v>86</v>
      </c>
      <c r="Q90" s="75">
        <v>250</v>
      </c>
      <c r="R90" s="123">
        <v>8</v>
      </c>
      <c r="S90" s="124">
        <v>15000</v>
      </c>
      <c r="T90" s="124">
        <v>20000</v>
      </c>
      <c r="U90" s="124">
        <v>10</v>
      </c>
      <c r="V90" s="76">
        <f>出怪成长!D134</f>
        <v>0</v>
      </c>
      <c r="W90" s="125">
        <v>0</v>
      </c>
      <c r="X90" s="123">
        <v>0</v>
      </c>
      <c r="Y90" s="123" t="s">
        <v>766</v>
      </c>
      <c r="Z90" s="125" t="s">
        <v>813</v>
      </c>
      <c r="AA90" s="123">
        <v>0</v>
      </c>
      <c r="AB90" s="116">
        <v>0</v>
      </c>
      <c r="AC90" s="123" t="s">
        <v>710</v>
      </c>
      <c r="AD90" s="123">
        <v>0</v>
      </c>
      <c r="AE90" s="123" t="str">
        <f t="shared" si="18"/>
        <v>Lv11</v>
      </c>
      <c r="AF90" s="75">
        <v>0</v>
      </c>
      <c r="AG90" s="75">
        <v>0</v>
      </c>
      <c r="AH90" s="70" t="s">
        <v>814</v>
      </c>
      <c r="AI90" s="123">
        <v>0</v>
      </c>
      <c r="AJ90" s="116">
        <v>0</v>
      </c>
      <c r="AK90" s="123">
        <v>0</v>
      </c>
      <c r="AL90" s="123" t="s">
        <v>641</v>
      </c>
      <c r="AM90" s="123" t="s">
        <v>768</v>
      </c>
      <c r="AN90" s="123" t="s">
        <v>769</v>
      </c>
      <c r="AO90" s="75">
        <v>0</v>
      </c>
      <c r="AP90" s="123">
        <v>45</v>
      </c>
      <c r="AQ90" s="123">
        <v>450</v>
      </c>
      <c r="AR90" s="123" t="s">
        <v>815</v>
      </c>
      <c r="AS90" s="123" t="s">
        <v>697</v>
      </c>
      <c r="AT90" s="76">
        <v>0</v>
      </c>
      <c r="AU90" s="123">
        <v>7</v>
      </c>
      <c r="AV90" s="70" t="s">
        <v>141</v>
      </c>
      <c r="AW90" s="123" t="s">
        <v>677</v>
      </c>
      <c r="AX90" s="60">
        <v>4</v>
      </c>
      <c r="AZ90" s="135">
        <f t="shared" si="21"/>
        <v>4108</v>
      </c>
      <c r="BA90" s="60">
        <f t="shared" si="22"/>
        <v>4108</v>
      </c>
      <c r="BC90" s="60">
        <f t="shared" si="24"/>
        <v>1108</v>
      </c>
    </row>
    <row r="91" s="60" customFormat="1" spans="1:55">
      <c r="A91" s="133">
        <v>612</v>
      </c>
      <c r="B91" s="133">
        <v>5</v>
      </c>
      <c r="C91" s="121" t="s">
        <v>763</v>
      </c>
      <c r="D91" s="133" t="s">
        <v>764</v>
      </c>
      <c r="E91" s="133">
        <v>613</v>
      </c>
      <c r="F91" s="121">
        <v>65</v>
      </c>
      <c r="G91" s="71">
        <f t="shared" si="23"/>
        <v>85</v>
      </c>
      <c r="H91" s="134" t="s">
        <v>816</v>
      </c>
      <c r="I91" s="134"/>
      <c r="J91" s="121">
        <v>0</v>
      </c>
      <c r="K91" s="64">
        <v>10</v>
      </c>
      <c r="L91" s="123" t="s">
        <v>141</v>
      </c>
      <c r="M91" s="123">
        <v>0</v>
      </c>
      <c r="N91" s="123">
        <v>12</v>
      </c>
      <c r="O91" s="75">
        <f t="shared" si="12"/>
        <v>77</v>
      </c>
      <c r="P91" s="75">
        <f t="shared" si="13"/>
        <v>92</v>
      </c>
      <c r="Q91" s="75">
        <v>250</v>
      </c>
      <c r="R91" s="123">
        <v>9</v>
      </c>
      <c r="S91" s="124">
        <v>15000</v>
      </c>
      <c r="T91" s="124">
        <v>20000</v>
      </c>
      <c r="U91" s="124">
        <v>10</v>
      </c>
      <c r="V91" s="76">
        <f>出怪成长!D135</f>
        <v>0</v>
      </c>
      <c r="W91" s="125">
        <v>0</v>
      </c>
      <c r="X91" s="123">
        <v>0</v>
      </c>
      <c r="Y91" s="123" t="s">
        <v>766</v>
      </c>
      <c r="Z91" s="125" t="s">
        <v>817</v>
      </c>
      <c r="AA91" s="123">
        <v>0</v>
      </c>
      <c r="AB91" s="116">
        <v>0</v>
      </c>
      <c r="AC91" s="123" t="s">
        <v>710</v>
      </c>
      <c r="AD91" s="123">
        <v>0</v>
      </c>
      <c r="AE91" s="123" t="str">
        <f t="shared" si="18"/>
        <v>Lv12</v>
      </c>
      <c r="AF91" s="75">
        <v>0</v>
      </c>
      <c r="AG91" s="75">
        <v>0</v>
      </c>
      <c r="AH91" s="70" t="s">
        <v>818</v>
      </c>
      <c r="AI91" s="123">
        <v>0</v>
      </c>
      <c r="AJ91" s="116">
        <v>0</v>
      </c>
      <c r="AK91" s="123">
        <v>0</v>
      </c>
      <c r="AL91" s="123" t="s">
        <v>641</v>
      </c>
      <c r="AM91" s="123" t="s">
        <v>768</v>
      </c>
      <c r="AN91" s="123" t="s">
        <v>769</v>
      </c>
      <c r="AO91" s="75">
        <v>0</v>
      </c>
      <c r="AP91" s="123">
        <v>50</v>
      </c>
      <c r="AQ91" s="123">
        <v>500</v>
      </c>
      <c r="AR91" s="123" t="s">
        <v>819</v>
      </c>
      <c r="AS91" s="123" t="s">
        <v>820</v>
      </c>
      <c r="AT91" s="76">
        <v>0</v>
      </c>
      <c r="AU91" s="123">
        <v>7</v>
      </c>
      <c r="AV91" s="70" t="s">
        <v>141</v>
      </c>
      <c r="AW91" s="123" t="s">
        <v>677</v>
      </c>
      <c r="AX91" s="60">
        <v>4</v>
      </c>
      <c r="AZ91" s="135">
        <f t="shared" si="21"/>
        <v>4108</v>
      </c>
      <c r="BA91" s="60">
        <f t="shared" si="22"/>
        <v>4108</v>
      </c>
      <c r="BC91" s="60">
        <f t="shared" si="24"/>
        <v>1108</v>
      </c>
    </row>
    <row r="92" s="61" customFormat="1" spans="1:55">
      <c r="A92" s="136">
        <v>613</v>
      </c>
      <c r="B92" s="136">
        <v>5</v>
      </c>
      <c r="C92" s="137" t="s">
        <v>763</v>
      </c>
      <c r="D92" s="136" t="s">
        <v>764</v>
      </c>
      <c r="E92" s="136">
        <v>614</v>
      </c>
      <c r="F92" s="121">
        <v>70</v>
      </c>
      <c r="G92" s="71">
        <f t="shared" si="23"/>
        <v>90</v>
      </c>
      <c r="H92" s="138" t="s">
        <v>821</v>
      </c>
      <c r="I92" s="138"/>
      <c r="J92" s="137">
        <v>0</v>
      </c>
      <c r="K92" s="64">
        <v>10</v>
      </c>
      <c r="L92" s="139" t="s">
        <v>141</v>
      </c>
      <c r="M92" s="139">
        <v>0</v>
      </c>
      <c r="N92" s="139">
        <v>13</v>
      </c>
      <c r="O92" s="75">
        <f t="shared" ref="O92:O118" si="25">F92+N92+M92</f>
        <v>83</v>
      </c>
      <c r="P92" s="75">
        <f t="shared" ref="P92:P118" si="26">O92+15</f>
        <v>98</v>
      </c>
      <c r="Q92" s="75">
        <v>250</v>
      </c>
      <c r="R92" s="139">
        <v>10</v>
      </c>
      <c r="S92" s="140">
        <v>15000</v>
      </c>
      <c r="T92" s="140">
        <v>20000</v>
      </c>
      <c r="U92" s="140">
        <v>10</v>
      </c>
      <c r="V92" s="76">
        <f>出怪成长!D136</f>
        <v>0</v>
      </c>
      <c r="W92" s="141">
        <v>0</v>
      </c>
      <c r="X92" s="139">
        <v>0</v>
      </c>
      <c r="Y92" s="139" t="s">
        <v>766</v>
      </c>
      <c r="Z92" s="141" t="s">
        <v>822</v>
      </c>
      <c r="AA92" s="139">
        <v>0</v>
      </c>
      <c r="AB92" s="142">
        <v>0</v>
      </c>
      <c r="AC92" s="139" t="s">
        <v>710</v>
      </c>
      <c r="AD92" s="139">
        <v>0</v>
      </c>
      <c r="AE92" s="139" t="str">
        <f t="shared" si="18"/>
        <v>Lv13</v>
      </c>
      <c r="AF92" s="75">
        <v>0</v>
      </c>
      <c r="AG92" s="75">
        <v>0</v>
      </c>
      <c r="AH92" s="70" t="s">
        <v>823</v>
      </c>
      <c r="AI92" s="139">
        <v>0</v>
      </c>
      <c r="AJ92" s="142">
        <v>0</v>
      </c>
      <c r="AK92" s="139">
        <v>0</v>
      </c>
      <c r="AL92" s="139" t="s">
        <v>641</v>
      </c>
      <c r="AM92" s="139" t="s">
        <v>768</v>
      </c>
      <c r="AN92" s="139" t="s">
        <v>769</v>
      </c>
      <c r="AO92" s="75">
        <v>0</v>
      </c>
      <c r="AP92" s="139">
        <v>60</v>
      </c>
      <c r="AQ92" s="139">
        <v>600</v>
      </c>
      <c r="AR92" s="139" t="s">
        <v>824</v>
      </c>
      <c r="AS92" s="139" t="s">
        <v>825</v>
      </c>
      <c r="AT92" s="76">
        <v>0</v>
      </c>
      <c r="AU92" s="139">
        <v>7</v>
      </c>
      <c r="AV92" s="70" t="s">
        <v>141</v>
      </c>
      <c r="AW92" s="139" t="s">
        <v>677</v>
      </c>
      <c r="AX92" s="61">
        <v>4</v>
      </c>
      <c r="AZ92" s="143">
        <f t="shared" si="21"/>
        <v>4209</v>
      </c>
      <c r="BA92" s="61">
        <f t="shared" si="22"/>
        <v>4209</v>
      </c>
      <c r="BC92" s="61">
        <f t="shared" si="24"/>
        <v>1209</v>
      </c>
    </row>
    <row r="93" s="53" customFormat="1" spans="1:55">
      <c r="A93" s="64">
        <v>701</v>
      </c>
      <c r="B93" s="64">
        <v>6</v>
      </c>
      <c r="C93" s="71" t="s">
        <v>826</v>
      </c>
      <c r="D93" s="64" t="s">
        <v>827</v>
      </c>
      <c r="E93" s="64">
        <v>702</v>
      </c>
      <c r="F93" s="71">
        <v>27</v>
      </c>
      <c r="G93" s="71">
        <f t="shared" si="23"/>
        <v>47</v>
      </c>
      <c r="H93" s="144" t="s">
        <v>828</v>
      </c>
      <c r="I93" s="144"/>
      <c r="J93" s="71">
        <v>0</v>
      </c>
      <c r="K93" s="64">
        <v>10</v>
      </c>
      <c r="L93" s="75" t="s">
        <v>141</v>
      </c>
      <c r="M93" s="75">
        <v>0</v>
      </c>
      <c r="N93" s="75">
        <v>1</v>
      </c>
      <c r="O93" s="75">
        <f t="shared" si="25"/>
        <v>28</v>
      </c>
      <c r="P93" s="75">
        <f t="shared" si="26"/>
        <v>43</v>
      </c>
      <c r="Q93" s="75">
        <v>250</v>
      </c>
      <c r="R93" s="75">
        <v>3</v>
      </c>
      <c r="S93" s="76">
        <v>15000</v>
      </c>
      <c r="T93" s="76">
        <v>20000</v>
      </c>
      <c r="U93" s="76">
        <v>10</v>
      </c>
      <c r="V93" s="76">
        <f>出怪成长!D137</f>
        <v>0</v>
      </c>
      <c r="W93" s="85" t="s">
        <v>829</v>
      </c>
      <c r="X93" s="75">
        <v>0</v>
      </c>
      <c r="Y93" s="76" t="s">
        <v>472</v>
      </c>
      <c r="Z93" s="85" t="s">
        <v>662</v>
      </c>
      <c r="AA93" s="75">
        <v>0</v>
      </c>
      <c r="AB93" s="86">
        <v>0</v>
      </c>
      <c r="AC93" s="75" t="s">
        <v>710</v>
      </c>
      <c r="AD93" s="75">
        <v>0</v>
      </c>
      <c r="AE93" s="75" t="str">
        <f t="shared" si="18"/>
        <v>Lv1</v>
      </c>
      <c r="AF93" s="75">
        <v>0</v>
      </c>
      <c r="AG93" s="75">
        <v>0</v>
      </c>
      <c r="AH93" s="70" t="s">
        <v>830</v>
      </c>
      <c r="AI93" s="75">
        <v>0</v>
      </c>
      <c r="AJ93" s="86">
        <v>0</v>
      </c>
      <c r="AK93" s="75">
        <v>0</v>
      </c>
      <c r="AL93" s="75" t="s">
        <v>641</v>
      </c>
      <c r="AM93" s="75" t="s">
        <v>831</v>
      </c>
      <c r="AN93" s="75">
        <f>[1]BoxReward!AQ4</f>
        <v>0</v>
      </c>
      <c r="AO93" s="75">
        <v>0</v>
      </c>
      <c r="AP93" s="75">
        <v>1</v>
      </c>
      <c r="AQ93" s="75">
        <v>10</v>
      </c>
      <c r="AR93" s="75" t="s">
        <v>832</v>
      </c>
      <c r="AS93" s="75" t="s">
        <v>645</v>
      </c>
      <c r="AT93" s="76">
        <v>0</v>
      </c>
      <c r="AU93" s="75">
        <v>3</v>
      </c>
      <c r="AV93" s="70" t="s">
        <v>141</v>
      </c>
      <c r="AW93" s="75" t="s">
        <v>275</v>
      </c>
      <c r="AX93" s="53">
        <v>1</v>
      </c>
      <c r="AZ93" s="95">
        <f t="shared" si="21"/>
        <v>1001</v>
      </c>
      <c r="BA93" s="53">
        <f t="shared" si="22"/>
        <v>1001</v>
      </c>
    </row>
    <row r="94" s="53" customFormat="1" spans="1:55">
      <c r="A94" s="64">
        <v>702</v>
      </c>
      <c r="B94" s="64">
        <v>6</v>
      </c>
      <c r="C94" s="71" t="s">
        <v>826</v>
      </c>
      <c r="D94" s="64" t="s">
        <v>827</v>
      </c>
      <c r="E94" s="64">
        <v>703</v>
      </c>
      <c r="F94" s="71">
        <v>28</v>
      </c>
      <c r="G94" s="71">
        <f t="shared" si="23"/>
        <v>48</v>
      </c>
      <c r="H94" s="144" t="s">
        <v>833</v>
      </c>
      <c r="I94" s="144"/>
      <c r="J94" s="71">
        <v>0</v>
      </c>
      <c r="K94" s="64">
        <v>10</v>
      </c>
      <c r="L94" s="75" t="s">
        <v>141</v>
      </c>
      <c r="M94" s="75">
        <v>0</v>
      </c>
      <c r="N94" s="75">
        <v>2</v>
      </c>
      <c r="O94" s="75">
        <f t="shared" si="25"/>
        <v>30</v>
      </c>
      <c r="P94" s="75">
        <f t="shared" si="26"/>
        <v>45</v>
      </c>
      <c r="Q94" s="75">
        <v>250</v>
      </c>
      <c r="R94" s="75">
        <v>3</v>
      </c>
      <c r="S94" s="76">
        <v>15000</v>
      </c>
      <c r="T94" s="76">
        <v>20000</v>
      </c>
      <c r="U94" s="76">
        <v>10</v>
      </c>
      <c r="V94" s="76">
        <f>出怪成长!D138</f>
        <v>0</v>
      </c>
      <c r="W94" s="85" t="s">
        <v>829</v>
      </c>
      <c r="X94" s="75">
        <v>0</v>
      </c>
      <c r="Y94" s="76" t="s">
        <v>472</v>
      </c>
      <c r="Z94" s="85" t="s">
        <v>662</v>
      </c>
      <c r="AA94" s="75">
        <v>0</v>
      </c>
      <c r="AB94" s="86">
        <v>0</v>
      </c>
      <c r="AC94" s="75" t="s">
        <v>710</v>
      </c>
      <c r="AD94" s="75">
        <v>0</v>
      </c>
      <c r="AE94" s="75" t="str">
        <f t="shared" si="18"/>
        <v>Lv2</v>
      </c>
      <c r="AF94" s="75">
        <v>0</v>
      </c>
      <c r="AG94" s="75">
        <v>0</v>
      </c>
      <c r="AH94" s="70" t="s">
        <v>834</v>
      </c>
      <c r="AI94" s="75">
        <v>0</v>
      </c>
      <c r="AJ94" s="86">
        <v>0</v>
      </c>
      <c r="AK94" s="75">
        <v>0</v>
      </c>
      <c r="AL94" s="75" t="s">
        <v>641</v>
      </c>
      <c r="AM94" s="75" t="s">
        <v>831</v>
      </c>
      <c r="AN94" s="75">
        <f>[1]BoxReward!AQ5</f>
        <v>0</v>
      </c>
      <c r="AO94" s="75">
        <v>0</v>
      </c>
      <c r="AP94" s="75">
        <v>2.5</v>
      </c>
      <c r="AQ94" s="75">
        <v>25</v>
      </c>
      <c r="AR94" s="75" t="s">
        <v>835</v>
      </c>
      <c r="AS94" s="75" t="s">
        <v>718</v>
      </c>
      <c r="AT94" s="76">
        <v>0</v>
      </c>
      <c r="AU94" s="75">
        <v>3</v>
      </c>
      <c r="AV94" s="70" t="s">
        <v>141</v>
      </c>
      <c r="AW94" s="75" t="s">
        <v>374</v>
      </c>
      <c r="AX94" s="53">
        <v>2</v>
      </c>
      <c r="AZ94" s="95">
        <f t="shared" si="21"/>
        <v>2002</v>
      </c>
      <c r="BA94" s="53">
        <f t="shared" si="22"/>
        <v>2002</v>
      </c>
    </row>
    <row r="95" s="53" customFormat="1" spans="1:55">
      <c r="A95" s="64">
        <v>703</v>
      </c>
      <c r="B95" s="64">
        <v>6</v>
      </c>
      <c r="C95" s="71" t="s">
        <v>826</v>
      </c>
      <c r="D95" s="64" t="s">
        <v>827</v>
      </c>
      <c r="E95" s="64">
        <v>704</v>
      </c>
      <c r="F95" s="71">
        <f t="shared" ref="F95:F99" si="27">F94+1</f>
        <v>29</v>
      </c>
      <c r="G95" s="71">
        <f t="shared" si="23"/>
        <v>49</v>
      </c>
      <c r="H95" s="144" t="s">
        <v>836</v>
      </c>
      <c r="I95" s="144"/>
      <c r="J95" s="71">
        <v>0</v>
      </c>
      <c r="K95" s="64">
        <v>10</v>
      </c>
      <c r="L95" s="75" t="s">
        <v>141</v>
      </c>
      <c r="M95" s="75">
        <v>0</v>
      </c>
      <c r="N95" s="75">
        <v>3</v>
      </c>
      <c r="O95" s="75">
        <f t="shared" si="25"/>
        <v>32</v>
      </c>
      <c r="P95" s="75">
        <f t="shared" si="26"/>
        <v>47</v>
      </c>
      <c r="Q95" s="75">
        <v>250</v>
      </c>
      <c r="R95" s="75">
        <v>4</v>
      </c>
      <c r="S95" s="76">
        <v>15000</v>
      </c>
      <c r="T95" s="76">
        <v>20000</v>
      </c>
      <c r="U95" s="76">
        <v>10</v>
      </c>
      <c r="V95" s="76">
        <f>出怪成长!D139</f>
        <v>0</v>
      </c>
      <c r="W95" s="85" t="s">
        <v>829</v>
      </c>
      <c r="X95" s="75">
        <v>0</v>
      </c>
      <c r="Y95" s="76" t="s">
        <v>472</v>
      </c>
      <c r="Z95" s="85" t="s">
        <v>662</v>
      </c>
      <c r="AA95" s="75">
        <v>0</v>
      </c>
      <c r="AB95" s="86">
        <v>0</v>
      </c>
      <c r="AC95" s="75" t="s">
        <v>710</v>
      </c>
      <c r="AD95" s="75">
        <v>0</v>
      </c>
      <c r="AE95" s="75" t="str">
        <f t="shared" si="18"/>
        <v>Lv3</v>
      </c>
      <c r="AF95" s="75">
        <v>0</v>
      </c>
      <c r="AG95" s="75">
        <v>0</v>
      </c>
      <c r="AH95" s="70" t="s">
        <v>837</v>
      </c>
      <c r="AI95" s="75">
        <v>0</v>
      </c>
      <c r="AJ95" s="86">
        <v>0</v>
      </c>
      <c r="AK95" s="75">
        <v>0</v>
      </c>
      <c r="AL95" s="75" t="s">
        <v>641</v>
      </c>
      <c r="AM95" s="75" t="s">
        <v>831</v>
      </c>
      <c r="AN95" s="75">
        <f>[1]BoxReward!AQ6</f>
        <v>0</v>
      </c>
      <c r="AO95" s="75">
        <v>0</v>
      </c>
      <c r="AP95" s="75">
        <v>8</v>
      </c>
      <c r="AQ95" s="75">
        <v>80</v>
      </c>
      <c r="AR95" s="75" t="s">
        <v>838</v>
      </c>
      <c r="AS95" s="75" t="s">
        <v>839</v>
      </c>
      <c r="AT95" s="76">
        <v>0</v>
      </c>
      <c r="AU95" s="75">
        <v>4</v>
      </c>
      <c r="AV95" s="70" t="s">
        <v>141</v>
      </c>
      <c r="AW95" s="75" t="s">
        <v>666</v>
      </c>
      <c r="AX95" s="53">
        <v>6</v>
      </c>
      <c r="AZ95" s="95">
        <f t="shared" si="21"/>
        <v>6002</v>
      </c>
      <c r="BA95" s="53">
        <f t="shared" si="22"/>
        <v>6002</v>
      </c>
    </row>
    <row r="96" s="53" customFormat="1" spans="1:55">
      <c r="A96" s="64">
        <v>704</v>
      </c>
      <c r="B96" s="64">
        <v>6</v>
      </c>
      <c r="C96" s="71" t="s">
        <v>826</v>
      </c>
      <c r="D96" s="64" t="s">
        <v>827</v>
      </c>
      <c r="E96" s="64">
        <v>705</v>
      </c>
      <c r="F96" s="71">
        <v>29</v>
      </c>
      <c r="G96" s="71">
        <f t="shared" si="23"/>
        <v>49</v>
      </c>
      <c r="H96" s="144" t="s">
        <v>840</v>
      </c>
      <c r="I96" s="144"/>
      <c r="J96" s="71">
        <v>0</v>
      </c>
      <c r="K96" s="64">
        <v>10</v>
      </c>
      <c r="L96" s="75" t="s">
        <v>141</v>
      </c>
      <c r="M96" s="75">
        <v>0</v>
      </c>
      <c r="N96" s="75">
        <v>4</v>
      </c>
      <c r="O96" s="75">
        <f t="shared" si="25"/>
        <v>33</v>
      </c>
      <c r="P96" s="75">
        <f t="shared" si="26"/>
        <v>48</v>
      </c>
      <c r="Q96" s="75">
        <v>250</v>
      </c>
      <c r="R96" s="75">
        <v>4</v>
      </c>
      <c r="S96" s="76">
        <v>15000</v>
      </c>
      <c r="T96" s="76">
        <v>20000</v>
      </c>
      <c r="U96" s="76">
        <v>10</v>
      </c>
      <c r="V96" s="76">
        <f>出怪成长!D140</f>
        <v>0</v>
      </c>
      <c r="W96" s="85" t="s">
        <v>829</v>
      </c>
      <c r="X96" s="75">
        <v>0</v>
      </c>
      <c r="Y96" s="76" t="s">
        <v>472</v>
      </c>
      <c r="Z96" s="85" t="s">
        <v>662</v>
      </c>
      <c r="AA96" s="75">
        <v>0</v>
      </c>
      <c r="AB96" s="86">
        <v>0</v>
      </c>
      <c r="AC96" s="75" t="s">
        <v>710</v>
      </c>
      <c r="AD96" s="75">
        <v>0</v>
      </c>
      <c r="AE96" s="75" t="str">
        <f t="shared" si="18"/>
        <v>Lv4</v>
      </c>
      <c r="AF96" s="75">
        <v>0</v>
      </c>
      <c r="AG96" s="75">
        <v>0</v>
      </c>
      <c r="AH96" s="70" t="s">
        <v>841</v>
      </c>
      <c r="AI96" s="75">
        <v>0</v>
      </c>
      <c r="AJ96" s="86">
        <v>0</v>
      </c>
      <c r="AK96" s="75">
        <v>0</v>
      </c>
      <c r="AL96" s="75" t="s">
        <v>641</v>
      </c>
      <c r="AM96" s="75" t="s">
        <v>831</v>
      </c>
      <c r="AN96" s="75">
        <f>[1]BoxReward!AQ7</f>
        <v>0</v>
      </c>
      <c r="AO96" s="75">
        <v>0</v>
      </c>
      <c r="AP96" s="75">
        <v>14</v>
      </c>
      <c r="AQ96" s="75">
        <v>140</v>
      </c>
      <c r="AR96" s="75" t="s">
        <v>400</v>
      </c>
      <c r="AS96" s="75" t="s">
        <v>842</v>
      </c>
      <c r="AT96" s="76">
        <v>0</v>
      </c>
      <c r="AU96" s="75">
        <v>4</v>
      </c>
      <c r="AV96" s="70" t="s">
        <v>141</v>
      </c>
      <c r="AW96" s="75" t="s">
        <v>651</v>
      </c>
      <c r="AX96" s="53">
        <v>3</v>
      </c>
      <c r="AZ96" s="95">
        <f t="shared" si="21"/>
        <v>3003</v>
      </c>
      <c r="BA96" s="53">
        <f t="shared" si="22"/>
        <v>3003</v>
      </c>
    </row>
    <row r="97" s="53" customFormat="1" spans="1:55">
      <c r="A97" s="64">
        <v>705</v>
      </c>
      <c r="B97" s="64">
        <v>6</v>
      </c>
      <c r="C97" s="71" t="s">
        <v>826</v>
      </c>
      <c r="D97" s="64" t="s">
        <v>827</v>
      </c>
      <c r="E97" s="64">
        <v>706</v>
      </c>
      <c r="F97" s="71">
        <f t="shared" si="27"/>
        <v>30</v>
      </c>
      <c r="G97" s="71">
        <f t="shared" si="23"/>
        <v>50</v>
      </c>
      <c r="H97" s="144" t="s">
        <v>843</v>
      </c>
      <c r="I97" s="144"/>
      <c r="J97" s="71">
        <v>0</v>
      </c>
      <c r="K97" s="64">
        <v>10</v>
      </c>
      <c r="L97" s="75" t="s">
        <v>141</v>
      </c>
      <c r="M97" s="75">
        <v>0</v>
      </c>
      <c r="N97" s="75">
        <v>5</v>
      </c>
      <c r="O97" s="75">
        <f t="shared" si="25"/>
        <v>35</v>
      </c>
      <c r="P97" s="75">
        <f t="shared" si="26"/>
        <v>50</v>
      </c>
      <c r="Q97" s="75">
        <v>250</v>
      </c>
      <c r="R97" s="75">
        <v>5</v>
      </c>
      <c r="S97" s="76">
        <v>15000</v>
      </c>
      <c r="T97" s="76">
        <v>20000</v>
      </c>
      <c r="U97" s="76">
        <v>10</v>
      </c>
      <c r="V97" s="76">
        <f>出怪成长!D141</f>
        <v>0</v>
      </c>
      <c r="W97" s="85" t="s">
        <v>829</v>
      </c>
      <c r="X97" s="75">
        <v>0</v>
      </c>
      <c r="Y97" s="76" t="s">
        <v>472</v>
      </c>
      <c r="Z97" s="85" t="s">
        <v>662</v>
      </c>
      <c r="AA97" s="75">
        <v>0</v>
      </c>
      <c r="AB97" s="86">
        <v>0</v>
      </c>
      <c r="AC97" s="75" t="s">
        <v>710</v>
      </c>
      <c r="AD97" s="75">
        <v>0</v>
      </c>
      <c r="AE97" s="75" t="str">
        <f t="shared" si="18"/>
        <v>Lv5</v>
      </c>
      <c r="AF97" s="75">
        <v>0</v>
      </c>
      <c r="AG97" s="75">
        <v>0</v>
      </c>
      <c r="AH97" s="70" t="s">
        <v>844</v>
      </c>
      <c r="AI97" s="75">
        <v>0</v>
      </c>
      <c r="AJ97" s="86">
        <v>0</v>
      </c>
      <c r="AK97" s="75">
        <v>0</v>
      </c>
      <c r="AL97" s="75" t="s">
        <v>641</v>
      </c>
      <c r="AM97" s="75" t="s">
        <v>831</v>
      </c>
      <c r="AN97" s="75">
        <f>[1]BoxReward!AQ8</f>
        <v>0</v>
      </c>
      <c r="AO97" s="75">
        <v>0</v>
      </c>
      <c r="AP97" s="75">
        <v>18</v>
      </c>
      <c r="AQ97" s="75">
        <v>180</v>
      </c>
      <c r="AR97" s="75" t="s">
        <v>845</v>
      </c>
      <c r="AS97" s="75" t="s">
        <v>846</v>
      </c>
      <c r="AT97" s="76">
        <v>0</v>
      </c>
      <c r="AU97" s="75">
        <v>5</v>
      </c>
      <c r="AV97" s="70" t="s">
        <v>141</v>
      </c>
      <c r="AW97" s="75" t="s">
        <v>481</v>
      </c>
      <c r="AX97" s="53">
        <v>6</v>
      </c>
      <c r="AZ97" s="95">
        <f t="shared" si="21"/>
        <v>6004</v>
      </c>
      <c r="BA97" s="53">
        <f t="shared" si="22"/>
        <v>6004</v>
      </c>
    </row>
    <row r="98" s="53" customFormat="1" spans="1:55">
      <c r="A98" s="64">
        <v>706</v>
      </c>
      <c r="B98" s="64">
        <v>6</v>
      </c>
      <c r="C98" s="71" t="s">
        <v>826</v>
      </c>
      <c r="D98" s="64" t="s">
        <v>827</v>
      </c>
      <c r="E98" s="64">
        <v>707</v>
      </c>
      <c r="F98" s="71">
        <v>30</v>
      </c>
      <c r="G98" s="71">
        <f t="shared" si="23"/>
        <v>50</v>
      </c>
      <c r="H98" s="144" t="s">
        <v>847</v>
      </c>
      <c r="I98" s="144"/>
      <c r="J98" s="71">
        <v>0</v>
      </c>
      <c r="K98" s="64">
        <v>10</v>
      </c>
      <c r="L98" s="75" t="s">
        <v>141</v>
      </c>
      <c r="M98" s="75">
        <v>0</v>
      </c>
      <c r="N98" s="75">
        <v>6</v>
      </c>
      <c r="O98" s="75">
        <f t="shared" si="25"/>
        <v>36</v>
      </c>
      <c r="P98" s="75">
        <f t="shared" si="26"/>
        <v>51</v>
      </c>
      <c r="Q98" s="75">
        <v>250</v>
      </c>
      <c r="R98" s="75">
        <v>5</v>
      </c>
      <c r="S98" s="76">
        <v>15000</v>
      </c>
      <c r="T98" s="76">
        <v>20000</v>
      </c>
      <c r="U98" s="76">
        <v>10</v>
      </c>
      <c r="V98" s="76">
        <f>出怪成长!D142</f>
        <v>0</v>
      </c>
      <c r="W98" s="85" t="s">
        <v>829</v>
      </c>
      <c r="X98" s="75">
        <v>0</v>
      </c>
      <c r="Y98" s="76" t="s">
        <v>472</v>
      </c>
      <c r="Z98" s="85" t="s">
        <v>662</v>
      </c>
      <c r="AA98" s="75">
        <v>0</v>
      </c>
      <c r="AB98" s="86">
        <v>0</v>
      </c>
      <c r="AC98" s="75" t="s">
        <v>710</v>
      </c>
      <c r="AD98" s="75">
        <v>0</v>
      </c>
      <c r="AE98" s="75" t="str">
        <f t="shared" si="18"/>
        <v>Lv6</v>
      </c>
      <c r="AF98" s="75">
        <v>0</v>
      </c>
      <c r="AG98" s="75">
        <v>0</v>
      </c>
      <c r="AH98" s="70" t="s">
        <v>848</v>
      </c>
      <c r="AI98" s="75">
        <v>0</v>
      </c>
      <c r="AJ98" s="86">
        <v>0</v>
      </c>
      <c r="AK98" s="75">
        <v>0</v>
      </c>
      <c r="AL98" s="75" t="s">
        <v>641</v>
      </c>
      <c r="AM98" s="75" t="s">
        <v>831</v>
      </c>
      <c r="AN98" s="75">
        <f>[1]BoxReward!AQ9</f>
        <v>0</v>
      </c>
      <c r="AO98" s="75">
        <v>0</v>
      </c>
      <c r="AP98" s="75">
        <v>22</v>
      </c>
      <c r="AQ98" s="75">
        <v>220</v>
      </c>
      <c r="AR98" s="75" t="s">
        <v>849</v>
      </c>
      <c r="AS98" s="75" t="s">
        <v>850</v>
      </c>
      <c r="AT98" s="76">
        <v>0</v>
      </c>
      <c r="AU98" s="75">
        <v>5</v>
      </c>
      <c r="AV98" s="70" t="s">
        <v>141</v>
      </c>
      <c r="AW98" s="75" t="s">
        <v>677</v>
      </c>
      <c r="AX98" s="53">
        <v>5</v>
      </c>
      <c r="AZ98" s="95">
        <f t="shared" si="21"/>
        <v>5004</v>
      </c>
      <c r="BA98" s="53">
        <f t="shared" si="22"/>
        <v>5004</v>
      </c>
    </row>
    <row r="99" s="53" customFormat="1" spans="1:55">
      <c r="A99" s="64">
        <v>707</v>
      </c>
      <c r="B99" s="64">
        <v>6</v>
      </c>
      <c r="C99" s="71" t="s">
        <v>826</v>
      </c>
      <c r="D99" s="64" t="s">
        <v>827</v>
      </c>
      <c r="E99" s="64">
        <v>708</v>
      </c>
      <c r="F99" s="71">
        <f t="shared" si="27"/>
        <v>31</v>
      </c>
      <c r="G99" s="71">
        <f t="shared" si="23"/>
        <v>51</v>
      </c>
      <c r="H99" s="144" t="s">
        <v>851</v>
      </c>
      <c r="I99" s="144"/>
      <c r="J99" s="71">
        <v>0</v>
      </c>
      <c r="K99" s="64">
        <v>10</v>
      </c>
      <c r="L99" s="75" t="s">
        <v>141</v>
      </c>
      <c r="M99" s="75">
        <v>0</v>
      </c>
      <c r="N99" s="75">
        <v>7</v>
      </c>
      <c r="O99" s="75">
        <f t="shared" si="25"/>
        <v>38</v>
      </c>
      <c r="P99" s="75">
        <f t="shared" si="26"/>
        <v>53</v>
      </c>
      <c r="Q99" s="75">
        <v>250</v>
      </c>
      <c r="R99" s="75">
        <v>6</v>
      </c>
      <c r="S99" s="76">
        <v>15000</v>
      </c>
      <c r="T99" s="76">
        <v>20000</v>
      </c>
      <c r="U99" s="76">
        <v>10</v>
      </c>
      <c r="V99" s="76">
        <f>出怪成长!D143</f>
        <v>0</v>
      </c>
      <c r="W99" s="85" t="s">
        <v>829</v>
      </c>
      <c r="X99" s="75">
        <v>0</v>
      </c>
      <c r="Y99" s="76" t="s">
        <v>472</v>
      </c>
      <c r="Z99" s="85" t="s">
        <v>662</v>
      </c>
      <c r="AA99" s="75">
        <v>0</v>
      </c>
      <c r="AB99" s="86">
        <v>0</v>
      </c>
      <c r="AC99" s="75" t="s">
        <v>710</v>
      </c>
      <c r="AD99" s="75">
        <v>0</v>
      </c>
      <c r="AE99" s="75" t="str">
        <f t="shared" si="18"/>
        <v>Lv7</v>
      </c>
      <c r="AF99" s="75">
        <v>0</v>
      </c>
      <c r="AG99" s="75">
        <v>0</v>
      </c>
      <c r="AH99" s="70" t="s">
        <v>852</v>
      </c>
      <c r="AI99" s="75">
        <v>0</v>
      </c>
      <c r="AJ99" s="86">
        <v>0</v>
      </c>
      <c r="AK99" s="75">
        <v>0</v>
      </c>
      <c r="AL99" s="75" t="s">
        <v>641</v>
      </c>
      <c r="AM99" s="75" t="s">
        <v>831</v>
      </c>
      <c r="AN99" s="75">
        <f>[1]BoxReward!AQ10</f>
        <v>0</v>
      </c>
      <c r="AO99" s="75">
        <v>0</v>
      </c>
      <c r="AP99" s="75">
        <v>26</v>
      </c>
      <c r="AQ99" s="75">
        <v>260</v>
      </c>
      <c r="AR99" s="75" t="s">
        <v>502</v>
      </c>
      <c r="AS99" s="75" t="s">
        <v>853</v>
      </c>
      <c r="AT99" s="76">
        <v>0</v>
      </c>
      <c r="AU99" s="75">
        <v>6</v>
      </c>
      <c r="AV99" s="70" t="s">
        <v>141</v>
      </c>
      <c r="AW99" s="75" t="s">
        <v>660</v>
      </c>
      <c r="AX99" s="53">
        <v>3</v>
      </c>
      <c r="AZ99" s="95">
        <f t="shared" si="21"/>
        <v>3105</v>
      </c>
      <c r="BA99" s="53">
        <f t="shared" si="22"/>
        <v>3105</v>
      </c>
    </row>
    <row r="100" s="53" customFormat="1" spans="1:55">
      <c r="A100" s="64">
        <v>708</v>
      </c>
      <c r="B100" s="64">
        <v>6</v>
      </c>
      <c r="C100" s="71" t="s">
        <v>826</v>
      </c>
      <c r="D100" s="64" t="s">
        <v>827</v>
      </c>
      <c r="E100" s="64">
        <v>709</v>
      </c>
      <c r="F100" s="71">
        <v>31</v>
      </c>
      <c r="G100" s="71">
        <f t="shared" si="23"/>
        <v>51</v>
      </c>
      <c r="H100" s="144" t="s">
        <v>854</v>
      </c>
      <c r="I100" s="144"/>
      <c r="J100" s="71">
        <v>0</v>
      </c>
      <c r="K100" s="64">
        <v>10</v>
      </c>
      <c r="L100" s="75" t="s">
        <v>141</v>
      </c>
      <c r="M100" s="75">
        <v>0</v>
      </c>
      <c r="N100" s="75">
        <v>8</v>
      </c>
      <c r="O100" s="75">
        <f t="shared" si="25"/>
        <v>39</v>
      </c>
      <c r="P100" s="75">
        <f t="shared" si="26"/>
        <v>54</v>
      </c>
      <c r="Q100" s="75">
        <v>250</v>
      </c>
      <c r="R100" s="75">
        <v>6</v>
      </c>
      <c r="S100" s="76">
        <v>15000</v>
      </c>
      <c r="T100" s="76">
        <v>20000</v>
      </c>
      <c r="U100" s="76">
        <v>10</v>
      </c>
      <c r="V100" s="76">
        <f>出怪成长!D144</f>
        <v>0</v>
      </c>
      <c r="W100" s="85" t="s">
        <v>829</v>
      </c>
      <c r="X100" s="75">
        <v>0</v>
      </c>
      <c r="Y100" s="76" t="s">
        <v>472</v>
      </c>
      <c r="Z100" s="85" t="s">
        <v>662</v>
      </c>
      <c r="AA100" s="75">
        <v>0</v>
      </c>
      <c r="AB100" s="86">
        <v>0</v>
      </c>
      <c r="AC100" s="75" t="s">
        <v>710</v>
      </c>
      <c r="AD100" s="75">
        <v>0</v>
      </c>
      <c r="AE100" s="75" t="str">
        <f t="shared" si="18"/>
        <v>Lv8</v>
      </c>
      <c r="AF100" s="75">
        <v>0</v>
      </c>
      <c r="AG100" s="75">
        <v>0</v>
      </c>
      <c r="AH100" s="70" t="s">
        <v>855</v>
      </c>
      <c r="AI100" s="75">
        <v>0</v>
      </c>
      <c r="AJ100" s="86">
        <v>0</v>
      </c>
      <c r="AK100" s="75">
        <v>0</v>
      </c>
      <c r="AL100" s="75" t="s">
        <v>641</v>
      </c>
      <c r="AM100" s="75" t="s">
        <v>831</v>
      </c>
      <c r="AN100" s="75">
        <f>[1]BoxReward!AQ11</f>
        <v>0</v>
      </c>
      <c r="AO100" s="75">
        <v>0</v>
      </c>
      <c r="AP100" s="75">
        <v>30</v>
      </c>
      <c r="AQ100" s="75">
        <v>300</v>
      </c>
      <c r="AR100" s="75" t="s">
        <v>856</v>
      </c>
      <c r="AS100" s="75" t="s">
        <v>857</v>
      </c>
      <c r="AT100" s="76">
        <v>0</v>
      </c>
      <c r="AU100" s="75">
        <v>6</v>
      </c>
      <c r="AV100" s="70" t="s">
        <v>141</v>
      </c>
      <c r="AW100" s="75" t="s">
        <v>141</v>
      </c>
      <c r="AX100" s="53">
        <v>1</v>
      </c>
      <c r="AZ100" s="95">
        <f t="shared" si="21"/>
        <v>1106</v>
      </c>
      <c r="BA100" s="53">
        <f t="shared" si="22"/>
        <v>1106</v>
      </c>
    </row>
    <row r="101" s="53" customFormat="1" spans="1:55">
      <c r="A101" s="64">
        <v>709</v>
      </c>
      <c r="B101" s="64">
        <v>6</v>
      </c>
      <c r="C101" s="71" t="s">
        <v>826</v>
      </c>
      <c r="D101" s="64" t="s">
        <v>827</v>
      </c>
      <c r="E101" s="64">
        <v>710</v>
      </c>
      <c r="F101" s="71">
        <f t="shared" ref="F101:F105" si="28">F100+1</f>
        <v>32</v>
      </c>
      <c r="G101" s="71">
        <f t="shared" si="23"/>
        <v>52</v>
      </c>
      <c r="H101" s="144" t="s">
        <v>858</v>
      </c>
      <c r="I101" s="144"/>
      <c r="J101" s="71">
        <v>0</v>
      </c>
      <c r="K101" s="64">
        <v>10</v>
      </c>
      <c r="L101" s="75" t="s">
        <v>141</v>
      </c>
      <c r="M101" s="75">
        <v>0</v>
      </c>
      <c r="N101" s="75">
        <v>9</v>
      </c>
      <c r="O101" s="75">
        <f t="shared" si="25"/>
        <v>41</v>
      </c>
      <c r="P101" s="75">
        <f t="shared" si="26"/>
        <v>56</v>
      </c>
      <c r="Q101" s="75">
        <v>250</v>
      </c>
      <c r="R101" s="75">
        <v>7</v>
      </c>
      <c r="S101" s="76">
        <v>15000</v>
      </c>
      <c r="T101" s="76">
        <v>20000</v>
      </c>
      <c r="U101" s="76">
        <v>10</v>
      </c>
      <c r="V101" s="76">
        <f>出怪成长!D145</f>
        <v>0</v>
      </c>
      <c r="W101" s="85" t="s">
        <v>829</v>
      </c>
      <c r="X101" s="75">
        <v>0</v>
      </c>
      <c r="Y101" s="76" t="s">
        <v>472</v>
      </c>
      <c r="Z101" s="85" t="s">
        <v>662</v>
      </c>
      <c r="AA101" s="75">
        <v>0</v>
      </c>
      <c r="AB101" s="86">
        <v>0</v>
      </c>
      <c r="AC101" s="75" t="s">
        <v>710</v>
      </c>
      <c r="AD101" s="75">
        <v>0</v>
      </c>
      <c r="AE101" s="75" t="str">
        <f t="shared" si="18"/>
        <v>Lv9</v>
      </c>
      <c r="AF101" s="75">
        <v>0</v>
      </c>
      <c r="AG101" s="75">
        <v>0</v>
      </c>
      <c r="AH101" s="70" t="s">
        <v>859</v>
      </c>
      <c r="AI101" s="75">
        <v>0</v>
      </c>
      <c r="AJ101" s="86">
        <v>0</v>
      </c>
      <c r="AK101" s="75">
        <v>0</v>
      </c>
      <c r="AL101" s="75" t="s">
        <v>641</v>
      </c>
      <c r="AM101" s="75" t="s">
        <v>831</v>
      </c>
      <c r="AN101" s="75">
        <f>[1]BoxReward!AQ12</f>
        <v>0</v>
      </c>
      <c r="AO101" s="75">
        <v>0</v>
      </c>
      <c r="AP101" s="75">
        <v>35</v>
      </c>
      <c r="AQ101" s="75">
        <v>350</v>
      </c>
      <c r="AR101" s="75" t="s">
        <v>860</v>
      </c>
      <c r="AS101" s="75" t="s">
        <v>687</v>
      </c>
      <c r="AT101" s="76">
        <v>0</v>
      </c>
      <c r="AU101" s="75">
        <v>7</v>
      </c>
      <c r="AV101" s="70" t="s">
        <v>141</v>
      </c>
      <c r="AW101" s="75" t="s">
        <v>677</v>
      </c>
      <c r="AX101" s="53">
        <v>5</v>
      </c>
      <c r="AZ101" s="95">
        <f t="shared" si="21"/>
        <v>5106</v>
      </c>
      <c r="BA101" s="53">
        <f t="shared" si="22"/>
        <v>5106</v>
      </c>
    </row>
    <row r="102" s="53" customFormat="1" spans="1:55">
      <c r="A102" s="64">
        <v>710</v>
      </c>
      <c r="B102" s="64">
        <v>6</v>
      </c>
      <c r="C102" s="71" t="s">
        <v>826</v>
      </c>
      <c r="D102" s="64" t="s">
        <v>827</v>
      </c>
      <c r="E102" s="64">
        <v>711</v>
      </c>
      <c r="F102" s="71">
        <v>32</v>
      </c>
      <c r="G102" s="71">
        <f t="shared" si="23"/>
        <v>52</v>
      </c>
      <c r="H102" s="144" t="s">
        <v>861</v>
      </c>
      <c r="I102" s="144"/>
      <c r="J102" s="71">
        <v>0</v>
      </c>
      <c r="K102" s="64">
        <v>10</v>
      </c>
      <c r="L102" s="75" t="s">
        <v>141</v>
      </c>
      <c r="M102" s="75">
        <v>0</v>
      </c>
      <c r="N102" s="75">
        <v>10</v>
      </c>
      <c r="O102" s="75">
        <f t="shared" si="25"/>
        <v>42</v>
      </c>
      <c r="P102" s="75">
        <f t="shared" si="26"/>
        <v>57</v>
      </c>
      <c r="Q102" s="75">
        <v>250</v>
      </c>
      <c r="R102" s="75">
        <v>7</v>
      </c>
      <c r="S102" s="76">
        <v>15000</v>
      </c>
      <c r="T102" s="76">
        <v>20000</v>
      </c>
      <c r="U102" s="76">
        <v>10</v>
      </c>
      <c r="V102" s="76">
        <f>出怪成长!D146</f>
        <v>0</v>
      </c>
      <c r="W102" s="85" t="s">
        <v>829</v>
      </c>
      <c r="X102" s="75">
        <v>0</v>
      </c>
      <c r="Y102" s="76" t="s">
        <v>472</v>
      </c>
      <c r="Z102" s="85" t="s">
        <v>662</v>
      </c>
      <c r="AA102" s="75">
        <v>0</v>
      </c>
      <c r="AB102" s="86">
        <v>0</v>
      </c>
      <c r="AC102" s="75" t="s">
        <v>710</v>
      </c>
      <c r="AD102" s="75">
        <v>0</v>
      </c>
      <c r="AE102" s="75" t="str">
        <f t="shared" si="18"/>
        <v>Lv10</v>
      </c>
      <c r="AF102" s="75">
        <v>0</v>
      </c>
      <c r="AG102" s="75">
        <v>0</v>
      </c>
      <c r="AH102" s="70" t="s">
        <v>862</v>
      </c>
      <c r="AI102" s="75">
        <v>0</v>
      </c>
      <c r="AJ102" s="86">
        <v>0</v>
      </c>
      <c r="AK102" s="75">
        <v>0</v>
      </c>
      <c r="AL102" s="75" t="s">
        <v>641</v>
      </c>
      <c r="AM102" s="75" t="s">
        <v>831</v>
      </c>
      <c r="AN102" s="75">
        <f>[1]BoxReward!AQ13</f>
        <v>0</v>
      </c>
      <c r="AO102" s="75">
        <v>0</v>
      </c>
      <c r="AP102" s="75">
        <v>40</v>
      </c>
      <c r="AQ102" s="75">
        <v>400</v>
      </c>
      <c r="AR102" s="75" t="s">
        <v>863</v>
      </c>
      <c r="AS102" s="75" t="s">
        <v>748</v>
      </c>
      <c r="AT102" s="76">
        <v>0</v>
      </c>
      <c r="AU102" s="75">
        <v>7</v>
      </c>
      <c r="AV102" s="70" t="s">
        <v>141</v>
      </c>
      <c r="AW102" s="75" t="s">
        <v>666</v>
      </c>
      <c r="AX102" s="53">
        <v>5</v>
      </c>
      <c r="AZ102" s="95">
        <f t="shared" si="21"/>
        <v>5107</v>
      </c>
      <c r="BA102" s="53">
        <f t="shared" si="22"/>
        <v>5107</v>
      </c>
    </row>
    <row r="103" s="53" customFormat="1" spans="1:55">
      <c r="A103" s="64">
        <v>711</v>
      </c>
      <c r="B103" s="64">
        <v>6</v>
      </c>
      <c r="C103" s="71" t="s">
        <v>826</v>
      </c>
      <c r="D103" s="64" t="s">
        <v>827</v>
      </c>
      <c r="E103" s="64">
        <v>712</v>
      </c>
      <c r="F103" s="71">
        <f t="shared" si="28"/>
        <v>33</v>
      </c>
      <c r="G103" s="71">
        <f t="shared" si="23"/>
        <v>53</v>
      </c>
      <c r="H103" s="144" t="s">
        <v>864</v>
      </c>
      <c r="I103" s="144"/>
      <c r="J103" s="71">
        <v>0</v>
      </c>
      <c r="K103" s="64">
        <v>10</v>
      </c>
      <c r="L103" s="75" t="s">
        <v>141</v>
      </c>
      <c r="M103" s="75">
        <v>0</v>
      </c>
      <c r="N103" s="75">
        <v>11</v>
      </c>
      <c r="O103" s="75">
        <f t="shared" si="25"/>
        <v>44</v>
      </c>
      <c r="P103" s="75">
        <f t="shared" si="26"/>
        <v>59</v>
      </c>
      <c r="Q103" s="75">
        <v>250</v>
      </c>
      <c r="R103" s="75">
        <v>8</v>
      </c>
      <c r="S103" s="76">
        <v>15000</v>
      </c>
      <c r="T103" s="76">
        <v>20000</v>
      </c>
      <c r="U103" s="76">
        <v>10</v>
      </c>
      <c r="V103" s="76">
        <f>出怪成长!D147</f>
        <v>0</v>
      </c>
      <c r="W103" s="85" t="s">
        <v>829</v>
      </c>
      <c r="X103" s="75">
        <v>0</v>
      </c>
      <c r="Y103" s="76" t="s">
        <v>472</v>
      </c>
      <c r="Z103" s="85" t="s">
        <v>662</v>
      </c>
      <c r="AA103" s="75">
        <v>0</v>
      </c>
      <c r="AB103" s="86">
        <v>0</v>
      </c>
      <c r="AC103" s="75" t="s">
        <v>710</v>
      </c>
      <c r="AD103" s="75">
        <v>0</v>
      </c>
      <c r="AE103" s="75" t="str">
        <f t="shared" si="18"/>
        <v>Lv11</v>
      </c>
      <c r="AF103" s="75">
        <v>0</v>
      </c>
      <c r="AG103" s="75">
        <v>0</v>
      </c>
      <c r="AH103" s="70" t="s">
        <v>865</v>
      </c>
      <c r="AI103" s="75">
        <v>0</v>
      </c>
      <c r="AJ103" s="86">
        <v>0</v>
      </c>
      <c r="AK103" s="75">
        <v>0</v>
      </c>
      <c r="AL103" s="75" t="s">
        <v>641</v>
      </c>
      <c r="AM103" s="75" t="s">
        <v>831</v>
      </c>
      <c r="AN103" s="75">
        <f>[1]BoxReward!AQ14</f>
        <v>0</v>
      </c>
      <c r="AO103" s="75">
        <v>0</v>
      </c>
      <c r="AP103" s="75">
        <v>45</v>
      </c>
      <c r="AQ103" s="75">
        <v>450</v>
      </c>
      <c r="AR103" s="75" t="s">
        <v>866</v>
      </c>
      <c r="AS103" s="75" t="s">
        <v>752</v>
      </c>
      <c r="AT103" s="76">
        <v>0</v>
      </c>
      <c r="AU103" s="75">
        <v>7</v>
      </c>
      <c r="AV103" s="70" t="s">
        <v>141</v>
      </c>
      <c r="AW103" s="75" t="s">
        <v>666</v>
      </c>
      <c r="AX103" s="53">
        <v>5</v>
      </c>
      <c r="AZ103" s="95">
        <f t="shared" si="21"/>
        <v>5108</v>
      </c>
      <c r="BA103" s="53">
        <f t="shared" si="22"/>
        <v>5108</v>
      </c>
    </row>
    <row r="104" s="53" customFormat="1" spans="1:55">
      <c r="A104" s="64">
        <v>712</v>
      </c>
      <c r="B104" s="64">
        <v>6</v>
      </c>
      <c r="C104" s="71" t="s">
        <v>826</v>
      </c>
      <c r="D104" s="64" t="s">
        <v>827</v>
      </c>
      <c r="E104" s="64">
        <v>713</v>
      </c>
      <c r="F104" s="71">
        <v>33</v>
      </c>
      <c r="G104" s="71">
        <f t="shared" si="23"/>
        <v>53</v>
      </c>
      <c r="H104" s="144" t="s">
        <v>867</v>
      </c>
      <c r="I104" s="144"/>
      <c r="J104" s="71">
        <v>0</v>
      </c>
      <c r="K104" s="64">
        <v>10</v>
      </c>
      <c r="L104" s="75" t="s">
        <v>141</v>
      </c>
      <c r="M104" s="75">
        <v>0</v>
      </c>
      <c r="N104" s="75">
        <v>12</v>
      </c>
      <c r="O104" s="75">
        <f t="shared" si="25"/>
        <v>45</v>
      </c>
      <c r="P104" s="75">
        <f t="shared" si="26"/>
        <v>60</v>
      </c>
      <c r="Q104" s="75">
        <v>250</v>
      </c>
      <c r="R104" s="75">
        <v>9</v>
      </c>
      <c r="S104" s="76">
        <v>15000</v>
      </c>
      <c r="T104" s="76">
        <v>20000</v>
      </c>
      <c r="U104" s="76">
        <v>10</v>
      </c>
      <c r="V104" s="76">
        <f>出怪成长!D148</f>
        <v>0</v>
      </c>
      <c r="W104" s="85" t="s">
        <v>829</v>
      </c>
      <c r="X104" s="75">
        <v>0</v>
      </c>
      <c r="Y104" s="76" t="s">
        <v>472</v>
      </c>
      <c r="Z104" s="85" t="s">
        <v>662</v>
      </c>
      <c r="AA104" s="75">
        <v>0</v>
      </c>
      <c r="AB104" s="86">
        <v>0</v>
      </c>
      <c r="AC104" s="75" t="s">
        <v>710</v>
      </c>
      <c r="AD104" s="75">
        <v>0</v>
      </c>
      <c r="AE104" s="75" t="str">
        <f t="shared" si="18"/>
        <v>Lv12</v>
      </c>
      <c r="AF104" s="75">
        <v>0</v>
      </c>
      <c r="AG104" s="75">
        <v>0</v>
      </c>
      <c r="AH104" s="70" t="s">
        <v>868</v>
      </c>
      <c r="AI104" s="75">
        <v>0</v>
      </c>
      <c r="AJ104" s="86">
        <v>0</v>
      </c>
      <c r="AK104" s="75">
        <v>0</v>
      </c>
      <c r="AL104" s="75" t="s">
        <v>641</v>
      </c>
      <c r="AM104" s="75" t="s">
        <v>831</v>
      </c>
      <c r="AN104" s="75">
        <f>[1]BoxReward!AQ15</f>
        <v>0</v>
      </c>
      <c r="AO104" s="75">
        <v>0</v>
      </c>
      <c r="AP104" s="75">
        <v>50</v>
      </c>
      <c r="AQ104" s="75">
        <v>500</v>
      </c>
      <c r="AR104" s="75" t="s">
        <v>869</v>
      </c>
      <c r="AS104" s="75" t="s">
        <v>757</v>
      </c>
      <c r="AT104" s="76">
        <v>0</v>
      </c>
      <c r="AU104" s="75">
        <v>7</v>
      </c>
      <c r="AV104" s="70" t="s">
        <v>141</v>
      </c>
      <c r="AW104" s="75" t="s">
        <v>666</v>
      </c>
      <c r="AX104" s="53">
        <v>5</v>
      </c>
      <c r="AZ104" s="95">
        <f t="shared" si="21"/>
        <v>5108</v>
      </c>
      <c r="BA104" s="53">
        <f t="shared" si="22"/>
        <v>5108</v>
      </c>
    </row>
    <row r="105" s="53" customFormat="1" spans="1:55">
      <c r="A105" s="64">
        <v>713</v>
      </c>
      <c r="B105" s="64">
        <v>6</v>
      </c>
      <c r="C105" s="71" t="s">
        <v>826</v>
      </c>
      <c r="D105" s="64" t="s">
        <v>827</v>
      </c>
      <c r="E105" s="64">
        <v>714</v>
      </c>
      <c r="F105" s="71">
        <f t="shared" si="28"/>
        <v>34</v>
      </c>
      <c r="G105" s="71">
        <f t="shared" si="23"/>
        <v>54</v>
      </c>
      <c r="H105" s="144" t="s">
        <v>870</v>
      </c>
      <c r="I105" s="144"/>
      <c r="J105" s="71">
        <v>0</v>
      </c>
      <c r="K105" s="64">
        <v>10</v>
      </c>
      <c r="L105" s="75" t="s">
        <v>141</v>
      </c>
      <c r="M105" s="75">
        <v>0</v>
      </c>
      <c r="N105" s="75">
        <v>13</v>
      </c>
      <c r="O105" s="75">
        <f t="shared" si="25"/>
        <v>47</v>
      </c>
      <c r="P105" s="75">
        <f t="shared" si="26"/>
        <v>62</v>
      </c>
      <c r="Q105" s="75">
        <v>250</v>
      </c>
      <c r="R105" s="75">
        <v>10</v>
      </c>
      <c r="S105" s="76">
        <v>15000</v>
      </c>
      <c r="T105" s="76">
        <v>20000</v>
      </c>
      <c r="U105" s="76">
        <v>10</v>
      </c>
      <c r="V105" s="76">
        <f>出怪成长!D149</f>
        <v>0</v>
      </c>
      <c r="W105" s="85" t="s">
        <v>829</v>
      </c>
      <c r="X105" s="75">
        <v>0</v>
      </c>
      <c r="Y105" s="76" t="s">
        <v>472</v>
      </c>
      <c r="Z105" s="85" t="s">
        <v>662</v>
      </c>
      <c r="AA105" s="75">
        <v>0</v>
      </c>
      <c r="AB105" s="86">
        <v>0</v>
      </c>
      <c r="AC105" s="75" t="s">
        <v>710</v>
      </c>
      <c r="AD105" s="75">
        <v>0</v>
      </c>
      <c r="AE105" s="75" t="str">
        <f t="shared" si="18"/>
        <v>Lv13</v>
      </c>
      <c r="AF105" s="75">
        <v>0</v>
      </c>
      <c r="AG105" s="75">
        <v>0</v>
      </c>
      <c r="AH105" s="70" t="s">
        <v>871</v>
      </c>
      <c r="AI105" s="75">
        <v>0</v>
      </c>
      <c r="AJ105" s="86">
        <v>0</v>
      </c>
      <c r="AK105" s="75">
        <v>0</v>
      </c>
      <c r="AL105" s="75" t="s">
        <v>641</v>
      </c>
      <c r="AM105" s="75" t="s">
        <v>831</v>
      </c>
      <c r="AN105" s="75">
        <f>[1]BoxReward!AQ16</f>
        <v>0</v>
      </c>
      <c r="AO105" s="75">
        <v>0</v>
      </c>
      <c r="AP105" s="75">
        <v>60</v>
      </c>
      <c r="AQ105" s="75">
        <v>600</v>
      </c>
      <c r="AR105" s="75" t="s">
        <v>872</v>
      </c>
      <c r="AS105" s="75" t="s">
        <v>762</v>
      </c>
      <c r="AT105" s="76">
        <v>0</v>
      </c>
      <c r="AU105" s="75">
        <v>7</v>
      </c>
      <c r="AV105" s="70" t="s">
        <v>141</v>
      </c>
      <c r="AW105" s="75" t="s">
        <v>666</v>
      </c>
      <c r="AX105" s="53">
        <v>5</v>
      </c>
      <c r="AZ105" s="95">
        <f t="shared" si="21"/>
        <v>5209</v>
      </c>
      <c r="BA105" s="53">
        <f t="shared" si="22"/>
        <v>5209</v>
      </c>
    </row>
    <row r="106" s="53" customFormat="1" spans="1:55">
      <c r="A106" s="64">
        <v>714</v>
      </c>
      <c r="B106" s="64">
        <v>6</v>
      </c>
      <c r="C106" s="71" t="s">
        <v>826</v>
      </c>
      <c r="D106" s="64" t="s">
        <v>827</v>
      </c>
      <c r="E106" s="64">
        <v>715</v>
      </c>
      <c r="F106" s="71">
        <v>34</v>
      </c>
      <c r="G106" s="71">
        <f t="shared" si="23"/>
        <v>54</v>
      </c>
      <c r="H106" s="144" t="s">
        <v>873</v>
      </c>
      <c r="I106" s="144"/>
      <c r="J106" s="71">
        <v>0</v>
      </c>
      <c r="K106" s="64">
        <v>10</v>
      </c>
      <c r="L106" s="75" t="s">
        <v>141</v>
      </c>
      <c r="M106" s="75">
        <v>0</v>
      </c>
      <c r="N106" s="75">
        <v>14</v>
      </c>
      <c r="O106" s="75">
        <f t="shared" si="25"/>
        <v>48</v>
      </c>
      <c r="P106" s="75">
        <f t="shared" si="26"/>
        <v>63</v>
      </c>
      <c r="Q106" s="75">
        <v>250</v>
      </c>
      <c r="R106" s="75">
        <v>11</v>
      </c>
      <c r="S106" s="76">
        <v>15000</v>
      </c>
      <c r="T106" s="76">
        <v>20000</v>
      </c>
      <c r="U106" s="76">
        <v>10</v>
      </c>
      <c r="V106" s="76">
        <f>出怪成长!D150</f>
        <v>0</v>
      </c>
      <c r="W106" s="85" t="s">
        <v>829</v>
      </c>
      <c r="X106" s="75">
        <v>0</v>
      </c>
      <c r="Y106" s="76" t="s">
        <v>472</v>
      </c>
      <c r="Z106" s="85" t="s">
        <v>662</v>
      </c>
      <c r="AA106" s="75">
        <v>0</v>
      </c>
      <c r="AB106" s="86">
        <v>0</v>
      </c>
      <c r="AC106" s="75" t="s">
        <v>710</v>
      </c>
      <c r="AD106" s="75">
        <v>0</v>
      </c>
      <c r="AE106" s="75" t="str">
        <f t="shared" si="18"/>
        <v>Lv14</v>
      </c>
      <c r="AF106" s="75">
        <v>0</v>
      </c>
      <c r="AG106" s="75">
        <v>0</v>
      </c>
      <c r="AH106" s="70" t="s">
        <v>874</v>
      </c>
      <c r="AI106" s="75">
        <v>0</v>
      </c>
      <c r="AJ106" s="86">
        <v>0</v>
      </c>
      <c r="AK106" s="75">
        <v>0</v>
      </c>
      <c r="AL106" s="75" t="s">
        <v>641</v>
      </c>
      <c r="AM106" s="75" t="s">
        <v>831</v>
      </c>
      <c r="AN106" s="75">
        <f>[1]BoxReward!AQ17</f>
        <v>0</v>
      </c>
      <c r="AO106" s="75">
        <v>0</v>
      </c>
      <c r="AP106" s="75">
        <v>70</v>
      </c>
      <c r="AQ106" s="75">
        <v>700</v>
      </c>
      <c r="AR106" s="75" t="s">
        <v>875</v>
      </c>
      <c r="AS106" s="75" t="s">
        <v>876</v>
      </c>
      <c r="AT106" s="76">
        <v>0</v>
      </c>
      <c r="AU106" s="75">
        <v>7</v>
      </c>
      <c r="AV106" s="70" t="s">
        <v>141</v>
      </c>
      <c r="AW106" s="75" t="s">
        <v>666</v>
      </c>
      <c r="AX106" s="53">
        <v>5</v>
      </c>
      <c r="AZ106" s="95">
        <f t="shared" si="21"/>
        <v>5209</v>
      </c>
      <c r="BA106" s="53">
        <f t="shared" si="22"/>
        <v>5209</v>
      </c>
    </row>
    <row r="107" s="53" customFormat="1" spans="1:55">
      <c r="A107" s="64">
        <v>715</v>
      </c>
      <c r="B107" s="64">
        <v>6</v>
      </c>
      <c r="C107" s="71" t="s">
        <v>826</v>
      </c>
      <c r="D107" s="64" t="s">
        <v>827</v>
      </c>
      <c r="E107" s="64">
        <v>716</v>
      </c>
      <c r="F107" s="71">
        <f t="shared" ref="F107:F111" si="29">F106+1</f>
        <v>35</v>
      </c>
      <c r="G107" s="71">
        <f t="shared" si="23"/>
        <v>55</v>
      </c>
      <c r="H107" s="144" t="s">
        <v>877</v>
      </c>
      <c r="I107" s="144"/>
      <c r="J107" s="71">
        <v>0</v>
      </c>
      <c r="K107" s="64">
        <v>10</v>
      </c>
      <c r="L107" s="75" t="s">
        <v>141</v>
      </c>
      <c r="M107" s="75">
        <v>0</v>
      </c>
      <c r="N107" s="75">
        <v>15</v>
      </c>
      <c r="O107" s="75">
        <f t="shared" si="25"/>
        <v>50</v>
      </c>
      <c r="P107" s="75">
        <f t="shared" si="26"/>
        <v>65</v>
      </c>
      <c r="Q107" s="75">
        <v>250</v>
      </c>
      <c r="R107" s="75">
        <v>12</v>
      </c>
      <c r="S107" s="76">
        <v>15000</v>
      </c>
      <c r="T107" s="76">
        <v>20000</v>
      </c>
      <c r="U107" s="76">
        <v>10</v>
      </c>
      <c r="V107" s="76">
        <f>出怪成长!D151</f>
        <v>0</v>
      </c>
      <c r="W107" s="85" t="s">
        <v>829</v>
      </c>
      <c r="X107" s="75">
        <v>0</v>
      </c>
      <c r="Y107" s="76" t="s">
        <v>472</v>
      </c>
      <c r="Z107" s="85" t="s">
        <v>662</v>
      </c>
      <c r="AA107" s="75">
        <v>0</v>
      </c>
      <c r="AB107" s="86">
        <v>0</v>
      </c>
      <c r="AC107" s="75" t="s">
        <v>710</v>
      </c>
      <c r="AD107" s="75">
        <v>0</v>
      </c>
      <c r="AE107" s="75" t="str">
        <f t="shared" si="18"/>
        <v>Lv15</v>
      </c>
      <c r="AF107" s="75">
        <v>0</v>
      </c>
      <c r="AG107" s="75">
        <v>0</v>
      </c>
      <c r="AH107" s="70" t="s">
        <v>878</v>
      </c>
      <c r="AI107" s="75">
        <v>0</v>
      </c>
      <c r="AJ107" s="86">
        <v>0</v>
      </c>
      <c r="AK107" s="75">
        <v>0</v>
      </c>
      <c r="AL107" s="75" t="s">
        <v>641</v>
      </c>
      <c r="AM107" s="75" t="s">
        <v>831</v>
      </c>
      <c r="AN107" s="75">
        <f>[1]BoxReward!AQ18</f>
        <v>0</v>
      </c>
      <c r="AO107" s="75">
        <v>0</v>
      </c>
      <c r="AP107" s="75">
        <v>80</v>
      </c>
      <c r="AQ107" s="75">
        <v>800</v>
      </c>
      <c r="AR107" s="75" t="s">
        <v>879</v>
      </c>
      <c r="AS107" s="75" t="s">
        <v>880</v>
      </c>
      <c r="AT107" s="76">
        <v>0</v>
      </c>
      <c r="AU107" s="75">
        <v>7</v>
      </c>
      <c r="AV107" s="70" t="s">
        <v>141</v>
      </c>
      <c r="AW107" s="75" t="s">
        <v>666</v>
      </c>
      <c r="AX107" s="53">
        <v>5</v>
      </c>
      <c r="AZ107" s="95">
        <f t="shared" si="21"/>
        <v>5209</v>
      </c>
      <c r="BA107" s="53">
        <f t="shared" si="22"/>
        <v>5209</v>
      </c>
    </row>
    <row r="108" s="62" customFormat="1" ht="16.5" customHeight="1" spans="1:55">
      <c r="A108" s="145">
        <v>201</v>
      </c>
      <c r="B108" s="145">
        <v>1</v>
      </c>
      <c r="C108" s="71" t="s">
        <v>881</v>
      </c>
      <c r="D108" s="145">
        <v>0</v>
      </c>
      <c r="E108" s="145">
        <v>202</v>
      </c>
      <c r="F108" s="71">
        <v>35</v>
      </c>
      <c r="G108" s="71">
        <f t="shared" si="23"/>
        <v>55</v>
      </c>
      <c r="H108" s="145" t="s">
        <v>882</v>
      </c>
      <c r="I108" s="145"/>
      <c r="J108" s="71">
        <v>0</v>
      </c>
      <c r="K108" s="64">
        <v>10</v>
      </c>
      <c r="L108" s="75" t="s">
        <v>141</v>
      </c>
      <c r="M108" s="75">
        <v>0</v>
      </c>
      <c r="N108" s="75">
        <f>辅助!E17</f>
        <v>25</v>
      </c>
      <c r="O108" s="75">
        <f t="shared" si="25"/>
        <v>60</v>
      </c>
      <c r="P108" s="75">
        <f t="shared" si="26"/>
        <v>75</v>
      </c>
      <c r="Q108" s="75">
        <v>250</v>
      </c>
      <c r="R108" s="76">
        <v>2</v>
      </c>
      <c r="S108" s="76">
        <v>15000</v>
      </c>
      <c r="T108" s="76">
        <v>20000</v>
      </c>
      <c r="U108" s="76">
        <v>10</v>
      </c>
      <c r="V108" s="76">
        <f>出怪成长!D152</f>
        <v>0</v>
      </c>
      <c r="W108" s="85" t="s">
        <v>829</v>
      </c>
      <c r="X108" s="76">
        <v>0</v>
      </c>
      <c r="Y108" s="76" t="s">
        <v>472</v>
      </c>
      <c r="Z108" s="85" t="s">
        <v>662</v>
      </c>
      <c r="AA108" s="75">
        <v>0</v>
      </c>
      <c r="AB108" s="86">
        <v>0</v>
      </c>
      <c r="AC108" s="75" t="s">
        <v>710</v>
      </c>
      <c r="AD108" s="75">
        <v>0</v>
      </c>
      <c r="AE108" s="75">
        <v>0</v>
      </c>
      <c r="AF108" s="75">
        <v>0</v>
      </c>
      <c r="AG108" s="75">
        <v>0</v>
      </c>
      <c r="AH108" s="70" t="s">
        <v>883</v>
      </c>
      <c r="AI108" s="76">
        <v>0</v>
      </c>
      <c r="AJ108" s="86">
        <v>0</v>
      </c>
      <c r="AK108" s="76">
        <v>0</v>
      </c>
      <c r="AL108" s="75" t="s">
        <v>884</v>
      </c>
      <c r="AM108" s="75">
        <v>0</v>
      </c>
      <c r="AN108" s="75">
        <v>0</v>
      </c>
      <c r="AO108" s="76">
        <v>0</v>
      </c>
      <c r="AP108" s="75" t="str">
        <f>辅助!AF17</f>
        <v>1:40021#1|2:40022#1</v>
      </c>
      <c r="AQ108" s="76">
        <v>0</v>
      </c>
      <c r="AR108" s="76">
        <v>0</v>
      </c>
      <c r="AS108" s="75" t="s">
        <v>885</v>
      </c>
      <c r="AT108" s="76">
        <v>0</v>
      </c>
      <c r="AU108" s="76">
        <v>0</v>
      </c>
      <c r="AV108" s="70" t="s">
        <v>141</v>
      </c>
      <c r="AW108" s="75" t="s">
        <v>141</v>
      </c>
      <c r="AZ108" s="62">
        <v>1</v>
      </c>
      <c r="BA108" s="62">
        <v>10</v>
      </c>
      <c r="BB108" s="62" t="e">
        <f>""&amp;BA108&amp;"#"&amp;AZ108&amp;"*"&amp;BC108&amp;"*"&amp;BC108*0.1&amp;""</f>
        <v>#REF!</v>
      </c>
      <c r="BC108" s="62" t="e">
        <f>INT((#REF!/(CHOOSE(AZ108,辅助!$C$5,辅助!$C$6,辅助!$C$7,辅助!$C$8,辅助!$C$9,辅助!$C$10,辅助!$C$11,辅助!$C$12,辅助!$C$13)))*10)*0.1</f>
        <v>#REF!</v>
      </c>
    </row>
    <row r="109" s="62" customFormat="1" ht="16.5" customHeight="1" spans="1:55">
      <c r="A109" s="145">
        <v>202</v>
      </c>
      <c r="B109" s="145">
        <v>1</v>
      </c>
      <c r="C109" s="71" t="s">
        <v>886</v>
      </c>
      <c r="D109" s="145">
        <v>0</v>
      </c>
      <c r="E109" s="145">
        <v>203</v>
      </c>
      <c r="F109" s="71">
        <f t="shared" si="29"/>
        <v>36</v>
      </c>
      <c r="G109" s="71">
        <f t="shared" si="23"/>
        <v>56</v>
      </c>
      <c r="H109" s="145" t="s">
        <v>887</v>
      </c>
      <c r="I109" s="145"/>
      <c r="J109" s="71">
        <v>0</v>
      </c>
      <c r="K109" s="64">
        <v>10</v>
      </c>
      <c r="L109" s="75" t="s">
        <v>141</v>
      </c>
      <c r="M109" s="75">
        <v>0</v>
      </c>
      <c r="N109" s="75">
        <f>辅助!E18</f>
        <v>26</v>
      </c>
      <c r="O109" s="75">
        <f t="shared" si="25"/>
        <v>62</v>
      </c>
      <c r="P109" s="75">
        <f t="shared" si="26"/>
        <v>77</v>
      </c>
      <c r="Q109" s="75">
        <v>250</v>
      </c>
      <c r="R109" s="76">
        <v>4</v>
      </c>
      <c r="S109" s="76">
        <v>15000</v>
      </c>
      <c r="T109" s="76">
        <v>20000</v>
      </c>
      <c r="U109" s="76">
        <v>10</v>
      </c>
      <c r="V109" s="76">
        <f>出怪成长!D153</f>
        <v>0</v>
      </c>
      <c r="W109" s="85" t="s">
        <v>829</v>
      </c>
      <c r="X109" s="76">
        <v>0</v>
      </c>
      <c r="Y109" s="76" t="s">
        <v>472</v>
      </c>
      <c r="Z109" s="85" t="s">
        <v>662</v>
      </c>
      <c r="AA109" s="75">
        <v>0</v>
      </c>
      <c r="AB109" s="86">
        <v>0</v>
      </c>
      <c r="AC109" s="75" t="s">
        <v>710</v>
      </c>
      <c r="AD109" s="75">
        <v>0</v>
      </c>
      <c r="AE109" s="75">
        <v>0</v>
      </c>
      <c r="AF109" s="75">
        <v>0</v>
      </c>
      <c r="AG109" s="75">
        <v>0</v>
      </c>
      <c r="AH109" s="70" t="s">
        <v>888</v>
      </c>
      <c r="AI109" s="76">
        <v>0</v>
      </c>
      <c r="AJ109" s="86">
        <v>0</v>
      </c>
      <c r="AK109" s="76">
        <v>0</v>
      </c>
      <c r="AL109" s="75" t="s">
        <v>884</v>
      </c>
      <c r="AM109" s="75">
        <v>0</v>
      </c>
      <c r="AN109" s="75">
        <v>0</v>
      </c>
      <c r="AO109" s="76">
        <v>0</v>
      </c>
      <c r="AP109" s="75" t="str">
        <f>辅助!AF18</f>
        <v>1:40021#1|2:40022#1</v>
      </c>
      <c r="AQ109" s="76">
        <v>0</v>
      </c>
      <c r="AR109" s="76">
        <v>0</v>
      </c>
      <c r="AS109" s="75" t="s">
        <v>889</v>
      </c>
      <c r="AT109" s="76">
        <v>0</v>
      </c>
      <c r="AU109" s="76">
        <v>0</v>
      </c>
      <c r="AV109" s="70" t="s">
        <v>141</v>
      </c>
      <c r="AW109" s="75" t="s">
        <v>141</v>
      </c>
      <c r="AZ109" s="62">
        <v>4</v>
      </c>
      <c r="BA109" s="62">
        <v>15</v>
      </c>
    </row>
    <row r="110" s="62" customFormat="1" ht="16.5" customHeight="1" spans="1:55">
      <c r="A110" s="145">
        <v>203</v>
      </c>
      <c r="B110" s="145">
        <v>1</v>
      </c>
      <c r="C110" s="71" t="s">
        <v>890</v>
      </c>
      <c r="D110" s="145">
        <v>0</v>
      </c>
      <c r="E110" s="145">
        <v>204</v>
      </c>
      <c r="F110" s="71">
        <v>36</v>
      </c>
      <c r="G110" s="71">
        <f t="shared" si="23"/>
        <v>56</v>
      </c>
      <c r="H110" s="145" t="s">
        <v>891</v>
      </c>
      <c r="I110" s="145"/>
      <c r="J110" s="71">
        <v>0</v>
      </c>
      <c r="K110" s="64">
        <v>10</v>
      </c>
      <c r="L110" s="75" t="s">
        <v>141</v>
      </c>
      <c r="M110" s="75">
        <v>0</v>
      </c>
      <c r="N110" s="75">
        <f>辅助!E19</f>
        <v>27</v>
      </c>
      <c r="O110" s="75">
        <f t="shared" si="25"/>
        <v>63</v>
      </c>
      <c r="P110" s="75">
        <f t="shared" si="26"/>
        <v>78</v>
      </c>
      <c r="Q110" s="75">
        <v>250</v>
      </c>
      <c r="R110" s="76">
        <v>6</v>
      </c>
      <c r="S110" s="76">
        <v>15000</v>
      </c>
      <c r="T110" s="76">
        <v>20000</v>
      </c>
      <c r="U110" s="76">
        <v>10</v>
      </c>
      <c r="V110" s="76">
        <f>出怪成长!D154</f>
        <v>0</v>
      </c>
      <c r="W110" s="85" t="s">
        <v>829</v>
      </c>
      <c r="X110" s="76">
        <v>0</v>
      </c>
      <c r="Y110" s="76" t="s">
        <v>472</v>
      </c>
      <c r="Z110" s="85" t="s">
        <v>662</v>
      </c>
      <c r="AA110" s="75">
        <v>0</v>
      </c>
      <c r="AB110" s="86">
        <v>0</v>
      </c>
      <c r="AC110" s="75" t="s">
        <v>710</v>
      </c>
      <c r="AD110" s="75">
        <v>0</v>
      </c>
      <c r="AE110" s="75">
        <v>0</v>
      </c>
      <c r="AF110" s="75">
        <v>0</v>
      </c>
      <c r="AG110" s="75">
        <v>0</v>
      </c>
      <c r="AH110" s="70" t="s">
        <v>892</v>
      </c>
      <c r="AI110" s="76">
        <v>0</v>
      </c>
      <c r="AJ110" s="86">
        <v>0</v>
      </c>
      <c r="AK110" s="76">
        <v>0</v>
      </c>
      <c r="AL110" s="75" t="s">
        <v>884</v>
      </c>
      <c r="AM110" s="75">
        <v>0</v>
      </c>
      <c r="AN110" s="75">
        <v>0</v>
      </c>
      <c r="AO110" s="76">
        <v>0</v>
      </c>
      <c r="AP110" s="75" t="str">
        <f>辅助!AF19</f>
        <v>1:40021#1|2:40022#1</v>
      </c>
      <c r="AQ110" s="76">
        <v>0</v>
      </c>
      <c r="AR110" s="76">
        <v>0</v>
      </c>
      <c r="AS110" s="75" t="s">
        <v>893</v>
      </c>
      <c r="AT110" s="76">
        <v>0</v>
      </c>
      <c r="AU110" s="76">
        <v>0</v>
      </c>
      <c r="AV110" s="70" t="s">
        <v>141</v>
      </c>
      <c r="AW110" s="75" t="s">
        <v>141</v>
      </c>
      <c r="AZ110" s="62">
        <v>7</v>
      </c>
      <c r="BA110" s="62">
        <v>20</v>
      </c>
    </row>
    <row r="111" s="63" customFormat="1" ht="16.5" customHeight="1" spans="1:55">
      <c r="A111" s="64">
        <v>301</v>
      </c>
      <c r="B111" s="64">
        <v>2</v>
      </c>
      <c r="C111" s="71" t="s">
        <v>894</v>
      </c>
      <c r="D111" s="64">
        <v>0</v>
      </c>
      <c r="E111" s="64">
        <v>302</v>
      </c>
      <c r="F111" s="71">
        <f t="shared" si="29"/>
        <v>37</v>
      </c>
      <c r="G111" s="71">
        <f t="shared" si="23"/>
        <v>57</v>
      </c>
      <c r="H111" s="64" t="s">
        <v>882</v>
      </c>
      <c r="I111" s="64"/>
      <c r="J111" s="71">
        <v>0</v>
      </c>
      <c r="K111" s="64">
        <v>10</v>
      </c>
      <c r="L111" s="75" t="s">
        <v>141</v>
      </c>
      <c r="M111" s="75">
        <v>0</v>
      </c>
      <c r="N111" s="75">
        <f>辅助!E20</f>
        <v>28</v>
      </c>
      <c r="O111" s="75">
        <f t="shared" si="25"/>
        <v>65</v>
      </c>
      <c r="P111" s="75">
        <f t="shared" si="26"/>
        <v>80</v>
      </c>
      <c r="Q111" s="75">
        <v>250</v>
      </c>
      <c r="R111" s="76">
        <v>2</v>
      </c>
      <c r="S111" s="76">
        <v>15000</v>
      </c>
      <c r="T111" s="76">
        <v>20000</v>
      </c>
      <c r="U111" s="76">
        <v>10</v>
      </c>
      <c r="V111" s="76">
        <f>出怪成长!D155</f>
        <v>0</v>
      </c>
      <c r="W111" s="85" t="s">
        <v>829</v>
      </c>
      <c r="X111" s="76">
        <v>0</v>
      </c>
      <c r="Y111" s="76" t="s">
        <v>472</v>
      </c>
      <c r="Z111" s="85" t="s">
        <v>662</v>
      </c>
      <c r="AA111" s="75">
        <v>0</v>
      </c>
      <c r="AB111" s="86">
        <v>0</v>
      </c>
      <c r="AC111" s="75" t="s">
        <v>710</v>
      </c>
      <c r="AD111" s="75">
        <v>0</v>
      </c>
      <c r="AE111" s="75">
        <v>0</v>
      </c>
      <c r="AF111" s="75">
        <v>0</v>
      </c>
      <c r="AG111" s="75">
        <v>0</v>
      </c>
      <c r="AH111" s="70" t="s">
        <v>895</v>
      </c>
      <c r="AI111" s="76">
        <v>0</v>
      </c>
      <c r="AJ111" s="86">
        <v>0</v>
      </c>
      <c r="AK111" s="76">
        <v>0</v>
      </c>
      <c r="AL111" s="75" t="s">
        <v>641</v>
      </c>
      <c r="AM111" s="75">
        <v>0</v>
      </c>
      <c r="AN111" s="75">
        <v>0</v>
      </c>
      <c r="AO111" s="76">
        <v>0</v>
      </c>
      <c r="AP111" s="75" t="str">
        <f>辅助!AF20</f>
        <v>1:40021#1|2:40022#1</v>
      </c>
      <c r="AQ111" s="76">
        <v>0</v>
      </c>
      <c r="AR111" s="76">
        <v>0</v>
      </c>
      <c r="AS111" s="75" t="s">
        <v>885</v>
      </c>
      <c r="AT111" s="76">
        <v>0</v>
      </c>
      <c r="AU111" s="76">
        <v>0</v>
      </c>
      <c r="AV111" s="70" t="s">
        <v>141</v>
      </c>
      <c r="AW111" s="75" t="s">
        <v>141</v>
      </c>
      <c r="AZ111" s="62">
        <v>1</v>
      </c>
      <c r="BA111" s="62">
        <v>10</v>
      </c>
      <c r="BB111" s="62"/>
    </row>
    <row r="112" s="63" customFormat="1" ht="16.5" customHeight="1" spans="1:55">
      <c r="A112" s="64">
        <v>302</v>
      </c>
      <c r="B112" s="64">
        <v>2</v>
      </c>
      <c r="C112" s="71" t="s">
        <v>896</v>
      </c>
      <c r="D112" s="64">
        <v>0</v>
      </c>
      <c r="E112" s="64">
        <v>303</v>
      </c>
      <c r="F112" s="71">
        <v>37</v>
      </c>
      <c r="G112" s="71">
        <f t="shared" si="23"/>
        <v>57</v>
      </c>
      <c r="H112" s="64" t="s">
        <v>887</v>
      </c>
      <c r="I112" s="64"/>
      <c r="J112" s="71">
        <v>0</v>
      </c>
      <c r="K112" s="64">
        <v>10</v>
      </c>
      <c r="L112" s="75" t="s">
        <v>141</v>
      </c>
      <c r="M112" s="75">
        <v>0</v>
      </c>
      <c r="N112" s="75">
        <f>辅助!E21</f>
        <v>29</v>
      </c>
      <c r="O112" s="75">
        <f t="shared" si="25"/>
        <v>66</v>
      </c>
      <c r="P112" s="75">
        <f t="shared" si="26"/>
        <v>81</v>
      </c>
      <c r="Q112" s="75">
        <v>250</v>
      </c>
      <c r="R112" s="76">
        <v>4</v>
      </c>
      <c r="S112" s="76">
        <v>15000</v>
      </c>
      <c r="T112" s="76">
        <v>20000</v>
      </c>
      <c r="U112" s="76">
        <v>10</v>
      </c>
      <c r="V112" s="76">
        <f>出怪成长!D156</f>
        <v>0</v>
      </c>
      <c r="W112" s="85" t="s">
        <v>829</v>
      </c>
      <c r="X112" s="76">
        <v>0</v>
      </c>
      <c r="Y112" s="76" t="s">
        <v>472</v>
      </c>
      <c r="Z112" s="85" t="s">
        <v>662</v>
      </c>
      <c r="AA112" s="75">
        <v>0</v>
      </c>
      <c r="AB112" s="86">
        <v>0</v>
      </c>
      <c r="AC112" s="75" t="s">
        <v>710</v>
      </c>
      <c r="AD112" s="75">
        <v>0</v>
      </c>
      <c r="AE112" s="75">
        <v>0</v>
      </c>
      <c r="AF112" s="75">
        <v>0</v>
      </c>
      <c r="AG112" s="75">
        <v>0</v>
      </c>
      <c r="AH112" s="70" t="s">
        <v>897</v>
      </c>
      <c r="AI112" s="76">
        <v>0</v>
      </c>
      <c r="AJ112" s="86">
        <v>0</v>
      </c>
      <c r="AK112" s="76">
        <v>0</v>
      </c>
      <c r="AL112" s="75" t="s">
        <v>641</v>
      </c>
      <c r="AM112" s="75">
        <v>0</v>
      </c>
      <c r="AN112" s="75">
        <v>0</v>
      </c>
      <c r="AO112" s="76">
        <v>0</v>
      </c>
      <c r="AP112" s="75" t="str">
        <f>辅助!AF21</f>
        <v>1:40021#1|2:40022#1</v>
      </c>
      <c r="AQ112" s="76">
        <v>0</v>
      </c>
      <c r="AR112" s="76">
        <v>0</v>
      </c>
      <c r="AS112" s="75" t="s">
        <v>889</v>
      </c>
      <c r="AT112" s="76">
        <v>0</v>
      </c>
      <c r="AU112" s="76">
        <v>0</v>
      </c>
      <c r="AV112" s="70" t="s">
        <v>141</v>
      </c>
      <c r="AW112" s="75" t="s">
        <v>141</v>
      </c>
      <c r="AZ112" s="62">
        <v>4</v>
      </c>
      <c r="BA112" s="62">
        <v>15</v>
      </c>
      <c r="BB112" s="62"/>
    </row>
    <row r="113" s="63" customFormat="1" ht="16.5" customHeight="1" spans="1:57">
      <c r="A113" s="64">
        <v>303</v>
      </c>
      <c r="B113" s="64">
        <v>2</v>
      </c>
      <c r="C113" s="71" t="s">
        <v>898</v>
      </c>
      <c r="D113" s="64">
        <v>0</v>
      </c>
      <c r="E113" s="64">
        <v>304</v>
      </c>
      <c r="F113" s="71">
        <f t="shared" ref="F113:F117" si="30">F112+1</f>
        <v>38</v>
      </c>
      <c r="G113" s="71">
        <f t="shared" si="23"/>
        <v>58</v>
      </c>
      <c r="H113" s="64" t="s">
        <v>891</v>
      </c>
      <c r="I113" s="64"/>
      <c r="J113" s="71">
        <v>0</v>
      </c>
      <c r="K113" s="64">
        <v>10</v>
      </c>
      <c r="L113" s="75" t="s">
        <v>141</v>
      </c>
      <c r="M113" s="75">
        <v>0</v>
      </c>
      <c r="N113" s="75">
        <f>辅助!E22</f>
        <v>30</v>
      </c>
      <c r="O113" s="75">
        <f t="shared" si="25"/>
        <v>68</v>
      </c>
      <c r="P113" s="75">
        <f t="shared" si="26"/>
        <v>83</v>
      </c>
      <c r="Q113" s="75">
        <v>250</v>
      </c>
      <c r="R113" s="76">
        <v>6</v>
      </c>
      <c r="S113" s="76">
        <v>15000</v>
      </c>
      <c r="T113" s="76">
        <v>20000</v>
      </c>
      <c r="U113" s="76">
        <v>10</v>
      </c>
      <c r="V113" s="76">
        <f>出怪成长!D157</f>
        <v>0</v>
      </c>
      <c r="W113" s="85" t="s">
        <v>829</v>
      </c>
      <c r="X113" s="76">
        <v>0</v>
      </c>
      <c r="Y113" s="76" t="s">
        <v>472</v>
      </c>
      <c r="Z113" s="85" t="s">
        <v>662</v>
      </c>
      <c r="AA113" s="75">
        <v>0</v>
      </c>
      <c r="AB113" s="86">
        <v>0</v>
      </c>
      <c r="AC113" s="75" t="s">
        <v>710</v>
      </c>
      <c r="AD113" s="75">
        <v>0</v>
      </c>
      <c r="AE113" s="75">
        <v>0</v>
      </c>
      <c r="AF113" s="75">
        <v>0</v>
      </c>
      <c r="AG113" s="75">
        <v>0</v>
      </c>
      <c r="AH113" s="70" t="s">
        <v>899</v>
      </c>
      <c r="AI113" s="76">
        <v>0</v>
      </c>
      <c r="AJ113" s="86">
        <v>0</v>
      </c>
      <c r="AK113" s="76">
        <v>0</v>
      </c>
      <c r="AL113" s="75" t="s">
        <v>641</v>
      </c>
      <c r="AM113" s="75">
        <v>0</v>
      </c>
      <c r="AN113" s="75">
        <v>0</v>
      </c>
      <c r="AO113" s="76">
        <v>0</v>
      </c>
      <c r="AP113" s="75" t="str">
        <f>辅助!AF22</f>
        <v>1:40021#1|2:40022#1</v>
      </c>
      <c r="AQ113" s="76">
        <v>0</v>
      </c>
      <c r="AR113" s="76">
        <v>0</v>
      </c>
      <c r="AS113" s="75" t="s">
        <v>893</v>
      </c>
      <c r="AT113" s="76">
        <v>0</v>
      </c>
      <c r="AU113" s="76">
        <v>0</v>
      </c>
      <c r="AV113" s="70" t="s">
        <v>141</v>
      </c>
      <c r="AW113" s="75" t="s">
        <v>141</v>
      </c>
      <c r="AZ113" s="62">
        <v>7</v>
      </c>
      <c r="BA113" s="62">
        <v>20</v>
      </c>
      <c r="BB113" s="62"/>
    </row>
    <row r="114" s="64" customFormat="1" spans="1:57">
      <c r="A114" s="64">
        <v>999</v>
      </c>
      <c r="B114" s="64">
        <v>8</v>
      </c>
      <c r="C114" s="71" t="s">
        <v>900</v>
      </c>
      <c r="D114" s="64">
        <v>0</v>
      </c>
      <c r="E114" s="64">
        <v>0</v>
      </c>
      <c r="F114" s="71">
        <v>38</v>
      </c>
      <c r="G114" s="71">
        <f t="shared" si="23"/>
        <v>58</v>
      </c>
      <c r="H114" s="64">
        <v>0</v>
      </c>
      <c r="J114" s="71">
        <v>0</v>
      </c>
      <c r="K114" s="64">
        <v>10</v>
      </c>
      <c r="L114" s="75" t="s">
        <v>141</v>
      </c>
      <c r="M114" s="75">
        <v>0</v>
      </c>
      <c r="N114" s="75">
        <v>0</v>
      </c>
      <c r="O114" s="75">
        <f t="shared" si="25"/>
        <v>38</v>
      </c>
      <c r="P114" s="75">
        <f t="shared" si="26"/>
        <v>53</v>
      </c>
      <c r="Q114" s="75">
        <v>250</v>
      </c>
      <c r="R114" s="75">
        <v>0</v>
      </c>
      <c r="S114" s="76">
        <v>15000</v>
      </c>
      <c r="T114" s="76">
        <v>20000</v>
      </c>
      <c r="U114" s="76">
        <v>10</v>
      </c>
      <c r="V114" s="76">
        <f>出怪成长!D158</f>
        <v>0</v>
      </c>
      <c r="W114" s="85" t="s">
        <v>829</v>
      </c>
      <c r="X114" s="75">
        <v>0</v>
      </c>
      <c r="Y114" s="76" t="s">
        <v>472</v>
      </c>
      <c r="Z114" s="85" t="s">
        <v>662</v>
      </c>
      <c r="AA114" s="75">
        <v>0</v>
      </c>
      <c r="AB114" s="75">
        <v>0</v>
      </c>
      <c r="AC114" s="75" t="s">
        <v>710</v>
      </c>
      <c r="AD114" s="75">
        <v>0</v>
      </c>
      <c r="AE114" s="75">
        <v>0</v>
      </c>
      <c r="AF114" s="75">
        <v>0</v>
      </c>
      <c r="AG114" s="75">
        <v>0</v>
      </c>
      <c r="AH114" s="70" t="s">
        <v>901</v>
      </c>
      <c r="AI114" s="75">
        <v>0</v>
      </c>
      <c r="AJ114" s="75">
        <v>0</v>
      </c>
      <c r="AK114" s="75">
        <v>0</v>
      </c>
      <c r="AL114" s="75">
        <v>0</v>
      </c>
      <c r="AM114" s="75">
        <v>0</v>
      </c>
      <c r="AN114" s="75">
        <v>0</v>
      </c>
      <c r="AO114" s="75">
        <v>0</v>
      </c>
      <c r="AP114" s="75">
        <v>0</v>
      </c>
      <c r="AQ114" s="75">
        <v>0</v>
      </c>
      <c r="AR114" s="75">
        <v>0</v>
      </c>
      <c r="AS114" s="75">
        <v>0</v>
      </c>
      <c r="AT114" s="76">
        <v>0</v>
      </c>
      <c r="AU114" s="75">
        <v>0</v>
      </c>
      <c r="AV114" s="70" t="s">
        <v>141</v>
      </c>
      <c r="AW114" s="75" t="s">
        <v>666</v>
      </c>
      <c r="BE114" s="53"/>
    </row>
    <row r="115" s="55" customFormat="1" ht="16.5" customHeight="1" spans="1:57">
      <c r="A115" s="146">
        <v>901</v>
      </c>
      <c r="B115" s="146">
        <v>7</v>
      </c>
      <c r="C115" s="71" t="s">
        <v>902</v>
      </c>
      <c r="D115" s="147" t="s">
        <v>137</v>
      </c>
      <c r="E115" s="148">
        <v>0</v>
      </c>
      <c r="F115" s="71">
        <f t="shared" si="30"/>
        <v>39</v>
      </c>
      <c r="G115" s="71">
        <f t="shared" si="23"/>
        <v>59</v>
      </c>
      <c r="H115" s="149">
        <v>0</v>
      </c>
      <c r="I115" s="149"/>
      <c r="J115" s="71">
        <v>0</v>
      </c>
      <c r="K115" s="64">
        <v>10</v>
      </c>
      <c r="L115" s="70" t="s">
        <v>141</v>
      </c>
      <c r="M115" s="75">
        <v>0</v>
      </c>
      <c r="N115" s="75">
        <v>0</v>
      </c>
      <c r="O115" s="75">
        <f t="shared" si="25"/>
        <v>39</v>
      </c>
      <c r="P115" s="75">
        <f t="shared" si="26"/>
        <v>54</v>
      </c>
      <c r="Q115" s="75">
        <v>250</v>
      </c>
      <c r="R115" s="76">
        <v>0</v>
      </c>
      <c r="S115" s="76">
        <v>15000</v>
      </c>
      <c r="T115" s="76">
        <v>20000</v>
      </c>
      <c r="U115" s="76">
        <v>10</v>
      </c>
      <c r="V115" s="76">
        <f>出怪成长!D159</f>
        <v>0</v>
      </c>
      <c r="W115" s="85" t="s">
        <v>829</v>
      </c>
      <c r="X115" s="76">
        <v>0</v>
      </c>
      <c r="Y115" s="76" t="s">
        <v>472</v>
      </c>
      <c r="Z115" s="85" t="s">
        <v>662</v>
      </c>
      <c r="AA115" s="75">
        <v>0</v>
      </c>
      <c r="AB115" s="68">
        <v>0</v>
      </c>
      <c r="AC115" s="75" t="s">
        <v>710</v>
      </c>
      <c r="AD115" s="75">
        <v>0</v>
      </c>
      <c r="AE115" s="75" t="s">
        <v>28</v>
      </c>
      <c r="AF115" s="75">
        <v>0</v>
      </c>
      <c r="AG115" s="75">
        <v>0</v>
      </c>
      <c r="AH115" s="70" t="s">
        <v>903</v>
      </c>
      <c r="AI115" s="68">
        <v>0</v>
      </c>
      <c r="AJ115" s="68">
        <v>0</v>
      </c>
      <c r="AK115" s="68">
        <v>0</v>
      </c>
      <c r="AL115" s="68">
        <v>0</v>
      </c>
      <c r="AM115" s="75">
        <v>0</v>
      </c>
      <c r="AN115" s="75">
        <v>0</v>
      </c>
      <c r="AO115" s="76">
        <v>1</v>
      </c>
      <c r="AP115" s="76">
        <v>0</v>
      </c>
      <c r="AQ115" s="76">
        <v>1</v>
      </c>
      <c r="AR115" s="76">
        <v>0</v>
      </c>
      <c r="AS115" s="75">
        <v>0</v>
      </c>
      <c r="AT115" s="76">
        <v>0</v>
      </c>
      <c r="AU115" s="75">
        <v>0</v>
      </c>
      <c r="AV115" s="70" t="s">
        <v>141</v>
      </c>
      <c r="AW115" s="75" t="s">
        <v>141</v>
      </c>
    </row>
    <row r="116" s="55" customFormat="1" ht="16.5" customHeight="1" spans="1:57">
      <c r="A116" s="146">
        <v>902</v>
      </c>
      <c r="B116" s="146">
        <v>7</v>
      </c>
      <c r="C116" s="71" t="s">
        <v>902</v>
      </c>
      <c r="D116" s="147" t="s">
        <v>137</v>
      </c>
      <c r="E116" s="148">
        <v>0</v>
      </c>
      <c r="F116" s="71">
        <v>39</v>
      </c>
      <c r="G116" s="71">
        <f t="shared" si="23"/>
        <v>59</v>
      </c>
      <c r="H116" s="149">
        <v>0</v>
      </c>
      <c r="I116" s="149"/>
      <c r="J116" s="71">
        <v>0</v>
      </c>
      <c r="K116" s="64">
        <v>10</v>
      </c>
      <c r="L116" s="70" t="s">
        <v>141</v>
      </c>
      <c r="M116" s="75">
        <v>0</v>
      </c>
      <c r="N116" s="75">
        <v>0</v>
      </c>
      <c r="O116" s="75">
        <f t="shared" si="25"/>
        <v>39</v>
      </c>
      <c r="P116" s="75">
        <f t="shared" si="26"/>
        <v>54</v>
      </c>
      <c r="Q116" s="75">
        <v>250</v>
      </c>
      <c r="R116" s="76">
        <v>0</v>
      </c>
      <c r="S116" s="76">
        <v>15000</v>
      </c>
      <c r="T116" s="76">
        <v>20000</v>
      </c>
      <c r="U116" s="76">
        <v>10</v>
      </c>
      <c r="V116" s="76">
        <f>出怪成长!D160</f>
        <v>0</v>
      </c>
      <c r="W116" s="85" t="s">
        <v>829</v>
      </c>
      <c r="X116" s="76">
        <v>0</v>
      </c>
      <c r="Y116" s="76" t="s">
        <v>472</v>
      </c>
      <c r="Z116" s="85" t="s">
        <v>662</v>
      </c>
      <c r="AA116" s="75">
        <v>0</v>
      </c>
      <c r="AB116" s="68">
        <v>0</v>
      </c>
      <c r="AC116" s="75" t="s">
        <v>710</v>
      </c>
      <c r="AD116" s="75">
        <v>0</v>
      </c>
      <c r="AE116" s="75" t="s">
        <v>904</v>
      </c>
      <c r="AF116" s="75">
        <v>0</v>
      </c>
      <c r="AG116" s="75">
        <v>0</v>
      </c>
      <c r="AH116" s="70" t="s">
        <v>905</v>
      </c>
      <c r="AI116" s="68">
        <v>0</v>
      </c>
      <c r="AJ116" s="68">
        <v>0</v>
      </c>
      <c r="AK116" s="68">
        <v>0</v>
      </c>
      <c r="AL116" s="68">
        <v>0</v>
      </c>
      <c r="AM116" s="75">
        <v>0</v>
      </c>
      <c r="AN116" s="75">
        <v>0</v>
      </c>
      <c r="AO116" s="76">
        <v>2</v>
      </c>
      <c r="AP116" s="76">
        <v>0</v>
      </c>
      <c r="AQ116" s="76">
        <v>2</v>
      </c>
      <c r="AR116" s="76">
        <v>0</v>
      </c>
      <c r="AS116" s="75">
        <v>0</v>
      </c>
      <c r="AT116" s="76">
        <v>0</v>
      </c>
      <c r="AU116" s="75">
        <v>0</v>
      </c>
      <c r="AV116" s="70" t="s">
        <v>141</v>
      </c>
      <c r="AW116" s="75" t="s">
        <v>141</v>
      </c>
    </row>
    <row r="117" s="55" customFormat="1" ht="16.5" customHeight="1" spans="1:57">
      <c r="A117" s="146">
        <v>903</v>
      </c>
      <c r="B117" s="146">
        <v>7</v>
      </c>
      <c r="C117" s="71" t="s">
        <v>902</v>
      </c>
      <c r="D117" s="147" t="s">
        <v>137</v>
      </c>
      <c r="E117" s="148">
        <v>0</v>
      </c>
      <c r="F117" s="71">
        <f t="shared" si="30"/>
        <v>40</v>
      </c>
      <c r="G117" s="71">
        <f t="shared" si="23"/>
        <v>60</v>
      </c>
      <c r="H117" s="149">
        <v>0</v>
      </c>
      <c r="I117" s="149"/>
      <c r="J117" s="71">
        <v>0</v>
      </c>
      <c r="K117" s="64">
        <v>10</v>
      </c>
      <c r="L117" s="70" t="s">
        <v>141</v>
      </c>
      <c r="M117" s="75">
        <v>0</v>
      </c>
      <c r="N117" s="75">
        <v>0</v>
      </c>
      <c r="O117" s="75">
        <f t="shared" si="25"/>
        <v>40</v>
      </c>
      <c r="P117" s="75">
        <f t="shared" si="26"/>
        <v>55</v>
      </c>
      <c r="Q117" s="75">
        <v>250</v>
      </c>
      <c r="R117" s="76">
        <v>0</v>
      </c>
      <c r="S117" s="76">
        <v>15000</v>
      </c>
      <c r="T117" s="76">
        <v>20000</v>
      </c>
      <c r="U117" s="76">
        <v>10</v>
      </c>
      <c r="V117" s="76">
        <f>出怪成长!D161</f>
        <v>0</v>
      </c>
      <c r="W117" s="85" t="s">
        <v>829</v>
      </c>
      <c r="X117" s="76">
        <v>0</v>
      </c>
      <c r="Y117" s="76" t="s">
        <v>472</v>
      </c>
      <c r="Z117" s="85" t="s">
        <v>662</v>
      </c>
      <c r="AA117" s="75">
        <v>0</v>
      </c>
      <c r="AB117" s="68">
        <v>0</v>
      </c>
      <c r="AC117" s="75" t="s">
        <v>710</v>
      </c>
      <c r="AD117" s="75">
        <v>0</v>
      </c>
      <c r="AE117" s="75" t="s">
        <v>906</v>
      </c>
      <c r="AF117" s="75">
        <v>0</v>
      </c>
      <c r="AG117" s="75">
        <v>0</v>
      </c>
      <c r="AH117" s="70" t="s">
        <v>907</v>
      </c>
      <c r="AI117" s="68">
        <v>0</v>
      </c>
      <c r="AJ117" s="68">
        <v>0</v>
      </c>
      <c r="AK117" s="68">
        <v>0</v>
      </c>
      <c r="AL117" s="68">
        <v>0</v>
      </c>
      <c r="AM117" s="75">
        <v>0</v>
      </c>
      <c r="AN117" s="75">
        <v>0</v>
      </c>
      <c r="AO117" s="76">
        <v>3</v>
      </c>
      <c r="AP117" s="76">
        <v>0</v>
      </c>
      <c r="AQ117" s="76">
        <v>3</v>
      </c>
      <c r="AR117" s="76">
        <v>0</v>
      </c>
      <c r="AS117" s="75">
        <v>0</v>
      </c>
      <c r="AT117" s="76">
        <v>0</v>
      </c>
      <c r="AU117" s="75">
        <v>0</v>
      </c>
      <c r="AV117" s="70" t="s">
        <v>141</v>
      </c>
      <c r="AW117" s="75" t="s">
        <v>141</v>
      </c>
    </row>
    <row r="118" s="65" customFormat="1" ht="16.5" customHeight="1" spans="1:57">
      <c r="A118" s="150">
        <v>931</v>
      </c>
      <c r="B118" s="146">
        <v>8</v>
      </c>
      <c r="C118" s="71" t="s">
        <v>908</v>
      </c>
      <c r="D118" s="151" t="s">
        <v>137</v>
      </c>
      <c r="E118" s="152">
        <v>0</v>
      </c>
      <c r="F118" s="71">
        <v>40</v>
      </c>
      <c r="G118" s="71">
        <f t="shared" si="23"/>
        <v>60</v>
      </c>
      <c r="H118" s="149">
        <v>0</v>
      </c>
      <c r="I118" s="149"/>
      <c r="J118" s="71">
        <v>0</v>
      </c>
      <c r="K118" s="64">
        <v>10</v>
      </c>
      <c r="L118" s="70" t="s">
        <v>141</v>
      </c>
      <c r="M118" s="75">
        <v>0</v>
      </c>
      <c r="N118" s="75">
        <v>0</v>
      </c>
      <c r="O118" s="75">
        <f t="shared" si="25"/>
        <v>40</v>
      </c>
      <c r="P118" s="75">
        <f t="shared" si="26"/>
        <v>55</v>
      </c>
      <c r="Q118" s="75">
        <v>250</v>
      </c>
      <c r="R118" s="76">
        <v>0</v>
      </c>
      <c r="S118" s="76">
        <v>15000</v>
      </c>
      <c r="T118" s="76">
        <v>20000</v>
      </c>
      <c r="U118" s="76">
        <v>10</v>
      </c>
      <c r="V118" s="76">
        <f>出怪成长!D162</f>
        <v>0</v>
      </c>
      <c r="W118" s="85" t="s">
        <v>829</v>
      </c>
      <c r="X118" s="76">
        <v>0</v>
      </c>
      <c r="Y118" s="76" t="s">
        <v>472</v>
      </c>
      <c r="Z118" s="85" t="s">
        <v>662</v>
      </c>
      <c r="AA118" s="75">
        <v>0</v>
      </c>
      <c r="AB118" s="68">
        <v>0</v>
      </c>
      <c r="AC118" s="75" t="s">
        <v>710</v>
      </c>
      <c r="AD118" s="75">
        <v>0</v>
      </c>
      <c r="AE118" s="75">
        <v>0</v>
      </c>
      <c r="AF118" s="75">
        <v>0</v>
      </c>
      <c r="AG118" s="75">
        <v>0</v>
      </c>
      <c r="AH118" s="70" t="s">
        <v>909</v>
      </c>
      <c r="AI118" s="68">
        <v>0</v>
      </c>
      <c r="AJ118" s="68">
        <v>0</v>
      </c>
      <c r="AK118" s="68">
        <v>0</v>
      </c>
      <c r="AL118" s="68">
        <v>0</v>
      </c>
      <c r="AM118" s="75">
        <v>0</v>
      </c>
      <c r="AN118" s="75">
        <v>0</v>
      </c>
      <c r="AO118" s="76">
        <v>0</v>
      </c>
      <c r="AP118" s="76">
        <v>0</v>
      </c>
      <c r="AQ118" s="76">
        <v>0</v>
      </c>
      <c r="AR118" s="76">
        <v>0</v>
      </c>
      <c r="AS118" s="75" t="s">
        <v>910</v>
      </c>
      <c r="AT118" s="76">
        <v>0</v>
      </c>
      <c r="AU118" s="75">
        <v>0</v>
      </c>
      <c r="AV118" s="70" t="s">
        <v>141</v>
      </c>
      <c r="AW118" s="75" t="s">
        <v>141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workbookViewId="0">
      <pane ySplit="4" topLeftCell="A5" activePane="bottomLeft" state="frozen"/>
      <selection/>
      <selection pane="bottomLeft" activeCell="C12" sqref="C12"/>
    </sheetView>
  </sheetViews>
  <sheetFormatPr defaultColWidth="9" defaultRowHeight="13.5"/>
  <cols>
    <col min="1" max="1" width="14.125" style="50" customWidth="1"/>
    <col min="2" max="2" width="9" style="50"/>
    <col min="3" max="3" width="13.25" style="50" customWidth="1"/>
    <col min="4" max="16384" width="9" style="50"/>
  </cols>
  <sheetData>
    <row r="1" spans="1:12">
      <c r="A1" s="50" t="s">
        <v>43</v>
      </c>
      <c r="B1" s="50" t="s">
        <v>26</v>
      </c>
      <c r="C1" s="50" t="s">
        <v>27</v>
      </c>
      <c r="D1" s="50" t="s">
        <v>1116</v>
      </c>
      <c r="E1" s="50" t="s">
        <v>1116</v>
      </c>
      <c r="H1" s="50" t="s">
        <v>1117</v>
      </c>
      <c r="I1" s="50">
        <v>0.3</v>
      </c>
      <c r="J1" s="50" t="s">
        <v>1118</v>
      </c>
      <c r="K1" s="50">
        <v>1</v>
      </c>
    </row>
    <row r="2" spans="1:12">
      <c r="A2" s="50" t="s">
        <v>62</v>
      </c>
      <c r="B2" s="50" t="s">
        <v>61</v>
      </c>
      <c r="C2" s="50" t="s">
        <v>61</v>
      </c>
      <c r="D2" s="50">
        <v>5</v>
      </c>
      <c r="E2" s="50">
        <v>3</v>
      </c>
      <c r="F2" s="50">
        <v>3</v>
      </c>
    </row>
    <row r="3" spans="1:12">
      <c r="D3" s="50">
        <v>1.5</v>
      </c>
      <c r="E3" s="50">
        <v>0.6</v>
      </c>
      <c r="F3" s="50">
        <v>0.6</v>
      </c>
    </row>
    <row r="4" spans="1:12">
      <c r="A4" s="50" t="s">
        <v>1119</v>
      </c>
      <c r="B4" s="50" t="s">
        <v>1120</v>
      </c>
      <c r="C4" s="50" t="s">
        <v>91</v>
      </c>
      <c r="D4" s="50" t="s">
        <v>1121</v>
      </c>
      <c r="E4" s="50" t="s">
        <v>1122</v>
      </c>
      <c r="F4" s="50" t="s">
        <v>1123</v>
      </c>
      <c r="H4" s="50" t="s">
        <v>1121</v>
      </c>
      <c r="I4" s="50" t="s">
        <v>1122</v>
      </c>
      <c r="J4" s="50" t="s">
        <v>1123</v>
      </c>
    </row>
    <row r="5" spans="1:12">
      <c r="A5" s="50" t="s">
        <v>1124</v>
      </c>
      <c r="B5" s="50">
        <f>Migong!AA4</f>
        <v>0</v>
      </c>
      <c r="C5" s="50">
        <v>1</v>
      </c>
      <c r="D5" s="51">
        <v>15</v>
      </c>
      <c r="E5" s="51">
        <v>10</v>
      </c>
      <c r="F5" s="51">
        <v>5</v>
      </c>
      <c r="G5" s="52" t="str">
        <f t="shared" ref="G5:G14" si="0">D5&amp;$D$1&amp;E5&amp;$E$1&amp;F5</f>
        <v>15#10#5</v>
      </c>
      <c r="H5" s="50">
        <f t="shared" ref="H5:H14" si="1">INT(D5+(D5*$I$1*$K$1))</f>
        <v>19</v>
      </c>
      <c r="I5" s="50">
        <f t="shared" ref="I5:I14" si="2">INT(E5+(E5*$I$1*$K$1))</f>
        <v>13</v>
      </c>
      <c r="J5" s="50">
        <f t="shared" ref="J5:J14" si="3">INT(F5+(F5*$I$1*$K$1))</f>
        <v>6</v>
      </c>
      <c r="K5" s="52" t="str">
        <f t="shared" ref="K5:K14" si="4">H5&amp;$D$1&amp;I5&amp;$E$1&amp;J5</f>
        <v>19#13#6</v>
      </c>
      <c r="L5" s="52"/>
    </row>
    <row r="6" spans="1:12">
      <c r="A6" s="50" t="s">
        <v>1125</v>
      </c>
      <c r="B6" s="50" t="str">
        <f>Migong!AA5</f>
        <v>-1</v>
      </c>
      <c r="C6" s="50">
        <v>1</v>
      </c>
      <c r="D6" s="51">
        <f t="shared" ref="D6:D14" si="5">INT(($D$5+$D$2+B6)*$D$3)</f>
        <v>28</v>
      </c>
      <c r="E6" s="51">
        <f t="shared" ref="E6:E14" si="6">INT(($E$5+$E$2+B6)*$E$3)</f>
        <v>7</v>
      </c>
      <c r="F6" s="51">
        <f t="shared" ref="F6:F14" si="7">INT(($F$5+$F$2+B6)*$F$3)</f>
        <v>4</v>
      </c>
      <c r="G6" s="52" t="str">
        <f t="shared" si="0"/>
        <v>28#7#4</v>
      </c>
      <c r="H6" s="50">
        <f t="shared" si="1"/>
        <v>36</v>
      </c>
      <c r="I6" s="50">
        <f t="shared" si="2"/>
        <v>9</v>
      </c>
      <c r="J6" s="50">
        <f t="shared" si="3"/>
        <v>5</v>
      </c>
      <c r="K6" s="52" t="str">
        <f t="shared" si="4"/>
        <v>36#9#5</v>
      </c>
    </row>
    <row r="7" spans="1:12">
      <c r="A7" s="50" t="s">
        <v>1126</v>
      </c>
      <c r="B7" s="50" t="str">
        <f>Migong!AA6</f>
        <v>0</v>
      </c>
      <c r="C7" s="50">
        <v>3</v>
      </c>
      <c r="D7" s="51">
        <f t="shared" si="5"/>
        <v>30</v>
      </c>
      <c r="E7" s="51">
        <f t="shared" si="6"/>
        <v>7</v>
      </c>
      <c r="F7" s="51">
        <f t="shared" si="7"/>
        <v>4</v>
      </c>
      <c r="G7" s="52" t="str">
        <f t="shared" si="0"/>
        <v>30#7#4</v>
      </c>
      <c r="H7" s="50">
        <f t="shared" si="1"/>
        <v>39</v>
      </c>
      <c r="I7" s="50">
        <f t="shared" si="2"/>
        <v>9</v>
      </c>
      <c r="J7" s="50">
        <f t="shared" si="3"/>
        <v>5</v>
      </c>
      <c r="K7" s="52" t="str">
        <f t="shared" si="4"/>
        <v>39#9#5</v>
      </c>
    </row>
    <row r="8" spans="1:12">
      <c r="A8" s="50" t="s">
        <v>1127</v>
      </c>
      <c r="B8" s="50" t="str">
        <f>Migong!AA7</f>
        <v>1</v>
      </c>
      <c r="C8" s="50">
        <v>6</v>
      </c>
      <c r="D8" s="51">
        <f t="shared" si="5"/>
        <v>31</v>
      </c>
      <c r="E8" s="51">
        <f t="shared" si="6"/>
        <v>8</v>
      </c>
      <c r="F8" s="51">
        <f t="shared" si="7"/>
        <v>5</v>
      </c>
      <c r="G8" s="52" t="str">
        <f t="shared" si="0"/>
        <v>31#8#5</v>
      </c>
      <c r="H8" s="50">
        <f t="shared" si="1"/>
        <v>40</v>
      </c>
      <c r="I8" s="50">
        <f t="shared" si="2"/>
        <v>10</v>
      </c>
      <c r="J8" s="50">
        <f t="shared" si="3"/>
        <v>6</v>
      </c>
      <c r="K8" s="52" t="str">
        <f t="shared" si="4"/>
        <v>40#10#6</v>
      </c>
    </row>
    <row r="9" spans="1:12">
      <c r="A9" s="50" t="s">
        <v>1128</v>
      </c>
      <c r="B9" s="50" t="str">
        <f>Migong!AA8</f>
        <v>-1</v>
      </c>
      <c r="C9" s="50">
        <v>4</v>
      </c>
      <c r="D9" s="51">
        <f t="shared" si="5"/>
        <v>28</v>
      </c>
      <c r="E9" s="51">
        <f t="shared" si="6"/>
        <v>7</v>
      </c>
      <c r="F9" s="51">
        <f t="shared" si="7"/>
        <v>4</v>
      </c>
      <c r="G9" s="52" t="str">
        <f t="shared" si="0"/>
        <v>28#7#4</v>
      </c>
      <c r="H9" s="50">
        <f t="shared" si="1"/>
        <v>36</v>
      </c>
      <c r="I9" s="50">
        <f t="shared" si="2"/>
        <v>9</v>
      </c>
      <c r="J9" s="50">
        <f t="shared" si="3"/>
        <v>5</v>
      </c>
      <c r="K9" s="52" t="str">
        <f t="shared" si="4"/>
        <v>36#9#5</v>
      </c>
    </row>
    <row r="10" spans="1:12">
      <c r="A10" s="50" t="s">
        <v>1129</v>
      </c>
      <c r="B10" s="50" t="str">
        <f>Migong!AA9</f>
        <v>0</v>
      </c>
      <c r="C10" s="50">
        <v>6</v>
      </c>
      <c r="D10" s="51">
        <f t="shared" si="5"/>
        <v>30</v>
      </c>
      <c r="E10" s="51">
        <f t="shared" si="6"/>
        <v>7</v>
      </c>
      <c r="F10" s="51">
        <f t="shared" si="7"/>
        <v>4</v>
      </c>
      <c r="G10" s="52" t="str">
        <f t="shared" si="0"/>
        <v>30#7#4</v>
      </c>
      <c r="H10" s="50">
        <f t="shared" si="1"/>
        <v>39</v>
      </c>
      <c r="I10" s="50">
        <f t="shared" si="2"/>
        <v>9</v>
      </c>
      <c r="J10" s="50">
        <f t="shared" si="3"/>
        <v>5</v>
      </c>
      <c r="K10" s="52" t="str">
        <f t="shared" si="4"/>
        <v>39#9#5</v>
      </c>
    </row>
    <row r="11" spans="1:12">
      <c r="A11" s="50" t="s">
        <v>1130</v>
      </c>
      <c r="B11" s="50" t="str">
        <f>Migong!AA10</f>
        <v>1</v>
      </c>
      <c r="C11" s="50">
        <v>8</v>
      </c>
      <c r="D11" s="51">
        <f t="shared" si="5"/>
        <v>31</v>
      </c>
      <c r="E11" s="51">
        <f t="shared" si="6"/>
        <v>8</v>
      </c>
      <c r="F11" s="51">
        <f t="shared" si="7"/>
        <v>5</v>
      </c>
      <c r="G11" s="52" t="str">
        <f t="shared" si="0"/>
        <v>31#8#5</v>
      </c>
      <c r="H11" s="50">
        <f t="shared" si="1"/>
        <v>40</v>
      </c>
      <c r="I11" s="50">
        <f t="shared" si="2"/>
        <v>10</v>
      </c>
      <c r="J11" s="50">
        <f t="shared" si="3"/>
        <v>6</v>
      </c>
      <c r="K11" s="52" t="str">
        <f t="shared" si="4"/>
        <v>40#10#6</v>
      </c>
    </row>
    <row r="12" spans="1:12">
      <c r="A12" s="50" t="s">
        <v>1131</v>
      </c>
      <c r="B12" s="50" t="str">
        <f>Migong!AA11</f>
        <v>2</v>
      </c>
      <c r="C12" s="50">
        <v>12</v>
      </c>
      <c r="D12" s="51">
        <f t="shared" si="5"/>
        <v>33</v>
      </c>
      <c r="E12" s="51">
        <f t="shared" si="6"/>
        <v>9</v>
      </c>
      <c r="F12" s="51">
        <f t="shared" si="7"/>
        <v>6</v>
      </c>
      <c r="G12" s="52" t="str">
        <f t="shared" si="0"/>
        <v>33#9#6</v>
      </c>
      <c r="H12" s="50">
        <f t="shared" si="1"/>
        <v>42</v>
      </c>
      <c r="I12" s="50">
        <f t="shared" si="2"/>
        <v>11</v>
      </c>
      <c r="J12" s="50">
        <f t="shared" si="3"/>
        <v>7</v>
      </c>
      <c r="K12" s="52" t="str">
        <f t="shared" si="4"/>
        <v>42#11#7</v>
      </c>
    </row>
    <row r="13" spans="1:12">
      <c r="A13" s="50" t="s">
        <v>1132</v>
      </c>
      <c r="B13" s="50">
        <f>Migong!AA12</f>
        <v>2</v>
      </c>
      <c r="C13" s="50">
        <v>11</v>
      </c>
      <c r="D13" s="51">
        <f t="shared" si="5"/>
        <v>33</v>
      </c>
      <c r="E13" s="51">
        <f t="shared" si="6"/>
        <v>9</v>
      </c>
      <c r="F13" s="51">
        <f t="shared" si="7"/>
        <v>6</v>
      </c>
      <c r="G13" s="52" t="str">
        <f t="shared" si="0"/>
        <v>33#9#6</v>
      </c>
      <c r="H13" s="50">
        <f t="shared" si="1"/>
        <v>42</v>
      </c>
      <c r="I13" s="50">
        <f t="shared" si="2"/>
        <v>11</v>
      </c>
      <c r="J13" s="50">
        <f t="shared" si="3"/>
        <v>7</v>
      </c>
      <c r="K13" s="52" t="str">
        <f t="shared" si="4"/>
        <v>42#11#7</v>
      </c>
    </row>
    <row r="14" spans="1:12">
      <c r="A14" s="50" t="s">
        <v>1133</v>
      </c>
      <c r="B14" s="50">
        <f>Migong!AA13</f>
        <v>1</v>
      </c>
      <c r="C14" s="50">
        <v>10</v>
      </c>
      <c r="D14" s="51">
        <f t="shared" si="5"/>
        <v>31</v>
      </c>
      <c r="E14" s="51">
        <f t="shared" si="6"/>
        <v>8</v>
      </c>
      <c r="F14" s="51">
        <f t="shared" si="7"/>
        <v>5</v>
      </c>
      <c r="G14" s="52" t="str">
        <f t="shared" si="0"/>
        <v>31#8#5</v>
      </c>
      <c r="H14" s="50">
        <f t="shared" si="1"/>
        <v>40</v>
      </c>
      <c r="I14" s="50">
        <f t="shared" si="2"/>
        <v>10</v>
      </c>
      <c r="J14" s="50">
        <f t="shared" si="3"/>
        <v>6</v>
      </c>
      <c r="K14" s="52" t="str">
        <f t="shared" si="4"/>
        <v>40#10#6</v>
      </c>
    </row>
    <row r="15" spans="1:12">
      <c r="A15" s="50" t="s">
        <v>1134</v>
      </c>
      <c r="B15" s="50">
        <f>Migong!AA14</f>
        <v>2</v>
      </c>
      <c r="C15" s="50">
        <v>9</v>
      </c>
      <c r="D15" s="51">
        <f t="shared" ref="D15:D33" si="8">INT(($D$5+$D$2+B15)*$D$3)</f>
        <v>33</v>
      </c>
      <c r="E15" s="51">
        <f t="shared" ref="E15:E33" si="9">INT(($E$5+$E$2+B15)*$E$3)</f>
        <v>9</v>
      </c>
      <c r="F15" s="51">
        <f t="shared" ref="F15:F33" si="10">INT(($F$5+$F$2+B15)*$F$3)</f>
        <v>6</v>
      </c>
      <c r="G15" s="52" t="str">
        <f t="shared" ref="G15:G33" si="11">D15&amp;$D$1&amp;E15&amp;$E$1&amp;F15</f>
        <v>33#9#6</v>
      </c>
      <c r="H15" s="50">
        <f t="shared" ref="H15:H33" si="12">INT(D15+(D15*$I$1*$K$1))</f>
        <v>42</v>
      </c>
      <c r="I15" s="50">
        <f t="shared" ref="I15:I33" si="13">INT(E15+(E15*$I$1*$K$1))</f>
        <v>11</v>
      </c>
      <c r="J15" s="50">
        <f t="shared" ref="J15:J33" si="14">INT(F15+(F15*$I$1*$K$1))</f>
        <v>7</v>
      </c>
      <c r="K15" s="52" t="str">
        <f t="shared" ref="K15:K33" si="15">H15&amp;$D$1&amp;I15&amp;$E$1&amp;J15</f>
        <v>42#11#7</v>
      </c>
    </row>
    <row r="16" spans="1:12">
      <c r="A16" s="50" t="s">
        <v>1135</v>
      </c>
      <c r="B16" s="50">
        <f>Migong!AA15</f>
        <v>3</v>
      </c>
      <c r="C16" s="50">
        <v>8</v>
      </c>
      <c r="D16" s="51">
        <f t="shared" si="8"/>
        <v>34</v>
      </c>
      <c r="E16" s="51">
        <f t="shared" si="9"/>
        <v>9</v>
      </c>
      <c r="F16" s="51">
        <f t="shared" si="10"/>
        <v>6</v>
      </c>
      <c r="G16" s="52" t="str">
        <f t="shared" si="11"/>
        <v>34#9#6</v>
      </c>
      <c r="H16" s="50">
        <f t="shared" si="12"/>
        <v>44</v>
      </c>
      <c r="I16" s="50">
        <f t="shared" si="13"/>
        <v>11</v>
      </c>
      <c r="J16" s="50">
        <f t="shared" si="14"/>
        <v>7</v>
      </c>
      <c r="K16" s="52" t="str">
        <f t="shared" si="15"/>
        <v>44#11#7</v>
      </c>
    </row>
    <row r="17" spans="1:11">
      <c r="A17" s="50" t="s">
        <v>1136</v>
      </c>
      <c r="B17" s="50">
        <f>Migong!AA16</f>
        <v>1</v>
      </c>
      <c r="C17" s="50">
        <v>7</v>
      </c>
      <c r="D17" s="51">
        <f t="shared" si="8"/>
        <v>31</v>
      </c>
      <c r="E17" s="51">
        <f t="shared" si="9"/>
        <v>8</v>
      </c>
      <c r="F17" s="51">
        <f t="shared" si="10"/>
        <v>5</v>
      </c>
      <c r="G17" s="52" t="str">
        <f t="shared" si="11"/>
        <v>31#8#5</v>
      </c>
      <c r="H17" s="50">
        <f t="shared" si="12"/>
        <v>40</v>
      </c>
      <c r="I17" s="50">
        <f t="shared" si="13"/>
        <v>10</v>
      </c>
      <c r="J17" s="50">
        <f t="shared" si="14"/>
        <v>6</v>
      </c>
      <c r="K17" s="52" t="str">
        <f t="shared" si="15"/>
        <v>40#10#6</v>
      </c>
    </row>
    <row r="18" spans="1:11">
      <c r="A18" s="50" t="s">
        <v>1137</v>
      </c>
      <c r="B18" s="50">
        <f>Migong!AA17</f>
        <v>2</v>
      </c>
      <c r="C18" s="50">
        <v>6</v>
      </c>
      <c r="D18" s="51">
        <f t="shared" si="8"/>
        <v>33</v>
      </c>
      <c r="E18" s="51">
        <f t="shared" si="9"/>
        <v>9</v>
      </c>
      <c r="F18" s="51">
        <f t="shared" si="10"/>
        <v>6</v>
      </c>
      <c r="G18" s="52" t="str">
        <f t="shared" si="11"/>
        <v>33#9#6</v>
      </c>
      <c r="H18" s="50">
        <f t="shared" si="12"/>
        <v>42</v>
      </c>
      <c r="I18" s="50">
        <f t="shared" si="13"/>
        <v>11</v>
      </c>
      <c r="J18" s="50">
        <f t="shared" si="14"/>
        <v>7</v>
      </c>
      <c r="K18" s="52" t="str">
        <f t="shared" si="15"/>
        <v>42#11#7</v>
      </c>
    </row>
    <row r="19" spans="1:11">
      <c r="A19" s="50" t="s">
        <v>1138</v>
      </c>
      <c r="B19" s="50">
        <f>Migong!AA18</f>
        <v>3</v>
      </c>
      <c r="C19" s="50">
        <v>5</v>
      </c>
      <c r="D19" s="51">
        <f t="shared" si="8"/>
        <v>34</v>
      </c>
      <c r="E19" s="51">
        <f t="shared" si="9"/>
        <v>9</v>
      </c>
      <c r="F19" s="51">
        <f t="shared" si="10"/>
        <v>6</v>
      </c>
      <c r="G19" s="52" t="str">
        <f t="shared" si="11"/>
        <v>34#9#6</v>
      </c>
      <c r="H19" s="50">
        <f t="shared" si="12"/>
        <v>44</v>
      </c>
      <c r="I19" s="50">
        <f t="shared" si="13"/>
        <v>11</v>
      </c>
      <c r="J19" s="50">
        <f t="shared" si="14"/>
        <v>7</v>
      </c>
      <c r="K19" s="52" t="str">
        <f t="shared" si="15"/>
        <v>44#11#7</v>
      </c>
    </row>
    <row r="20" spans="1:11">
      <c r="A20" s="50" t="s">
        <v>1139</v>
      </c>
      <c r="B20" s="50">
        <f>Migong!AA19</f>
        <v>4</v>
      </c>
      <c r="C20" s="50">
        <v>4</v>
      </c>
      <c r="D20" s="51">
        <f t="shared" si="8"/>
        <v>36</v>
      </c>
      <c r="E20" s="51">
        <f t="shared" si="9"/>
        <v>10</v>
      </c>
      <c r="F20" s="51">
        <f t="shared" si="10"/>
        <v>7</v>
      </c>
      <c r="G20" s="52" t="str">
        <f t="shared" si="11"/>
        <v>36#10#7</v>
      </c>
      <c r="H20" s="50">
        <f t="shared" si="12"/>
        <v>46</v>
      </c>
      <c r="I20" s="50">
        <f t="shared" si="13"/>
        <v>13</v>
      </c>
      <c r="J20" s="50">
        <f t="shared" si="14"/>
        <v>9</v>
      </c>
      <c r="K20" s="52" t="str">
        <f t="shared" si="15"/>
        <v>46#13#9</v>
      </c>
    </row>
    <row r="21" spans="1:11">
      <c r="A21" s="50" t="s">
        <v>1140</v>
      </c>
      <c r="B21" s="50">
        <f>Migong!AA20</f>
        <v>4</v>
      </c>
      <c r="C21" s="50">
        <v>3</v>
      </c>
      <c r="D21" s="51">
        <f t="shared" si="8"/>
        <v>36</v>
      </c>
      <c r="E21" s="51">
        <f t="shared" si="9"/>
        <v>10</v>
      </c>
      <c r="F21" s="51">
        <f t="shared" si="10"/>
        <v>7</v>
      </c>
      <c r="G21" s="52" t="str">
        <f t="shared" si="11"/>
        <v>36#10#7</v>
      </c>
      <c r="H21" s="50">
        <f t="shared" si="12"/>
        <v>46</v>
      </c>
      <c r="I21" s="50">
        <f t="shared" si="13"/>
        <v>13</v>
      </c>
      <c r="J21" s="50">
        <f t="shared" si="14"/>
        <v>9</v>
      </c>
      <c r="K21" s="52" t="str">
        <f t="shared" si="15"/>
        <v>46#13#9</v>
      </c>
    </row>
    <row r="22" spans="1:11">
      <c r="A22" s="50" t="s">
        <v>1141</v>
      </c>
      <c r="B22" s="50">
        <f>Migong!AA21</f>
        <v>3</v>
      </c>
      <c r="C22" s="50">
        <v>2</v>
      </c>
      <c r="D22" s="51">
        <f t="shared" si="8"/>
        <v>34</v>
      </c>
      <c r="E22" s="51">
        <f t="shared" si="9"/>
        <v>9</v>
      </c>
      <c r="F22" s="51">
        <f t="shared" si="10"/>
        <v>6</v>
      </c>
      <c r="G22" s="52" t="str">
        <f t="shared" si="11"/>
        <v>34#9#6</v>
      </c>
      <c r="H22" s="50">
        <f t="shared" si="12"/>
        <v>44</v>
      </c>
      <c r="I22" s="50">
        <f t="shared" si="13"/>
        <v>11</v>
      </c>
      <c r="J22" s="50">
        <f t="shared" si="14"/>
        <v>7</v>
      </c>
      <c r="K22" s="52" t="str">
        <f t="shared" si="15"/>
        <v>44#11#7</v>
      </c>
    </row>
    <row r="23" spans="1:11">
      <c r="A23" s="50" t="s">
        <v>1142</v>
      </c>
      <c r="B23" s="50">
        <f>Migong!AA22</f>
        <v>4</v>
      </c>
      <c r="C23" s="50">
        <v>1</v>
      </c>
      <c r="D23" s="51">
        <f t="shared" si="8"/>
        <v>36</v>
      </c>
      <c r="E23" s="51">
        <f t="shared" si="9"/>
        <v>10</v>
      </c>
      <c r="F23" s="51">
        <f t="shared" si="10"/>
        <v>7</v>
      </c>
      <c r="G23" s="52" t="str">
        <f t="shared" si="11"/>
        <v>36#10#7</v>
      </c>
      <c r="H23" s="50">
        <f t="shared" si="12"/>
        <v>46</v>
      </c>
      <c r="I23" s="50">
        <f t="shared" si="13"/>
        <v>13</v>
      </c>
      <c r="J23" s="50">
        <f t="shared" si="14"/>
        <v>9</v>
      </c>
      <c r="K23" s="52" t="str">
        <f t="shared" si="15"/>
        <v>46#13#9</v>
      </c>
    </row>
    <row r="24" spans="1:11">
      <c r="A24" s="50" t="s">
        <v>1143</v>
      </c>
      <c r="B24" s="50">
        <f>Migong!AA23</f>
        <v>5</v>
      </c>
      <c r="C24" s="50">
        <v>0</v>
      </c>
      <c r="D24" s="51">
        <f t="shared" si="8"/>
        <v>37</v>
      </c>
      <c r="E24" s="51">
        <f t="shared" si="9"/>
        <v>10</v>
      </c>
      <c r="F24" s="51">
        <f t="shared" si="10"/>
        <v>7</v>
      </c>
      <c r="G24" s="52" t="str">
        <f t="shared" si="11"/>
        <v>37#10#7</v>
      </c>
      <c r="H24" s="50">
        <f t="shared" si="12"/>
        <v>48</v>
      </c>
      <c r="I24" s="50">
        <f t="shared" si="13"/>
        <v>13</v>
      </c>
      <c r="J24" s="50">
        <f t="shared" si="14"/>
        <v>9</v>
      </c>
      <c r="K24" s="52" t="str">
        <f t="shared" si="15"/>
        <v>48#13#9</v>
      </c>
    </row>
    <row r="25" spans="1:11">
      <c r="A25" s="50" t="s">
        <v>1144</v>
      </c>
      <c r="B25" s="50">
        <f>Migong!AA24</f>
        <v>3</v>
      </c>
      <c r="C25" s="50">
        <v>-1</v>
      </c>
      <c r="D25" s="51">
        <f t="shared" si="8"/>
        <v>34</v>
      </c>
      <c r="E25" s="51">
        <f t="shared" si="9"/>
        <v>9</v>
      </c>
      <c r="F25" s="51">
        <f t="shared" si="10"/>
        <v>6</v>
      </c>
      <c r="G25" s="52" t="str">
        <f t="shared" si="11"/>
        <v>34#9#6</v>
      </c>
      <c r="H25" s="50">
        <f t="shared" si="12"/>
        <v>44</v>
      </c>
      <c r="I25" s="50">
        <f t="shared" si="13"/>
        <v>11</v>
      </c>
      <c r="J25" s="50">
        <f t="shared" si="14"/>
        <v>7</v>
      </c>
      <c r="K25" s="52" t="str">
        <f t="shared" si="15"/>
        <v>44#11#7</v>
      </c>
    </row>
    <row r="26" spans="1:11">
      <c r="A26" s="50" t="s">
        <v>1145</v>
      </c>
      <c r="B26" s="50">
        <f>Migong!AA25</f>
        <v>4</v>
      </c>
      <c r="C26" s="50">
        <v>-2</v>
      </c>
      <c r="D26" s="51">
        <f t="shared" si="8"/>
        <v>36</v>
      </c>
      <c r="E26" s="51">
        <f t="shared" si="9"/>
        <v>10</v>
      </c>
      <c r="F26" s="51">
        <f t="shared" si="10"/>
        <v>7</v>
      </c>
      <c r="G26" s="52" t="str">
        <f t="shared" si="11"/>
        <v>36#10#7</v>
      </c>
      <c r="H26" s="50">
        <f t="shared" si="12"/>
        <v>46</v>
      </c>
      <c r="I26" s="50">
        <f t="shared" si="13"/>
        <v>13</v>
      </c>
      <c r="J26" s="50">
        <f t="shared" si="14"/>
        <v>9</v>
      </c>
      <c r="K26" s="52" t="str">
        <f t="shared" si="15"/>
        <v>46#13#9</v>
      </c>
    </row>
    <row r="27" spans="1:11">
      <c r="A27" s="50" t="s">
        <v>1146</v>
      </c>
      <c r="B27" s="50">
        <f>Migong!AA26</f>
        <v>5</v>
      </c>
      <c r="C27" s="50">
        <v>-3</v>
      </c>
      <c r="D27" s="51">
        <f t="shared" si="8"/>
        <v>37</v>
      </c>
      <c r="E27" s="51">
        <f t="shared" si="9"/>
        <v>10</v>
      </c>
      <c r="F27" s="51">
        <f t="shared" si="10"/>
        <v>7</v>
      </c>
      <c r="G27" s="52" t="str">
        <f t="shared" si="11"/>
        <v>37#10#7</v>
      </c>
      <c r="H27" s="50">
        <f t="shared" si="12"/>
        <v>48</v>
      </c>
      <c r="I27" s="50">
        <f t="shared" si="13"/>
        <v>13</v>
      </c>
      <c r="J27" s="50">
        <f t="shared" si="14"/>
        <v>9</v>
      </c>
      <c r="K27" s="52" t="str">
        <f t="shared" si="15"/>
        <v>48#13#9</v>
      </c>
    </row>
    <row r="28" spans="1:11">
      <c r="A28" s="50" t="s">
        <v>1147</v>
      </c>
      <c r="B28" s="50">
        <f>Migong!AA27</f>
        <v>6</v>
      </c>
      <c r="C28" s="50">
        <v>-4</v>
      </c>
      <c r="D28" s="51">
        <f t="shared" si="8"/>
        <v>39</v>
      </c>
      <c r="E28" s="51">
        <f t="shared" si="9"/>
        <v>11</v>
      </c>
      <c r="F28" s="51">
        <f t="shared" si="10"/>
        <v>8</v>
      </c>
      <c r="G28" s="52" t="str">
        <f t="shared" si="11"/>
        <v>39#11#8</v>
      </c>
      <c r="H28" s="50">
        <f t="shared" si="12"/>
        <v>50</v>
      </c>
      <c r="I28" s="50">
        <f t="shared" si="13"/>
        <v>14</v>
      </c>
      <c r="J28" s="50">
        <f t="shared" si="14"/>
        <v>10</v>
      </c>
      <c r="K28" s="52" t="str">
        <f t="shared" si="15"/>
        <v>50#14#10</v>
      </c>
    </row>
    <row r="29" spans="1:11">
      <c r="A29" s="50" t="s">
        <v>1148</v>
      </c>
      <c r="B29" s="50">
        <f>Migong!AA28</f>
        <v>6</v>
      </c>
      <c r="C29" s="50">
        <v>-5</v>
      </c>
      <c r="D29" s="51">
        <f t="shared" si="8"/>
        <v>39</v>
      </c>
      <c r="E29" s="51">
        <f t="shared" si="9"/>
        <v>11</v>
      </c>
      <c r="F29" s="51">
        <f t="shared" si="10"/>
        <v>8</v>
      </c>
      <c r="G29" s="52" t="str">
        <f t="shared" si="11"/>
        <v>39#11#8</v>
      </c>
      <c r="H29" s="50">
        <f t="shared" si="12"/>
        <v>50</v>
      </c>
      <c r="I29" s="50">
        <f t="shared" si="13"/>
        <v>14</v>
      </c>
      <c r="J29" s="50">
        <f t="shared" si="14"/>
        <v>10</v>
      </c>
      <c r="K29" s="52" t="str">
        <f t="shared" si="15"/>
        <v>50#14#10</v>
      </c>
    </row>
    <row r="30" spans="1:11">
      <c r="A30" s="50" t="s">
        <v>1149</v>
      </c>
      <c r="B30" s="50">
        <f>Migong!AA29</f>
        <v>5</v>
      </c>
      <c r="C30" s="50">
        <v>-6</v>
      </c>
      <c r="D30" s="51">
        <f t="shared" si="8"/>
        <v>37</v>
      </c>
      <c r="E30" s="51">
        <f t="shared" si="9"/>
        <v>10</v>
      </c>
      <c r="F30" s="51">
        <f t="shared" si="10"/>
        <v>7</v>
      </c>
      <c r="G30" s="52" t="str">
        <f t="shared" si="11"/>
        <v>37#10#7</v>
      </c>
      <c r="H30" s="50">
        <f t="shared" si="12"/>
        <v>48</v>
      </c>
      <c r="I30" s="50">
        <f t="shared" si="13"/>
        <v>13</v>
      </c>
      <c r="J30" s="50">
        <f t="shared" si="14"/>
        <v>9</v>
      </c>
      <c r="K30" s="52" t="str">
        <f t="shared" si="15"/>
        <v>48#13#9</v>
      </c>
    </row>
    <row r="31" spans="1:11">
      <c r="A31" s="50" t="s">
        <v>1150</v>
      </c>
      <c r="B31" s="50">
        <f>Migong!AA30</f>
        <v>6</v>
      </c>
      <c r="C31" s="50">
        <v>-7</v>
      </c>
      <c r="D31" s="51">
        <f t="shared" si="8"/>
        <v>39</v>
      </c>
      <c r="E31" s="51">
        <f t="shared" si="9"/>
        <v>11</v>
      </c>
      <c r="F31" s="51">
        <f t="shared" si="10"/>
        <v>8</v>
      </c>
      <c r="G31" s="52" t="str">
        <f t="shared" si="11"/>
        <v>39#11#8</v>
      </c>
      <c r="H31" s="50">
        <f t="shared" si="12"/>
        <v>50</v>
      </c>
      <c r="I31" s="50">
        <f t="shared" si="13"/>
        <v>14</v>
      </c>
      <c r="J31" s="50">
        <f t="shared" si="14"/>
        <v>10</v>
      </c>
      <c r="K31" s="52" t="str">
        <f t="shared" si="15"/>
        <v>50#14#10</v>
      </c>
    </row>
    <row r="32" spans="1:11">
      <c r="A32" s="50" t="s">
        <v>1151</v>
      </c>
      <c r="B32" s="50">
        <f>Migong!AA31</f>
        <v>7</v>
      </c>
      <c r="C32" s="50">
        <v>-8</v>
      </c>
      <c r="D32" s="51">
        <f t="shared" si="8"/>
        <v>40</v>
      </c>
      <c r="E32" s="51">
        <f t="shared" si="9"/>
        <v>12</v>
      </c>
      <c r="F32" s="51">
        <f t="shared" si="10"/>
        <v>9</v>
      </c>
      <c r="G32" s="52" t="str">
        <f t="shared" si="11"/>
        <v>40#12#9</v>
      </c>
      <c r="H32" s="50">
        <f t="shared" si="12"/>
        <v>52</v>
      </c>
      <c r="I32" s="50">
        <f t="shared" si="13"/>
        <v>15</v>
      </c>
      <c r="J32" s="50">
        <f t="shared" si="14"/>
        <v>11</v>
      </c>
      <c r="K32" s="52" t="str">
        <f t="shared" si="15"/>
        <v>52#15#11</v>
      </c>
    </row>
    <row r="33" spans="1:11">
      <c r="A33" s="50" t="s">
        <v>1152</v>
      </c>
      <c r="B33" s="50">
        <f>Migong!AA32</f>
        <v>5</v>
      </c>
      <c r="C33" s="50">
        <v>-9</v>
      </c>
      <c r="D33" s="51">
        <f t="shared" si="8"/>
        <v>37</v>
      </c>
      <c r="E33" s="51">
        <f t="shared" si="9"/>
        <v>10</v>
      </c>
      <c r="F33" s="51">
        <f t="shared" si="10"/>
        <v>7</v>
      </c>
      <c r="G33" s="52" t="str">
        <f t="shared" si="11"/>
        <v>37#10#7</v>
      </c>
      <c r="H33" s="50">
        <f t="shared" si="12"/>
        <v>48</v>
      </c>
      <c r="I33" s="50">
        <f t="shared" si="13"/>
        <v>13</v>
      </c>
      <c r="J33" s="50">
        <f t="shared" si="14"/>
        <v>9</v>
      </c>
      <c r="K33" s="52" t="str">
        <f t="shared" si="15"/>
        <v>48#13#9</v>
      </c>
    </row>
    <row r="34" spans="1:11">
      <c r="A34" s="50" t="s">
        <v>1153</v>
      </c>
      <c r="B34" s="50">
        <f>Migong!AA33</f>
        <v>6</v>
      </c>
      <c r="C34" s="50">
        <v>-10</v>
      </c>
      <c r="D34" s="51">
        <f t="shared" ref="D34:D63" si="16">INT(($D$5+$D$2+B34)*$D$3)</f>
        <v>39</v>
      </c>
      <c r="E34" s="51">
        <f t="shared" ref="E34:E63" si="17">INT(($E$5+$E$2+B34)*$E$3)</f>
        <v>11</v>
      </c>
      <c r="F34" s="51">
        <f t="shared" ref="F34:F63" si="18">INT(($F$5+$F$2+B34)*$F$3)</f>
        <v>8</v>
      </c>
      <c r="G34" s="52" t="str">
        <f t="shared" ref="G34:G63" si="19">D34&amp;$D$1&amp;E34&amp;$E$1&amp;F34</f>
        <v>39#11#8</v>
      </c>
      <c r="H34" s="50">
        <f t="shared" ref="H34:H63" si="20">INT(D34+(D34*$I$1*$K$1))</f>
        <v>50</v>
      </c>
      <c r="I34" s="50">
        <f t="shared" ref="I34:I63" si="21">INT(E34+(E34*$I$1*$K$1))</f>
        <v>14</v>
      </c>
      <c r="J34" s="50">
        <f t="shared" ref="J34:J63" si="22">INT(F34+(F34*$I$1*$K$1))</f>
        <v>10</v>
      </c>
      <c r="K34" s="52" t="str">
        <f t="shared" ref="K34:K63" si="23">H34&amp;$D$1&amp;I34&amp;$E$1&amp;J34</f>
        <v>50#14#10</v>
      </c>
    </row>
    <row r="35" spans="1:11">
      <c r="A35" s="50" t="s">
        <v>1154</v>
      </c>
      <c r="B35" s="50">
        <f>Migong!AA54</f>
        <v>1</v>
      </c>
      <c r="C35" s="50">
        <v>-11</v>
      </c>
      <c r="D35" s="51">
        <f t="shared" si="16"/>
        <v>31</v>
      </c>
      <c r="E35" s="51">
        <f t="shared" si="17"/>
        <v>8</v>
      </c>
      <c r="F35" s="51">
        <f t="shared" si="18"/>
        <v>5</v>
      </c>
      <c r="G35" s="52" t="str">
        <f t="shared" si="19"/>
        <v>31#8#5</v>
      </c>
      <c r="H35" s="50">
        <f t="shared" si="20"/>
        <v>40</v>
      </c>
      <c r="I35" s="50">
        <f t="shared" si="21"/>
        <v>10</v>
      </c>
      <c r="J35" s="50">
        <f t="shared" si="22"/>
        <v>6</v>
      </c>
      <c r="K35" s="52" t="str">
        <f t="shared" si="23"/>
        <v>40#10#6</v>
      </c>
    </row>
    <row r="36" spans="1:11">
      <c r="A36" s="50" t="s">
        <v>1155</v>
      </c>
      <c r="B36" s="50">
        <f>Migong!AA55</f>
        <v>2</v>
      </c>
      <c r="C36" s="50">
        <v>-12</v>
      </c>
      <c r="D36" s="51">
        <f t="shared" si="16"/>
        <v>33</v>
      </c>
      <c r="E36" s="51">
        <f t="shared" si="17"/>
        <v>9</v>
      </c>
      <c r="F36" s="51">
        <f t="shared" si="18"/>
        <v>6</v>
      </c>
      <c r="G36" s="52" t="str">
        <f t="shared" si="19"/>
        <v>33#9#6</v>
      </c>
      <c r="H36" s="50">
        <f t="shared" si="20"/>
        <v>42</v>
      </c>
      <c r="I36" s="50">
        <f t="shared" si="21"/>
        <v>11</v>
      </c>
      <c r="J36" s="50">
        <f t="shared" si="22"/>
        <v>7</v>
      </c>
      <c r="K36" s="52" t="str">
        <f t="shared" si="23"/>
        <v>42#11#7</v>
      </c>
    </row>
    <row r="37" spans="1:11">
      <c r="A37" s="50" t="s">
        <v>1156</v>
      </c>
      <c r="B37" s="50">
        <f>Migong!AA56</f>
        <v>3</v>
      </c>
      <c r="C37" s="50">
        <v>-13</v>
      </c>
      <c r="D37" s="51">
        <f t="shared" si="16"/>
        <v>34</v>
      </c>
      <c r="E37" s="51">
        <f t="shared" si="17"/>
        <v>9</v>
      </c>
      <c r="F37" s="51">
        <f t="shared" si="18"/>
        <v>6</v>
      </c>
      <c r="G37" s="52" t="str">
        <f t="shared" si="19"/>
        <v>34#9#6</v>
      </c>
      <c r="H37" s="50">
        <f t="shared" si="20"/>
        <v>44</v>
      </c>
      <c r="I37" s="50">
        <f t="shared" si="21"/>
        <v>11</v>
      </c>
      <c r="J37" s="50">
        <f t="shared" si="22"/>
        <v>7</v>
      </c>
      <c r="K37" s="52" t="str">
        <f t="shared" si="23"/>
        <v>44#11#7</v>
      </c>
    </row>
    <row r="38" spans="1:11">
      <c r="A38" s="50" t="s">
        <v>1157</v>
      </c>
      <c r="B38" s="50">
        <f>Migong!AA57</f>
        <v>4</v>
      </c>
      <c r="C38" s="50">
        <v>-14</v>
      </c>
      <c r="D38" s="51">
        <f t="shared" si="16"/>
        <v>36</v>
      </c>
      <c r="E38" s="51">
        <f t="shared" si="17"/>
        <v>10</v>
      </c>
      <c r="F38" s="51">
        <f t="shared" si="18"/>
        <v>7</v>
      </c>
      <c r="G38" s="52" t="str">
        <f t="shared" si="19"/>
        <v>36#10#7</v>
      </c>
      <c r="H38" s="50">
        <f t="shared" si="20"/>
        <v>46</v>
      </c>
      <c r="I38" s="50">
        <f t="shared" si="21"/>
        <v>13</v>
      </c>
      <c r="J38" s="50">
        <f t="shared" si="22"/>
        <v>9</v>
      </c>
      <c r="K38" s="52" t="str">
        <f t="shared" si="23"/>
        <v>46#13#9</v>
      </c>
    </row>
    <row r="39" spans="1:11">
      <c r="A39" s="50" t="s">
        <v>1158</v>
      </c>
      <c r="B39" s="50">
        <f>Migong!AA58</f>
        <v>5</v>
      </c>
      <c r="C39" s="50">
        <v>-15</v>
      </c>
      <c r="D39" s="51">
        <f t="shared" si="16"/>
        <v>37</v>
      </c>
      <c r="E39" s="51">
        <f t="shared" si="17"/>
        <v>10</v>
      </c>
      <c r="F39" s="51">
        <f t="shared" si="18"/>
        <v>7</v>
      </c>
      <c r="G39" s="52" t="str">
        <f t="shared" si="19"/>
        <v>37#10#7</v>
      </c>
      <c r="H39" s="50">
        <f t="shared" si="20"/>
        <v>48</v>
      </c>
      <c r="I39" s="50">
        <f t="shared" si="21"/>
        <v>13</v>
      </c>
      <c r="J39" s="50">
        <f t="shared" si="22"/>
        <v>9</v>
      </c>
      <c r="K39" s="52" t="str">
        <f t="shared" si="23"/>
        <v>48#13#9</v>
      </c>
    </row>
    <row r="40" spans="1:11">
      <c r="A40" s="50" t="s">
        <v>1159</v>
      </c>
      <c r="B40" s="50">
        <f>Migong!AA59</f>
        <v>6</v>
      </c>
      <c r="C40" s="50">
        <v>-16</v>
      </c>
      <c r="D40" s="51">
        <f t="shared" si="16"/>
        <v>39</v>
      </c>
      <c r="E40" s="51">
        <f t="shared" si="17"/>
        <v>11</v>
      </c>
      <c r="F40" s="51">
        <f t="shared" si="18"/>
        <v>8</v>
      </c>
      <c r="G40" s="52" t="str">
        <f t="shared" si="19"/>
        <v>39#11#8</v>
      </c>
      <c r="H40" s="50">
        <f t="shared" si="20"/>
        <v>50</v>
      </c>
      <c r="I40" s="50">
        <f t="shared" si="21"/>
        <v>14</v>
      </c>
      <c r="J40" s="50">
        <f t="shared" si="22"/>
        <v>10</v>
      </c>
      <c r="K40" s="52" t="str">
        <f t="shared" si="23"/>
        <v>50#14#10</v>
      </c>
    </row>
    <row r="41" spans="1:11">
      <c r="A41" s="50" t="s">
        <v>1160</v>
      </c>
      <c r="B41" s="50">
        <f>Migong!AA60</f>
        <v>7</v>
      </c>
      <c r="C41" s="50">
        <v>-17</v>
      </c>
      <c r="D41" s="51">
        <f t="shared" si="16"/>
        <v>40</v>
      </c>
      <c r="E41" s="51">
        <f t="shared" si="17"/>
        <v>12</v>
      </c>
      <c r="F41" s="51">
        <f t="shared" si="18"/>
        <v>9</v>
      </c>
      <c r="G41" s="52" t="str">
        <f t="shared" si="19"/>
        <v>40#12#9</v>
      </c>
      <c r="H41" s="50">
        <f t="shared" si="20"/>
        <v>52</v>
      </c>
      <c r="I41" s="50">
        <f t="shared" si="21"/>
        <v>15</v>
      </c>
      <c r="J41" s="50">
        <f t="shared" si="22"/>
        <v>11</v>
      </c>
      <c r="K41" s="52" t="str">
        <f t="shared" si="23"/>
        <v>52#15#11</v>
      </c>
    </row>
    <row r="42" spans="1:11">
      <c r="A42" s="50" t="s">
        <v>1161</v>
      </c>
      <c r="B42" s="50">
        <f>Migong!AA61</f>
        <v>8</v>
      </c>
      <c r="C42" s="50">
        <v>-18</v>
      </c>
      <c r="D42" s="51">
        <f t="shared" si="16"/>
        <v>42</v>
      </c>
      <c r="E42" s="51">
        <f t="shared" si="17"/>
        <v>12</v>
      </c>
      <c r="F42" s="51">
        <f t="shared" si="18"/>
        <v>9</v>
      </c>
      <c r="G42" s="52" t="str">
        <f t="shared" si="19"/>
        <v>42#12#9</v>
      </c>
      <c r="H42" s="50">
        <f t="shared" si="20"/>
        <v>54</v>
      </c>
      <c r="I42" s="50">
        <f t="shared" si="21"/>
        <v>15</v>
      </c>
      <c r="J42" s="50">
        <f t="shared" si="22"/>
        <v>11</v>
      </c>
      <c r="K42" s="52" t="str">
        <f t="shared" si="23"/>
        <v>54#15#11</v>
      </c>
    </row>
    <row r="43" spans="1:11">
      <c r="A43" s="50" t="s">
        <v>1162</v>
      </c>
      <c r="B43" s="50">
        <f>Migong!AA62</f>
        <v>9</v>
      </c>
      <c r="C43" s="50">
        <v>-19</v>
      </c>
      <c r="D43" s="51">
        <f t="shared" si="16"/>
        <v>43</v>
      </c>
      <c r="E43" s="51">
        <f t="shared" si="17"/>
        <v>13</v>
      </c>
      <c r="F43" s="51">
        <f t="shared" si="18"/>
        <v>10</v>
      </c>
      <c r="G43" s="52" t="str">
        <f t="shared" si="19"/>
        <v>43#13#10</v>
      </c>
      <c r="H43" s="50">
        <f t="shared" si="20"/>
        <v>55</v>
      </c>
      <c r="I43" s="50">
        <f t="shared" si="21"/>
        <v>16</v>
      </c>
      <c r="J43" s="50">
        <f t="shared" si="22"/>
        <v>13</v>
      </c>
      <c r="K43" s="52" t="str">
        <f t="shared" si="23"/>
        <v>55#16#13</v>
      </c>
    </row>
    <row r="44" spans="1:11">
      <c r="A44" s="50" t="s">
        <v>1163</v>
      </c>
      <c r="B44" s="50">
        <f>Migong!AA63</f>
        <v>10</v>
      </c>
      <c r="C44" s="50">
        <v>-20</v>
      </c>
      <c r="D44" s="51">
        <f t="shared" si="16"/>
        <v>45</v>
      </c>
      <c r="E44" s="51">
        <f t="shared" si="17"/>
        <v>13</v>
      </c>
      <c r="F44" s="51">
        <f t="shared" si="18"/>
        <v>10</v>
      </c>
      <c r="G44" s="52" t="str">
        <f t="shared" si="19"/>
        <v>45#13#10</v>
      </c>
      <c r="H44" s="50">
        <f t="shared" si="20"/>
        <v>58</v>
      </c>
      <c r="I44" s="50">
        <f t="shared" si="21"/>
        <v>16</v>
      </c>
      <c r="J44" s="50">
        <f t="shared" si="22"/>
        <v>13</v>
      </c>
      <c r="K44" s="52" t="str">
        <f t="shared" si="23"/>
        <v>58#16#13</v>
      </c>
    </row>
    <row r="45" spans="1:11">
      <c r="A45" s="50" t="s">
        <v>1164</v>
      </c>
      <c r="B45" s="50">
        <f>Migong!AA64</f>
        <v>11</v>
      </c>
      <c r="C45" s="50">
        <v>-21</v>
      </c>
      <c r="D45" s="51">
        <f t="shared" si="16"/>
        <v>46</v>
      </c>
      <c r="E45" s="51">
        <f t="shared" si="17"/>
        <v>14</v>
      </c>
      <c r="F45" s="51">
        <f t="shared" si="18"/>
        <v>11</v>
      </c>
      <c r="G45" s="52" t="str">
        <f t="shared" si="19"/>
        <v>46#14#11</v>
      </c>
      <c r="H45" s="50">
        <f t="shared" si="20"/>
        <v>59</v>
      </c>
      <c r="I45" s="50">
        <f t="shared" si="21"/>
        <v>18</v>
      </c>
      <c r="J45" s="50">
        <f t="shared" si="22"/>
        <v>14</v>
      </c>
      <c r="K45" s="52" t="str">
        <f t="shared" si="23"/>
        <v>59#18#14</v>
      </c>
    </row>
    <row r="46" spans="1:11">
      <c r="A46" s="50" t="s">
        <v>1165</v>
      </c>
      <c r="B46" s="50">
        <f>Migong!AA65</f>
        <v>12</v>
      </c>
      <c r="C46" s="50">
        <v>-22</v>
      </c>
      <c r="D46" s="51">
        <f t="shared" si="16"/>
        <v>48</v>
      </c>
      <c r="E46" s="51">
        <f t="shared" si="17"/>
        <v>15</v>
      </c>
      <c r="F46" s="51">
        <f t="shared" si="18"/>
        <v>12</v>
      </c>
      <c r="G46" s="52" t="str">
        <f t="shared" si="19"/>
        <v>48#15#12</v>
      </c>
      <c r="H46" s="50">
        <f t="shared" si="20"/>
        <v>62</v>
      </c>
      <c r="I46" s="50">
        <f t="shared" si="21"/>
        <v>19</v>
      </c>
      <c r="J46" s="50">
        <f t="shared" si="22"/>
        <v>15</v>
      </c>
      <c r="K46" s="52" t="str">
        <f t="shared" si="23"/>
        <v>62#19#15</v>
      </c>
    </row>
    <row r="47" spans="1:11">
      <c r="A47" s="50" t="s">
        <v>1166</v>
      </c>
      <c r="B47" s="50">
        <f>Migong!AA66</f>
        <v>13</v>
      </c>
      <c r="C47" s="50">
        <v>-23</v>
      </c>
      <c r="D47" s="51">
        <f t="shared" si="16"/>
        <v>49</v>
      </c>
      <c r="E47" s="51">
        <f t="shared" si="17"/>
        <v>15</v>
      </c>
      <c r="F47" s="51">
        <f t="shared" si="18"/>
        <v>12</v>
      </c>
      <c r="G47" s="52" t="str">
        <f t="shared" si="19"/>
        <v>49#15#12</v>
      </c>
      <c r="H47" s="50">
        <f t="shared" si="20"/>
        <v>63</v>
      </c>
      <c r="I47" s="50">
        <f t="shared" si="21"/>
        <v>19</v>
      </c>
      <c r="J47" s="50">
        <f t="shared" si="22"/>
        <v>15</v>
      </c>
      <c r="K47" s="52" t="str">
        <f t="shared" si="23"/>
        <v>63#19#15</v>
      </c>
    </row>
    <row r="48" spans="1:11">
      <c r="A48" s="50" t="s">
        <v>1167</v>
      </c>
      <c r="B48" s="50">
        <f>Migong!AA67</f>
        <v>1</v>
      </c>
      <c r="C48" s="50">
        <v>-24</v>
      </c>
      <c r="D48" s="51">
        <f t="shared" si="16"/>
        <v>31</v>
      </c>
      <c r="E48" s="51">
        <f t="shared" si="17"/>
        <v>8</v>
      </c>
      <c r="F48" s="51">
        <f t="shared" si="18"/>
        <v>5</v>
      </c>
      <c r="G48" s="52" t="str">
        <f t="shared" si="19"/>
        <v>31#8#5</v>
      </c>
      <c r="H48" s="50">
        <f t="shared" si="20"/>
        <v>40</v>
      </c>
      <c r="I48" s="50">
        <f t="shared" si="21"/>
        <v>10</v>
      </c>
      <c r="J48" s="50">
        <f t="shared" si="22"/>
        <v>6</v>
      </c>
      <c r="K48" s="52" t="str">
        <f t="shared" si="23"/>
        <v>40#10#6</v>
      </c>
    </row>
    <row r="49" spans="1:11">
      <c r="A49" s="50" t="s">
        <v>1168</v>
      </c>
      <c r="B49" s="50">
        <f>Migong!AA68</f>
        <v>2</v>
      </c>
      <c r="C49" s="50">
        <v>-25</v>
      </c>
      <c r="D49" s="51">
        <f t="shared" si="16"/>
        <v>33</v>
      </c>
      <c r="E49" s="51">
        <f t="shared" si="17"/>
        <v>9</v>
      </c>
      <c r="F49" s="51">
        <f t="shared" si="18"/>
        <v>6</v>
      </c>
      <c r="G49" s="52" t="str">
        <f t="shared" si="19"/>
        <v>33#9#6</v>
      </c>
      <c r="H49" s="50">
        <f t="shared" si="20"/>
        <v>42</v>
      </c>
      <c r="I49" s="50">
        <f t="shared" si="21"/>
        <v>11</v>
      </c>
      <c r="J49" s="50">
        <f t="shared" si="22"/>
        <v>7</v>
      </c>
      <c r="K49" s="52" t="str">
        <f t="shared" si="23"/>
        <v>42#11#7</v>
      </c>
    </row>
    <row r="50" spans="1:11">
      <c r="A50" s="50" t="s">
        <v>1169</v>
      </c>
      <c r="B50" s="50">
        <f>Migong!AA69</f>
        <v>3</v>
      </c>
      <c r="C50" s="50">
        <v>-26</v>
      </c>
      <c r="D50" s="51">
        <f t="shared" si="16"/>
        <v>34</v>
      </c>
      <c r="E50" s="51">
        <f t="shared" si="17"/>
        <v>9</v>
      </c>
      <c r="F50" s="51">
        <f t="shared" si="18"/>
        <v>6</v>
      </c>
      <c r="G50" s="52" t="str">
        <f t="shared" si="19"/>
        <v>34#9#6</v>
      </c>
      <c r="H50" s="50">
        <f t="shared" si="20"/>
        <v>44</v>
      </c>
      <c r="I50" s="50">
        <f t="shared" si="21"/>
        <v>11</v>
      </c>
      <c r="J50" s="50">
        <f t="shared" si="22"/>
        <v>7</v>
      </c>
      <c r="K50" s="52" t="str">
        <f t="shared" si="23"/>
        <v>44#11#7</v>
      </c>
    </row>
    <row r="51" spans="1:11">
      <c r="A51" s="50" t="s">
        <v>1170</v>
      </c>
      <c r="B51" s="50">
        <f>Migong!AA70</f>
        <v>4</v>
      </c>
      <c r="C51" s="50">
        <v>-27</v>
      </c>
      <c r="D51" s="51">
        <f t="shared" si="16"/>
        <v>36</v>
      </c>
      <c r="E51" s="51">
        <f t="shared" si="17"/>
        <v>10</v>
      </c>
      <c r="F51" s="51">
        <f t="shared" si="18"/>
        <v>7</v>
      </c>
      <c r="G51" s="52" t="str">
        <f t="shared" si="19"/>
        <v>36#10#7</v>
      </c>
      <c r="H51" s="50">
        <f t="shared" si="20"/>
        <v>46</v>
      </c>
      <c r="I51" s="50">
        <f t="shared" si="21"/>
        <v>13</v>
      </c>
      <c r="J51" s="50">
        <f t="shared" si="22"/>
        <v>9</v>
      </c>
      <c r="K51" s="52" t="str">
        <f t="shared" si="23"/>
        <v>46#13#9</v>
      </c>
    </row>
    <row r="52" spans="1:11">
      <c r="A52" s="50" t="s">
        <v>1171</v>
      </c>
      <c r="B52" s="50">
        <f>Migong!AA71</f>
        <v>5</v>
      </c>
      <c r="C52" s="50">
        <v>-28</v>
      </c>
      <c r="D52" s="51">
        <f t="shared" si="16"/>
        <v>37</v>
      </c>
      <c r="E52" s="51">
        <f t="shared" si="17"/>
        <v>10</v>
      </c>
      <c r="F52" s="51">
        <f t="shared" si="18"/>
        <v>7</v>
      </c>
      <c r="G52" s="52" t="str">
        <f t="shared" si="19"/>
        <v>37#10#7</v>
      </c>
      <c r="H52" s="50">
        <f t="shared" si="20"/>
        <v>48</v>
      </c>
      <c r="I52" s="50">
        <f t="shared" si="21"/>
        <v>13</v>
      </c>
      <c r="J52" s="50">
        <f t="shared" si="22"/>
        <v>9</v>
      </c>
      <c r="K52" s="52" t="str">
        <f t="shared" si="23"/>
        <v>48#13#9</v>
      </c>
    </row>
    <row r="53" spans="1:11">
      <c r="A53" s="50" t="s">
        <v>1172</v>
      </c>
      <c r="B53" s="50">
        <f>Migong!AA72</f>
        <v>6</v>
      </c>
      <c r="C53" s="50">
        <v>-29</v>
      </c>
      <c r="D53" s="51">
        <f t="shared" si="16"/>
        <v>39</v>
      </c>
      <c r="E53" s="51">
        <f t="shared" si="17"/>
        <v>11</v>
      </c>
      <c r="F53" s="51">
        <f t="shared" si="18"/>
        <v>8</v>
      </c>
      <c r="G53" s="52" t="str">
        <f t="shared" si="19"/>
        <v>39#11#8</v>
      </c>
      <c r="H53" s="50">
        <f t="shared" si="20"/>
        <v>50</v>
      </c>
      <c r="I53" s="50">
        <f t="shared" si="21"/>
        <v>14</v>
      </c>
      <c r="J53" s="50">
        <f t="shared" si="22"/>
        <v>10</v>
      </c>
      <c r="K53" s="52" t="str">
        <f t="shared" si="23"/>
        <v>50#14#10</v>
      </c>
    </row>
    <row r="54" spans="1:11">
      <c r="A54" s="50" t="s">
        <v>1173</v>
      </c>
      <c r="B54" s="50">
        <f>Migong!AA73</f>
        <v>7</v>
      </c>
      <c r="C54" s="50">
        <v>-30</v>
      </c>
      <c r="D54" s="51">
        <f t="shared" si="16"/>
        <v>40</v>
      </c>
      <c r="E54" s="51">
        <f t="shared" si="17"/>
        <v>12</v>
      </c>
      <c r="F54" s="51">
        <f t="shared" si="18"/>
        <v>9</v>
      </c>
      <c r="G54" s="52" t="str">
        <f t="shared" si="19"/>
        <v>40#12#9</v>
      </c>
      <c r="H54" s="50">
        <f t="shared" si="20"/>
        <v>52</v>
      </c>
      <c r="I54" s="50">
        <f t="shared" si="21"/>
        <v>15</v>
      </c>
      <c r="J54" s="50">
        <f t="shared" si="22"/>
        <v>11</v>
      </c>
      <c r="K54" s="52" t="str">
        <f t="shared" si="23"/>
        <v>52#15#11</v>
      </c>
    </row>
    <row r="55" spans="1:11">
      <c r="A55" s="50" t="s">
        <v>1174</v>
      </c>
      <c r="B55" s="50">
        <f>Migong!AA74</f>
        <v>8</v>
      </c>
      <c r="C55" s="50">
        <v>-31</v>
      </c>
      <c r="D55" s="51">
        <f t="shared" si="16"/>
        <v>42</v>
      </c>
      <c r="E55" s="51">
        <f t="shared" si="17"/>
        <v>12</v>
      </c>
      <c r="F55" s="51">
        <f t="shared" si="18"/>
        <v>9</v>
      </c>
      <c r="G55" s="52" t="str">
        <f t="shared" si="19"/>
        <v>42#12#9</v>
      </c>
      <c r="H55" s="50">
        <f t="shared" si="20"/>
        <v>54</v>
      </c>
      <c r="I55" s="50">
        <f t="shared" si="21"/>
        <v>15</v>
      </c>
      <c r="J55" s="50">
        <f t="shared" si="22"/>
        <v>11</v>
      </c>
      <c r="K55" s="52" t="str">
        <f t="shared" si="23"/>
        <v>54#15#11</v>
      </c>
    </row>
    <row r="56" spans="1:11">
      <c r="A56" s="50" t="s">
        <v>1175</v>
      </c>
      <c r="B56" s="50">
        <f>Migong!AA75</f>
        <v>9</v>
      </c>
      <c r="C56" s="50">
        <v>-32</v>
      </c>
      <c r="D56" s="51">
        <f t="shared" si="16"/>
        <v>43</v>
      </c>
      <c r="E56" s="51">
        <f t="shared" si="17"/>
        <v>13</v>
      </c>
      <c r="F56" s="51">
        <f t="shared" si="18"/>
        <v>10</v>
      </c>
      <c r="G56" s="52" t="str">
        <f t="shared" si="19"/>
        <v>43#13#10</v>
      </c>
      <c r="H56" s="50">
        <f t="shared" si="20"/>
        <v>55</v>
      </c>
      <c r="I56" s="50">
        <f t="shared" si="21"/>
        <v>16</v>
      </c>
      <c r="J56" s="50">
        <f t="shared" si="22"/>
        <v>13</v>
      </c>
      <c r="K56" s="52" t="str">
        <f t="shared" si="23"/>
        <v>55#16#13</v>
      </c>
    </row>
    <row r="57" spans="1:11">
      <c r="A57" s="50" t="s">
        <v>1176</v>
      </c>
      <c r="B57" s="50">
        <f>Migong!AA76</f>
        <v>10</v>
      </c>
      <c r="C57" s="50">
        <v>-33</v>
      </c>
      <c r="D57" s="51">
        <f t="shared" si="16"/>
        <v>45</v>
      </c>
      <c r="E57" s="51">
        <f t="shared" si="17"/>
        <v>13</v>
      </c>
      <c r="F57" s="51">
        <f t="shared" si="18"/>
        <v>10</v>
      </c>
      <c r="G57" s="52" t="str">
        <f t="shared" si="19"/>
        <v>45#13#10</v>
      </c>
      <c r="H57" s="50">
        <f t="shared" si="20"/>
        <v>58</v>
      </c>
      <c r="I57" s="50">
        <f t="shared" si="21"/>
        <v>16</v>
      </c>
      <c r="J57" s="50">
        <f t="shared" si="22"/>
        <v>13</v>
      </c>
      <c r="K57" s="52" t="str">
        <f t="shared" si="23"/>
        <v>58#16#13</v>
      </c>
    </row>
    <row r="58" spans="1:11">
      <c r="A58" s="50" t="s">
        <v>1177</v>
      </c>
      <c r="B58" s="50">
        <f>Migong!AA77</f>
        <v>11</v>
      </c>
      <c r="C58" s="50">
        <v>-34</v>
      </c>
      <c r="D58" s="51">
        <f t="shared" si="16"/>
        <v>46</v>
      </c>
      <c r="E58" s="51">
        <f t="shared" si="17"/>
        <v>14</v>
      </c>
      <c r="F58" s="51">
        <f t="shared" si="18"/>
        <v>11</v>
      </c>
      <c r="G58" s="52" t="str">
        <f t="shared" si="19"/>
        <v>46#14#11</v>
      </c>
      <c r="H58" s="50">
        <f t="shared" si="20"/>
        <v>59</v>
      </c>
      <c r="I58" s="50">
        <f t="shared" si="21"/>
        <v>18</v>
      </c>
      <c r="J58" s="50">
        <f t="shared" si="22"/>
        <v>14</v>
      </c>
      <c r="K58" s="52" t="str">
        <f t="shared" si="23"/>
        <v>59#18#14</v>
      </c>
    </row>
    <row r="59" spans="1:11">
      <c r="A59" s="50" t="s">
        <v>1178</v>
      </c>
      <c r="B59" s="50">
        <f>Migong!AA78</f>
        <v>12</v>
      </c>
      <c r="C59" s="50">
        <v>-35</v>
      </c>
      <c r="D59" s="51">
        <f t="shared" si="16"/>
        <v>48</v>
      </c>
      <c r="E59" s="51">
        <f t="shared" si="17"/>
        <v>15</v>
      </c>
      <c r="F59" s="51">
        <f t="shared" si="18"/>
        <v>12</v>
      </c>
      <c r="G59" s="52" t="str">
        <f t="shared" si="19"/>
        <v>48#15#12</v>
      </c>
      <c r="H59" s="50">
        <f t="shared" si="20"/>
        <v>62</v>
      </c>
      <c r="I59" s="50">
        <f t="shared" si="21"/>
        <v>19</v>
      </c>
      <c r="J59" s="50">
        <f t="shared" si="22"/>
        <v>15</v>
      </c>
      <c r="K59" s="52" t="str">
        <f t="shared" si="23"/>
        <v>62#19#15</v>
      </c>
    </row>
    <row r="60" spans="1:11">
      <c r="A60" s="50" t="s">
        <v>1179</v>
      </c>
      <c r="B60" s="50">
        <f>Migong!AA79</f>
        <v>13</v>
      </c>
      <c r="C60" s="50">
        <v>-36</v>
      </c>
      <c r="D60" s="51">
        <f t="shared" si="16"/>
        <v>49</v>
      </c>
      <c r="E60" s="51">
        <f t="shared" si="17"/>
        <v>15</v>
      </c>
      <c r="F60" s="51">
        <f t="shared" si="18"/>
        <v>12</v>
      </c>
      <c r="G60" s="52" t="str">
        <f t="shared" si="19"/>
        <v>49#15#12</v>
      </c>
      <c r="H60" s="50">
        <f t="shared" si="20"/>
        <v>63</v>
      </c>
      <c r="I60" s="50">
        <f t="shared" si="21"/>
        <v>19</v>
      </c>
      <c r="J60" s="50">
        <f t="shared" si="22"/>
        <v>15</v>
      </c>
      <c r="K60" s="52" t="str">
        <f t="shared" si="23"/>
        <v>63#19#15</v>
      </c>
    </row>
    <row r="61" spans="1:11">
      <c r="A61" s="50" t="s">
        <v>1180</v>
      </c>
      <c r="B61" s="50">
        <f>Migong!AA80</f>
        <v>1</v>
      </c>
      <c r="C61" s="50">
        <v>-37</v>
      </c>
      <c r="D61" s="51">
        <f t="shared" si="16"/>
        <v>31</v>
      </c>
      <c r="E61" s="51">
        <f t="shared" si="17"/>
        <v>8</v>
      </c>
      <c r="F61" s="51">
        <f t="shared" si="18"/>
        <v>5</v>
      </c>
      <c r="G61" s="52" t="str">
        <f t="shared" si="19"/>
        <v>31#8#5</v>
      </c>
      <c r="H61" s="50">
        <f t="shared" si="20"/>
        <v>40</v>
      </c>
      <c r="I61" s="50">
        <f t="shared" si="21"/>
        <v>10</v>
      </c>
      <c r="J61" s="50">
        <f t="shared" si="22"/>
        <v>6</v>
      </c>
      <c r="K61" s="52" t="str">
        <f t="shared" si="23"/>
        <v>40#10#6</v>
      </c>
    </row>
    <row r="62" spans="1:11">
      <c r="A62" s="50" t="s">
        <v>1181</v>
      </c>
      <c r="B62" s="50">
        <f>Migong!AA81</f>
        <v>2</v>
      </c>
      <c r="C62" s="50">
        <v>-38</v>
      </c>
      <c r="D62" s="51">
        <f t="shared" si="16"/>
        <v>33</v>
      </c>
      <c r="E62" s="51">
        <f t="shared" si="17"/>
        <v>9</v>
      </c>
      <c r="F62" s="51">
        <f t="shared" si="18"/>
        <v>6</v>
      </c>
      <c r="G62" s="52" t="str">
        <f t="shared" si="19"/>
        <v>33#9#6</v>
      </c>
      <c r="H62" s="50">
        <f t="shared" si="20"/>
        <v>42</v>
      </c>
      <c r="I62" s="50">
        <f t="shared" si="21"/>
        <v>11</v>
      </c>
      <c r="J62" s="50">
        <f t="shared" si="22"/>
        <v>7</v>
      </c>
      <c r="K62" s="52" t="str">
        <f t="shared" si="23"/>
        <v>42#11#7</v>
      </c>
    </row>
    <row r="63" spans="1:11">
      <c r="A63" s="50" t="s">
        <v>1182</v>
      </c>
      <c r="B63" s="50">
        <f>Migong!AA82</f>
        <v>3</v>
      </c>
      <c r="C63" s="50">
        <v>-39</v>
      </c>
      <c r="D63" s="51">
        <f t="shared" si="16"/>
        <v>34</v>
      </c>
      <c r="E63" s="51">
        <f t="shared" si="17"/>
        <v>9</v>
      </c>
      <c r="F63" s="51">
        <f t="shared" si="18"/>
        <v>6</v>
      </c>
      <c r="G63" s="52" t="str">
        <f t="shared" si="19"/>
        <v>34#9#6</v>
      </c>
      <c r="H63" s="50">
        <f t="shared" si="20"/>
        <v>44</v>
      </c>
      <c r="I63" s="50">
        <f t="shared" si="21"/>
        <v>11</v>
      </c>
      <c r="J63" s="50">
        <f t="shared" si="22"/>
        <v>7</v>
      </c>
      <c r="K63" s="52" t="str">
        <f t="shared" si="23"/>
        <v>44#11#7</v>
      </c>
    </row>
    <row r="64" spans="1:11">
      <c r="A64" s="50" t="s">
        <v>1183</v>
      </c>
      <c r="B64" s="50">
        <f>Migong!AA83</f>
        <v>4</v>
      </c>
      <c r="C64" s="50">
        <v>-40</v>
      </c>
      <c r="D64" s="51">
        <f t="shared" ref="D64:D100" si="24">INT(($D$5+$D$2+B64)*$D$3)</f>
        <v>36</v>
      </c>
      <c r="E64" s="51">
        <f t="shared" ref="E64:E100" si="25">INT(($E$5+$E$2+B64)*$E$3)</f>
        <v>10</v>
      </c>
      <c r="F64" s="51">
        <f t="shared" ref="F64:F100" si="26">INT(($F$5+$F$2+B64)*$F$3)</f>
        <v>7</v>
      </c>
      <c r="G64" s="52" t="str">
        <f t="shared" ref="G64:G100" si="27">D64&amp;$D$1&amp;E64&amp;$E$1&amp;F64</f>
        <v>36#10#7</v>
      </c>
      <c r="H64" s="50">
        <f t="shared" ref="H64:H100" si="28">INT(D64+(D64*$I$1*$K$1))</f>
        <v>46</v>
      </c>
      <c r="I64" s="50">
        <f t="shared" ref="I64:I100" si="29">INT(E64+(E64*$I$1*$K$1))</f>
        <v>13</v>
      </c>
      <c r="J64" s="50">
        <f t="shared" ref="J64:J100" si="30">INT(F64+(F64*$I$1*$K$1))</f>
        <v>9</v>
      </c>
      <c r="K64" s="52" t="str">
        <f t="shared" ref="K64:K100" si="31">H64&amp;$D$1&amp;I64&amp;$E$1&amp;J64</f>
        <v>46#13#9</v>
      </c>
    </row>
    <row r="65" spans="1:11">
      <c r="A65" s="50" t="s">
        <v>1184</v>
      </c>
      <c r="B65" s="50">
        <f>Migong!AA84</f>
        <v>5</v>
      </c>
      <c r="C65" s="50">
        <v>-41</v>
      </c>
      <c r="D65" s="51">
        <f t="shared" si="24"/>
        <v>37</v>
      </c>
      <c r="E65" s="51">
        <f t="shared" si="25"/>
        <v>10</v>
      </c>
      <c r="F65" s="51">
        <f t="shared" si="26"/>
        <v>7</v>
      </c>
      <c r="G65" s="52" t="str">
        <f t="shared" si="27"/>
        <v>37#10#7</v>
      </c>
      <c r="H65" s="50">
        <f t="shared" si="28"/>
        <v>48</v>
      </c>
      <c r="I65" s="50">
        <f t="shared" si="29"/>
        <v>13</v>
      </c>
      <c r="J65" s="50">
        <f t="shared" si="30"/>
        <v>9</v>
      </c>
      <c r="K65" s="52" t="str">
        <f t="shared" si="31"/>
        <v>48#13#9</v>
      </c>
    </row>
    <row r="66" spans="1:11">
      <c r="A66" s="50" t="s">
        <v>1185</v>
      </c>
      <c r="B66" s="50">
        <f>Migong!AA85</f>
        <v>6</v>
      </c>
      <c r="C66" s="50">
        <v>-42</v>
      </c>
      <c r="D66" s="51">
        <f t="shared" si="24"/>
        <v>39</v>
      </c>
      <c r="E66" s="51">
        <f t="shared" si="25"/>
        <v>11</v>
      </c>
      <c r="F66" s="51">
        <f t="shared" si="26"/>
        <v>8</v>
      </c>
      <c r="G66" s="52" t="str">
        <f t="shared" si="27"/>
        <v>39#11#8</v>
      </c>
      <c r="H66" s="50">
        <f t="shared" si="28"/>
        <v>50</v>
      </c>
      <c r="I66" s="50">
        <f t="shared" si="29"/>
        <v>14</v>
      </c>
      <c r="J66" s="50">
        <f t="shared" si="30"/>
        <v>10</v>
      </c>
      <c r="K66" s="52" t="str">
        <f t="shared" si="31"/>
        <v>50#14#10</v>
      </c>
    </row>
    <row r="67" spans="1:11">
      <c r="A67" s="50" t="s">
        <v>1186</v>
      </c>
      <c r="B67" s="50">
        <f>Migong!AA86</f>
        <v>7</v>
      </c>
      <c r="C67" s="50">
        <v>-43</v>
      </c>
      <c r="D67" s="51">
        <f t="shared" si="24"/>
        <v>40</v>
      </c>
      <c r="E67" s="51">
        <f t="shared" si="25"/>
        <v>12</v>
      </c>
      <c r="F67" s="51">
        <f t="shared" si="26"/>
        <v>9</v>
      </c>
      <c r="G67" s="52" t="str">
        <f t="shared" si="27"/>
        <v>40#12#9</v>
      </c>
      <c r="H67" s="50">
        <f t="shared" si="28"/>
        <v>52</v>
      </c>
      <c r="I67" s="50">
        <f t="shared" si="29"/>
        <v>15</v>
      </c>
      <c r="J67" s="50">
        <f t="shared" si="30"/>
        <v>11</v>
      </c>
      <c r="K67" s="52" t="str">
        <f t="shared" si="31"/>
        <v>52#15#11</v>
      </c>
    </row>
    <row r="68" spans="1:11">
      <c r="A68" s="50" t="s">
        <v>1187</v>
      </c>
      <c r="B68" s="50">
        <f>Migong!AA87</f>
        <v>8</v>
      </c>
      <c r="C68" s="50">
        <v>-44</v>
      </c>
      <c r="D68" s="51">
        <f t="shared" si="24"/>
        <v>42</v>
      </c>
      <c r="E68" s="51">
        <f t="shared" si="25"/>
        <v>12</v>
      </c>
      <c r="F68" s="51">
        <f t="shared" si="26"/>
        <v>9</v>
      </c>
      <c r="G68" s="52" t="str">
        <f t="shared" si="27"/>
        <v>42#12#9</v>
      </c>
      <c r="H68" s="50">
        <f t="shared" si="28"/>
        <v>54</v>
      </c>
      <c r="I68" s="50">
        <f t="shared" si="29"/>
        <v>15</v>
      </c>
      <c r="J68" s="50">
        <f t="shared" si="30"/>
        <v>11</v>
      </c>
      <c r="K68" s="52" t="str">
        <f t="shared" si="31"/>
        <v>54#15#11</v>
      </c>
    </row>
    <row r="69" spans="1:11">
      <c r="A69" s="50" t="s">
        <v>1188</v>
      </c>
      <c r="B69" s="50">
        <f>Migong!AA88</f>
        <v>9</v>
      </c>
      <c r="C69" s="50">
        <v>-45</v>
      </c>
      <c r="D69" s="51">
        <f t="shared" si="24"/>
        <v>43</v>
      </c>
      <c r="E69" s="51">
        <f t="shared" si="25"/>
        <v>13</v>
      </c>
      <c r="F69" s="51">
        <f t="shared" si="26"/>
        <v>10</v>
      </c>
      <c r="G69" s="52" t="str">
        <f t="shared" si="27"/>
        <v>43#13#10</v>
      </c>
      <c r="H69" s="50">
        <f t="shared" si="28"/>
        <v>55</v>
      </c>
      <c r="I69" s="50">
        <f t="shared" si="29"/>
        <v>16</v>
      </c>
      <c r="J69" s="50">
        <f t="shared" si="30"/>
        <v>13</v>
      </c>
      <c r="K69" s="52" t="str">
        <f t="shared" si="31"/>
        <v>55#16#13</v>
      </c>
    </row>
    <row r="70" spans="1:11">
      <c r="A70" s="50" t="s">
        <v>1189</v>
      </c>
      <c r="B70" s="50">
        <f>Migong!AA89</f>
        <v>10</v>
      </c>
      <c r="C70" s="50">
        <v>-46</v>
      </c>
      <c r="D70" s="51">
        <f t="shared" si="24"/>
        <v>45</v>
      </c>
      <c r="E70" s="51">
        <f t="shared" si="25"/>
        <v>13</v>
      </c>
      <c r="F70" s="51">
        <f t="shared" si="26"/>
        <v>10</v>
      </c>
      <c r="G70" s="52" t="str">
        <f t="shared" si="27"/>
        <v>45#13#10</v>
      </c>
      <c r="H70" s="50">
        <f t="shared" si="28"/>
        <v>58</v>
      </c>
      <c r="I70" s="50">
        <f t="shared" si="29"/>
        <v>16</v>
      </c>
      <c r="J70" s="50">
        <f t="shared" si="30"/>
        <v>13</v>
      </c>
      <c r="K70" s="52" t="str">
        <f t="shared" si="31"/>
        <v>58#16#13</v>
      </c>
    </row>
    <row r="71" spans="1:11">
      <c r="A71" s="50" t="s">
        <v>1190</v>
      </c>
      <c r="B71" s="50">
        <f>Migong!AA90</f>
        <v>11</v>
      </c>
      <c r="C71" s="50">
        <v>-47</v>
      </c>
      <c r="D71" s="51">
        <f t="shared" si="24"/>
        <v>46</v>
      </c>
      <c r="E71" s="51">
        <f t="shared" si="25"/>
        <v>14</v>
      </c>
      <c r="F71" s="51">
        <f t="shared" si="26"/>
        <v>11</v>
      </c>
      <c r="G71" s="52" t="str">
        <f t="shared" si="27"/>
        <v>46#14#11</v>
      </c>
      <c r="H71" s="50">
        <f t="shared" si="28"/>
        <v>59</v>
      </c>
      <c r="I71" s="50">
        <f t="shared" si="29"/>
        <v>18</v>
      </c>
      <c r="J71" s="50">
        <f t="shared" si="30"/>
        <v>14</v>
      </c>
      <c r="K71" s="52" t="str">
        <f t="shared" si="31"/>
        <v>59#18#14</v>
      </c>
    </row>
    <row r="72" spans="1:11">
      <c r="A72" s="50" t="s">
        <v>1191</v>
      </c>
      <c r="B72" s="50">
        <f>Migong!AA91</f>
        <v>12</v>
      </c>
      <c r="C72" s="50">
        <v>-48</v>
      </c>
      <c r="D72" s="51">
        <f t="shared" si="24"/>
        <v>48</v>
      </c>
      <c r="E72" s="51">
        <f t="shared" si="25"/>
        <v>15</v>
      </c>
      <c r="F72" s="51">
        <f t="shared" si="26"/>
        <v>12</v>
      </c>
      <c r="G72" s="52" t="str">
        <f t="shared" si="27"/>
        <v>48#15#12</v>
      </c>
      <c r="H72" s="50">
        <f t="shared" si="28"/>
        <v>62</v>
      </c>
      <c r="I72" s="50">
        <f t="shared" si="29"/>
        <v>19</v>
      </c>
      <c r="J72" s="50">
        <f t="shared" si="30"/>
        <v>15</v>
      </c>
      <c r="K72" s="52" t="str">
        <f t="shared" si="31"/>
        <v>62#19#15</v>
      </c>
    </row>
    <row r="73" spans="1:11">
      <c r="A73" s="50" t="s">
        <v>1192</v>
      </c>
      <c r="B73" s="50">
        <f>Migong!AA92</f>
        <v>13</v>
      </c>
      <c r="C73" s="50">
        <v>-49</v>
      </c>
      <c r="D73" s="51">
        <f t="shared" si="24"/>
        <v>49</v>
      </c>
      <c r="E73" s="51">
        <f t="shared" si="25"/>
        <v>15</v>
      </c>
      <c r="F73" s="51">
        <f t="shared" si="26"/>
        <v>12</v>
      </c>
      <c r="G73" s="52" t="str">
        <f t="shared" si="27"/>
        <v>49#15#12</v>
      </c>
      <c r="H73" s="50">
        <f t="shared" si="28"/>
        <v>63</v>
      </c>
      <c r="I73" s="50">
        <f t="shared" si="29"/>
        <v>19</v>
      </c>
      <c r="J73" s="50">
        <f t="shared" si="30"/>
        <v>15</v>
      </c>
      <c r="K73" s="52" t="str">
        <f t="shared" si="31"/>
        <v>63#19#15</v>
      </c>
    </row>
    <row r="74" spans="1:11">
      <c r="A74" s="50" t="s">
        <v>1193</v>
      </c>
      <c r="B74" s="50">
        <f>Migong!AA93</f>
        <v>1</v>
      </c>
      <c r="C74" s="50">
        <v>-50</v>
      </c>
      <c r="D74" s="51">
        <f t="shared" si="24"/>
        <v>31</v>
      </c>
      <c r="E74" s="51">
        <f t="shared" si="25"/>
        <v>8</v>
      </c>
      <c r="F74" s="51">
        <f t="shared" si="26"/>
        <v>5</v>
      </c>
      <c r="G74" s="52" t="str">
        <f t="shared" si="27"/>
        <v>31#8#5</v>
      </c>
      <c r="H74" s="50">
        <f t="shared" si="28"/>
        <v>40</v>
      </c>
      <c r="I74" s="50">
        <f t="shared" si="29"/>
        <v>10</v>
      </c>
      <c r="J74" s="50">
        <f t="shared" si="30"/>
        <v>6</v>
      </c>
      <c r="K74" s="52" t="str">
        <f t="shared" si="31"/>
        <v>40#10#6</v>
      </c>
    </row>
    <row r="75" spans="1:11">
      <c r="A75" s="50" t="s">
        <v>1194</v>
      </c>
      <c r="B75" s="50">
        <f>Migong!AA94</f>
        <v>2</v>
      </c>
      <c r="C75" s="50">
        <v>-51</v>
      </c>
      <c r="D75" s="51">
        <f t="shared" si="24"/>
        <v>33</v>
      </c>
      <c r="E75" s="51">
        <f t="shared" si="25"/>
        <v>9</v>
      </c>
      <c r="F75" s="51">
        <f t="shared" si="26"/>
        <v>6</v>
      </c>
      <c r="G75" s="52" t="str">
        <f t="shared" si="27"/>
        <v>33#9#6</v>
      </c>
      <c r="H75" s="50">
        <f t="shared" si="28"/>
        <v>42</v>
      </c>
      <c r="I75" s="50">
        <f t="shared" si="29"/>
        <v>11</v>
      </c>
      <c r="J75" s="50">
        <f t="shared" si="30"/>
        <v>7</v>
      </c>
      <c r="K75" s="52" t="str">
        <f t="shared" si="31"/>
        <v>42#11#7</v>
      </c>
    </row>
    <row r="76" spans="1:11">
      <c r="A76" s="50" t="s">
        <v>1195</v>
      </c>
      <c r="B76" s="50">
        <f>Migong!AA95</f>
        <v>3</v>
      </c>
      <c r="C76" s="50">
        <v>-52</v>
      </c>
      <c r="D76" s="51">
        <f t="shared" si="24"/>
        <v>34</v>
      </c>
      <c r="E76" s="51">
        <f t="shared" si="25"/>
        <v>9</v>
      </c>
      <c r="F76" s="51">
        <f t="shared" si="26"/>
        <v>6</v>
      </c>
      <c r="G76" s="52" t="str">
        <f t="shared" si="27"/>
        <v>34#9#6</v>
      </c>
      <c r="H76" s="50">
        <f t="shared" si="28"/>
        <v>44</v>
      </c>
      <c r="I76" s="50">
        <f t="shared" si="29"/>
        <v>11</v>
      </c>
      <c r="J76" s="50">
        <f t="shared" si="30"/>
        <v>7</v>
      </c>
      <c r="K76" s="52" t="str">
        <f t="shared" si="31"/>
        <v>44#11#7</v>
      </c>
    </row>
    <row r="77" spans="1:11">
      <c r="A77" s="50" t="s">
        <v>1196</v>
      </c>
      <c r="B77" s="50">
        <f>Migong!AA96</f>
        <v>4</v>
      </c>
      <c r="C77" s="50">
        <v>-53</v>
      </c>
      <c r="D77" s="51">
        <f t="shared" si="24"/>
        <v>36</v>
      </c>
      <c r="E77" s="51">
        <f t="shared" si="25"/>
        <v>10</v>
      </c>
      <c r="F77" s="51">
        <f t="shared" si="26"/>
        <v>7</v>
      </c>
      <c r="G77" s="52" t="str">
        <f t="shared" si="27"/>
        <v>36#10#7</v>
      </c>
      <c r="H77" s="50">
        <f t="shared" si="28"/>
        <v>46</v>
      </c>
      <c r="I77" s="50">
        <f t="shared" si="29"/>
        <v>13</v>
      </c>
      <c r="J77" s="50">
        <f t="shared" si="30"/>
        <v>9</v>
      </c>
      <c r="K77" s="52" t="str">
        <f t="shared" si="31"/>
        <v>46#13#9</v>
      </c>
    </row>
    <row r="78" spans="1:11">
      <c r="A78" s="50" t="s">
        <v>1197</v>
      </c>
      <c r="B78" s="50">
        <f>Migong!AA97</f>
        <v>5</v>
      </c>
      <c r="C78" s="50">
        <v>-54</v>
      </c>
      <c r="D78" s="51">
        <f t="shared" si="24"/>
        <v>37</v>
      </c>
      <c r="E78" s="51">
        <f t="shared" si="25"/>
        <v>10</v>
      </c>
      <c r="F78" s="51">
        <f t="shared" si="26"/>
        <v>7</v>
      </c>
      <c r="G78" s="52" t="str">
        <f t="shared" si="27"/>
        <v>37#10#7</v>
      </c>
      <c r="H78" s="50">
        <f t="shared" si="28"/>
        <v>48</v>
      </c>
      <c r="I78" s="50">
        <f t="shared" si="29"/>
        <v>13</v>
      </c>
      <c r="J78" s="50">
        <f t="shared" si="30"/>
        <v>9</v>
      </c>
      <c r="K78" s="52" t="str">
        <f t="shared" si="31"/>
        <v>48#13#9</v>
      </c>
    </row>
    <row r="79" spans="1:11">
      <c r="A79" s="50" t="s">
        <v>1198</v>
      </c>
      <c r="B79" s="50">
        <f>Migong!AA98</f>
        <v>6</v>
      </c>
      <c r="C79" s="50">
        <v>-55</v>
      </c>
      <c r="D79" s="51">
        <f t="shared" si="24"/>
        <v>39</v>
      </c>
      <c r="E79" s="51">
        <f t="shared" si="25"/>
        <v>11</v>
      </c>
      <c r="F79" s="51">
        <f t="shared" si="26"/>
        <v>8</v>
      </c>
      <c r="G79" s="52" t="str">
        <f t="shared" si="27"/>
        <v>39#11#8</v>
      </c>
      <c r="H79" s="50">
        <f t="shared" si="28"/>
        <v>50</v>
      </c>
      <c r="I79" s="50">
        <f t="shared" si="29"/>
        <v>14</v>
      </c>
      <c r="J79" s="50">
        <f t="shared" si="30"/>
        <v>10</v>
      </c>
      <c r="K79" s="52" t="str">
        <f t="shared" si="31"/>
        <v>50#14#10</v>
      </c>
    </row>
    <row r="80" spans="1:11">
      <c r="A80" s="50" t="s">
        <v>1199</v>
      </c>
      <c r="B80" s="50">
        <f>Migong!AA99</f>
        <v>7</v>
      </c>
      <c r="C80" s="50">
        <v>-56</v>
      </c>
      <c r="D80" s="51">
        <f t="shared" si="24"/>
        <v>40</v>
      </c>
      <c r="E80" s="51">
        <f t="shared" si="25"/>
        <v>12</v>
      </c>
      <c r="F80" s="51">
        <f t="shared" si="26"/>
        <v>9</v>
      </c>
      <c r="G80" s="52" t="str">
        <f t="shared" si="27"/>
        <v>40#12#9</v>
      </c>
      <c r="H80" s="50">
        <f t="shared" si="28"/>
        <v>52</v>
      </c>
      <c r="I80" s="50">
        <f t="shared" si="29"/>
        <v>15</v>
      </c>
      <c r="J80" s="50">
        <f t="shared" si="30"/>
        <v>11</v>
      </c>
      <c r="K80" s="52" t="str">
        <f t="shared" si="31"/>
        <v>52#15#11</v>
      </c>
    </row>
    <row r="81" spans="1:11">
      <c r="A81" s="50" t="s">
        <v>1200</v>
      </c>
      <c r="B81" s="50">
        <f>Migong!AA100</f>
        <v>8</v>
      </c>
      <c r="C81" s="50">
        <v>-57</v>
      </c>
      <c r="D81" s="51">
        <f t="shared" si="24"/>
        <v>42</v>
      </c>
      <c r="E81" s="51">
        <f t="shared" si="25"/>
        <v>12</v>
      </c>
      <c r="F81" s="51">
        <f t="shared" si="26"/>
        <v>9</v>
      </c>
      <c r="G81" s="52" t="str">
        <f t="shared" si="27"/>
        <v>42#12#9</v>
      </c>
      <c r="H81" s="50">
        <f t="shared" si="28"/>
        <v>54</v>
      </c>
      <c r="I81" s="50">
        <f t="shared" si="29"/>
        <v>15</v>
      </c>
      <c r="J81" s="50">
        <f t="shared" si="30"/>
        <v>11</v>
      </c>
      <c r="K81" s="52" t="str">
        <f t="shared" si="31"/>
        <v>54#15#11</v>
      </c>
    </row>
    <row r="82" spans="1:11">
      <c r="A82" s="50" t="s">
        <v>1201</v>
      </c>
      <c r="B82" s="50">
        <f>Migong!AA101</f>
        <v>9</v>
      </c>
      <c r="C82" s="50">
        <v>-58</v>
      </c>
      <c r="D82" s="51">
        <f t="shared" si="24"/>
        <v>43</v>
      </c>
      <c r="E82" s="51">
        <f t="shared" si="25"/>
        <v>13</v>
      </c>
      <c r="F82" s="51">
        <f t="shared" si="26"/>
        <v>10</v>
      </c>
      <c r="G82" s="52" t="str">
        <f t="shared" si="27"/>
        <v>43#13#10</v>
      </c>
      <c r="H82" s="50">
        <f t="shared" si="28"/>
        <v>55</v>
      </c>
      <c r="I82" s="50">
        <f t="shared" si="29"/>
        <v>16</v>
      </c>
      <c r="J82" s="50">
        <f t="shared" si="30"/>
        <v>13</v>
      </c>
      <c r="K82" s="52" t="str">
        <f t="shared" si="31"/>
        <v>55#16#13</v>
      </c>
    </row>
    <row r="83" spans="1:11">
      <c r="A83" s="50" t="s">
        <v>1202</v>
      </c>
      <c r="B83" s="50">
        <f>Migong!AA102</f>
        <v>10</v>
      </c>
      <c r="C83" s="50">
        <v>-59</v>
      </c>
      <c r="D83" s="51">
        <f t="shared" si="24"/>
        <v>45</v>
      </c>
      <c r="E83" s="51">
        <f t="shared" si="25"/>
        <v>13</v>
      </c>
      <c r="F83" s="51">
        <f t="shared" si="26"/>
        <v>10</v>
      </c>
      <c r="G83" s="52" t="str">
        <f t="shared" si="27"/>
        <v>45#13#10</v>
      </c>
      <c r="H83" s="50">
        <f t="shared" si="28"/>
        <v>58</v>
      </c>
      <c r="I83" s="50">
        <f t="shared" si="29"/>
        <v>16</v>
      </c>
      <c r="J83" s="50">
        <f t="shared" si="30"/>
        <v>13</v>
      </c>
      <c r="K83" s="52" t="str">
        <f t="shared" si="31"/>
        <v>58#16#13</v>
      </c>
    </row>
    <row r="84" spans="1:11">
      <c r="A84" s="50" t="s">
        <v>1203</v>
      </c>
      <c r="B84" s="50">
        <f>Migong!AA103</f>
        <v>11</v>
      </c>
      <c r="C84" s="50">
        <v>-60</v>
      </c>
      <c r="D84" s="51">
        <f t="shared" si="24"/>
        <v>46</v>
      </c>
      <c r="E84" s="51">
        <f t="shared" si="25"/>
        <v>14</v>
      </c>
      <c r="F84" s="51">
        <f t="shared" si="26"/>
        <v>11</v>
      </c>
      <c r="G84" s="52" t="str">
        <f t="shared" si="27"/>
        <v>46#14#11</v>
      </c>
      <c r="H84" s="50">
        <f t="shared" si="28"/>
        <v>59</v>
      </c>
      <c r="I84" s="50">
        <f t="shared" si="29"/>
        <v>18</v>
      </c>
      <c r="J84" s="50">
        <f t="shared" si="30"/>
        <v>14</v>
      </c>
      <c r="K84" s="52" t="str">
        <f t="shared" si="31"/>
        <v>59#18#14</v>
      </c>
    </row>
    <row r="85" spans="1:11">
      <c r="A85" s="50" t="s">
        <v>1204</v>
      </c>
      <c r="B85" s="50">
        <f>Migong!AA104</f>
        <v>12</v>
      </c>
      <c r="C85" s="50">
        <v>-61</v>
      </c>
      <c r="D85" s="51">
        <f t="shared" si="24"/>
        <v>48</v>
      </c>
      <c r="E85" s="51">
        <f t="shared" si="25"/>
        <v>15</v>
      </c>
      <c r="F85" s="51">
        <f t="shared" si="26"/>
        <v>12</v>
      </c>
      <c r="G85" s="52" t="str">
        <f t="shared" si="27"/>
        <v>48#15#12</v>
      </c>
      <c r="H85" s="50">
        <f t="shared" si="28"/>
        <v>62</v>
      </c>
      <c r="I85" s="50">
        <f t="shared" si="29"/>
        <v>19</v>
      </c>
      <c r="J85" s="50">
        <f t="shared" si="30"/>
        <v>15</v>
      </c>
      <c r="K85" s="52" t="str">
        <f t="shared" si="31"/>
        <v>62#19#15</v>
      </c>
    </row>
    <row r="86" spans="1:11">
      <c r="A86" s="50" t="s">
        <v>1205</v>
      </c>
      <c r="B86" s="50">
        <f>Migong!AA105</f>
        <v>13</v>
      </c>
      <c r="C86" s="50">
        <v>-62</v>
      </c>
      <c r="D86" s="51">
        <f t="shared" si="24"/>
        <v>49</v>
      </c>
      <c r="E86" s="51">
        <f t="shared" si="25"/>
        <v>15</v>
      </c>
      <c r="F86" s="51">
        <f t="shared" si="26"/>
        <v>12</v>
      </c>
      <c r="G86" s="52" t="str">
        <f t="shared" si="27"/>
        <v>49#15#12</v>
      </c>
      <c r="H86" s="50">
        <f t="shared" si="28"/>
        <v>63</v>
      </c>
      <c r="I86" s="50">
        <f t="shared" si="29"/>
        <v>19</v>
      </c>
      <c r="J86" s="50">
        <f t="shared" si="30"/>
        <v>15</v>
      </c>
      <c r="K86" s="52" t="str">
        <f t="shared" si="31"/>
        <v>63#19#15</v>
      </c>
    </row>
    <row r="87" spans="1:11">
      <c r="A87" s="50" t="s">
        <v>1206</v>
      </c>
      <c r="B87" s="50">
        <f>Migong!AA106</f>
        <v>14</v>
      </c>
      <c r="C87" s="50">
        <v>-63</v>
      </c>
      <c r="D87" s="51">
        <f t="shared" si="24"/>
        <v>51</v>
      </c>
      <c r="E87" s="51">
        <f t="shared" si="25"/>
        <v>16</v>
      </c>
      <c r="F87" s="51">
        <f t="shared" si="26"/>
        <v>13</v>
      </c>
      <c r="G87" s="52" t="str">
        <f t="shared" si="27"/>
        <v>51#16#13</v>
      </c>
      <c r="H87" s="50">
        <f t="shared" si="28"/>
        <v>66</v>
      </c>
      <c r="I87" s="50">
        <f t="shared" si="29"/>
        <v>20</v>
      </c>
      <c r="J87" s="50">
        <f t="shared" si="30"/>
        <v>16</v>
      </c>
      <c r="K87" s="52" t="str">
        <f t="shared" si="31"/>
        <v>66#20#16</v>
      </c>
    </row>
    <row r="88" spans="1:11">
      <c r="A88" s="50" t="s">
        <v>1207</v>
      </c>
      <c r="B88" s="50">
        <f>Migong!AA107</f>
        <v>15</v>
      </c>
      <c r="C88" s="50">
        <v>-64</v>
      </c>
      <c r="D88" s="51">
        <f t="shared" si="24"/>
        <v>52</v>
      </c>
      <c r="E88" s="51">
        <f t="shared" si="25"/>
        <v>16</v>
      </c>
      <c r="F88" s="51">
        <f t="shared" si="26"/>
        <v>13</v>
      </c>
      <c r="G88" s="52" t="str">
        <f t="shared" si="27"/>
        <v>52#16#13</v>
      </c>
      <c r="H88" s="50">
        <f t="shared" si="28"/>
        <v>67</v>
      </c>
      <c r="I88" s="50">
        <f t="shared" si="29"/>
        <v>20</v>
      </c>
      <c r="J88" s="50">
        <f t="shared" si="30"/>
        <v>16</v>
      </c>
      <c r="K88" s="52" t="str">
        <f t="shared" si="31"/>
        <v>67#20#16</v>
      </c>
    </row>
    <row r="89" spans="1:11">
      <c r="A89" s="50" t="s">
        <v>1208</v>
      </c>
      <c r="B89" s="50">
        <f>Migong!AA108</f>
        <v>25</v>
      </c>
      <c r="C89" s="50">
        <v>-65</v>
      </c>
      <c r="D89" s="51">
        <f t="shared" si="24"/>
        <v>67</v>
      </c>
      <c r="E89" s="51">
        <f t="shared" si="25"/>
        <v>22</v>
      </c>
      <c r="F89" s="51">
        <f t="shared" si="26"/>
        <v>19</v>
      </c>
      <c r="G89" s="52" t="str">
        <f t="shared" si="27"/>
        <v>67#22#19</v>
      </c>
      <c r="H89" s="50">
        <f t="shared" si="28"/>
        <v>87</v>
      </c>
      <c r="I89" s="50">
        <f t="shared" si="29"/>
        <v>28</v>
      </c>
      <c r="J89" s="50">
        <f t="shared" si="30"/>
        <v>24</v>
      </c>
      <c r="K89" s="52" t="str">
        <f t="shared" si="31"/>
        <v>87#28#24</v>
      </c>
    </row>
    <row r="90" spans="1:11">
      <c r="A90" s="50" t="s">
        <v>1209</v>
      </c>
      <c r="B90" s="50">
        <f>Migong!AA109</f>
        <v>26</v>
      </c>
      <c r="C90" s="50">
        <v>-66</v>
      </c>
      <c r="D90" s="51">
        <f t="shared" si="24"/>
        <v>69</v>
      </c>
      <c r="E90" s="51">
        <f t="shared" si="25"/>
        <v>23</v>
      </c>
      <c r="F90" s="51">
        <f t="shared" si="26"/>
        <v>20</v>
      </c>
      <c r="G90" s="52" t="str">
        <f t="shared" si="27"/>
        <v>69#23#20</v>
      </c>
      <c r="H90" s="50">
        <f t="shared" si="28"/>
        <v>89</v>
      </c>
      <c r="I90" s="50">
        <f t="shared" si="29"/>
        <v>29</v>
      </c>
      <c r="J90" s="50">
        <f t="shared" si="30"/>
        <v>26</v>
      </c>
      <c r="K90" s="52" t="str">
        <f t="shared" si="31"/>
        <v>89#29#26</v>
      </c>
    </row>
    <row r="91" spans="1:11">
      <c r="A91" s="50" t="s">
        <v>1210</v>
      </c>
      <c r="B91" s="50">
        <f>Migong!AA110</f>
        <v>27</v>
      </c>
      <c r="C91" s="50">
        <v>-67</v>
      </c>
      <c r="D91" s="51">
        <f t="shared" si="24"/>
        <v>70</v>
      </c>
      <c r="E91" s="51">
        <f t="shared" si="25"/>
        <v>24</v>
      </c>
      <c r="F91" s="51">
        <f t="shared" si="26"/>
        <v>21</v>
      </c>
      <c r="G91" s="52" t="str">
        <f t="shared" si="27"/>
        <v>70#24#21</v>
      </c>
      <c r="H91" s="50">
        <f t="shared" si="28"/>
        <v>91</v>
      </c>
      <c r="I91" s="50">
        <f t="shared" si="29"/>
        <v>31</v>
      </c>
      <c r="J91" s="50">
        <f t="shared" si="30"/>
        <v>27</v>
      </c>
      <c r="K91" s="52" t="str">
        <f t="shared" si="31"/>
        <v>91#31#27</v>
      </c>
    </row>
    <row r="92" spans="1:11">
      <c r="A92" s="50" t="s">
        <v>1211</v>
      </c>
      <c r="B92" s="50">
        <f>Migong!AA111</f>
        <v>28</v>
      </c>
      <c r="C92" s="50">
        <v>-68</v>
      </c>
      <c r="D92" s="51">
        <f t="shared" si="24"/>
        <v>72</v>
      </c>
      <c r="E92" s="51">
        <f t="shared" si="25"/>
        <v>24</v>
      </c>
      <c r="F92" s="51">
        <f t="shared" si="26"/>
        <v>21</v>
      </c>
      <c r="G92" s="52" t="str">
        <f t="shared" si="27"/>
        <v>72#24#21</v>
      </c>
      <c r="H92" s="50">
        <f t="shared" si="28"/>
        <v>93</v>
      </c>
      <c r="I92" s="50">
        <f t="shared" si="29"/>
        <v>31</v>
      </c>
      <c r="J92" s="50">
        <f t="shared" si="30"/>
        <v>27</v>
      </c>
      <c r="K92" s="52" t="str">
        <f t="shared" si="31"/>
        <v>93#31#27</v>
      </c>
    </row>
    <row r="93" spans="1:11">
      <c r="A93" s="50" t="s">
        <v>1212</v>
      </c>
      <c r="B93" s="50">
        <f>Migong!AA112</f>
        <v>29</v>
      </c>
      <c r="C93" s="50">
        <v>-69</v>
      </c>
      <c r="D93" s="51">
        <f t="shared" si="24"/>
        <v>73</v>
      </c>
      <c r="E93" s="51">
        <f t="shared" si="25"/>
        <v>25</v>
      </c>
      <c r="F93" s="51">
        <f t="shared" si="26"/>
        <v>22</v>
      </c>
      <c r="G93" s="52" t="str">
        <f t="shared" si="27"/>
        <v>73#25#22</v>
      </c>
      <c r="H93" s="50">
        <f t="shared" si="28"/>
        <v>94</v>
      </c>
      <c r="I93" s="50">
        <f t="shared" si="29"/>
        <v>32</v>
      </c>
      <c r="J93" s="50">
        <f t="shared" si="30"/>
        <v>28</v>
      </c>
      <c r="K93" s="52" t="str">
        <f t="shared" si="31"/>
        <v>94#32#28</v>
      </c>
    </row>
    <row r="94" spans="1:11">
      <c r="A94" s="50" t="s">
        <v>1213</v>
      </c>
      <c r="B94" s="50">
        <f>Migong!AA113</f>
        <v>30</v>
      </c>
      <c r="C94" s="50">
        <v>-70</v>
      </c>
      <c r="D94" s="51">
        <f t="shared" si="24"/>
        <v>75</v>
      </c>
      <c r="E94" s="51">
        <f t="shared" si="25"/>
        <v>25</v>
      </c>
      <c r="F94" s="51">
        <f t="shared" si="26"/>
        <v>22</v>
      </c>
      <c r="G94" s="52" t="str">
        <f t="shared" si="27"/>
        <v>75#25#22</v>
      </c>
      <c r="H94" s="50">
        <f t="shared" si="28"/>
        <v>97</v>
      </c>
      <c r="I94" s="50">
        <f t="shared" si="29"/>
        <v>32</v>
      </c>
      <c r="J94" s="50">
        <f t="shared" si="30"/>
        <v>28</v>
      </c>
      <c r="K94" s="52" t="str">
        <f t="shared" si="31"/>
        <v>97#32#28</v>
      </c>
    </row>
    <row r="95" spans="1:11">
      <c r="A95" s="50" t="s">
        <v>1214</v>
      </c>
      <c r="B95" s="50">
        <f>Migong!AA114</f>
        <v>0</v>
      </c>
      <c r="C95" s="50">
        <v>-71</v>
      </c>
      <c r="D95" s="51">
        <f t="shared" si="24"/>
        <v>30</v>
      </c>
      <c r="E95" s="51">
        <f t="shared" si="25"/>
        <v>7</v>
      </c>
      <c r="F95" s="51">
        <f t="shared" si="26"/>
        <v>4</v>
      </c>
      <c r="G95" s="52" t="str">
        <f t="shared" si="27"/>
        <v>30#7#4</v>
      </c>
      <c r="H95" s="50">
        <f t="shared" si="28"/>
        <v>39</v>
      </c>
      <c r="I95" s="50">
        <f t="shared" si="29"/>
        <v>9</v>
      </c>
      <c r="J95" s="50">
        <f t="shared" si="30"/>
        <v>5</v>
      </c>
      <c r="K95" s="52" t="str">
        <f t="shared" si="31"/>
        <v>39#9#5</v>
      </c>
    </row>
    <row r="96" spans="1:11">
      <c r="A96" s="50" t="s">
        <v>1215</v>
      </c>
      <c r="B96" s="50">
        <f>Migong!AA115</f>
        <v>0</v>
      </c>
      <c r="C96" s="50">
        <v>-72</v>
      </c>
      <c r="D96" s="51">
        <f t="shared" si="24"/>
        <v>30</v>
      </c>
      <c r="E96" s="51">
        <f t="shared" si="25"/>
        <v>7</v>
      </c>
      <c r="F96" s="51">
        <f t="shared" si="26"/>
        <v>4</v>
      </c>
      <c r="G96" s="52" t="str">
        <f t="shared" si="27"/>
        <v>30#7#4</v>
      </c>
      <c r="H96" s="50">
        <f t="shared" si="28"/>
        <v>39</v>
      </c>
      <c r="I96" s="50">
        <f t="shared" si="29"/>
        <v>9</v>
      </c>
      <c r="J96" s="50">
        <f t="shared" si="30"/>
        <v>5</v>
      </c>
      <c r="K96" s="52" t="str">
        <f t="shared" si="31"/>
        <v>39#9#5</v>
      </c>
    </row>
    <row r="97" spans="1:11">
      <c r="A97" s="50" t="s">
        <v>1216</v>
      </c>
      <c r="B97" s="50">
        <f>Migong!AA116</f>
        <v>0</v>
      </c>
      <c r="C97" s="50">
        <v>-73</v>
      </c>
      <c r="D97" s="51">
        <f t="shared" si="24"/>
        <v>30</v>
      </c>
      <c r="E97" s="51">
        <f t="shared" si="25"/>
        <v>7</v>
      </c>
      <c r="F97" s="51">
        <f t="shared" si="26"/>
        <v>4</v>
      </c>
      <c r="G97" s="52" t="str">
        <f t="shared" si="27"/>
        <v>30#7#4</v>
      </c>
      <c r="H97" s="50">
        <f t="shared" si="28"/>
        <v>39</v>
      </c>
      <c r="I97" s="50">
        <f t="shared" si="29"/>
        <v>9</v>
      </c>
      <c r="J97" s="50">
        <f t="shared" si="30"/>
        <v>5</v>
      </c>
      <c r="K97" s="52" t="str">
        <f t="shared" si="31"/>
        <v>39#9#5</v>
      </c>
    </row>
    <row r="98" spans="1:11">
      <c r="A98" s="50" t="s">
        <v>1217</v>
      </c>
      <c r="B98" s="50">
        <f>Migong!AA117</f>
        <v>0</v>
      </c>
      <c r="C98" s="50">
        <v>-74</v>
      </c>
      <c r="D98" s="51">
        <f t="shared" si="24"/>
        <v>30</v>
      </c>
      <c r="E98" s="51">
        <f t="shared" si="25"/>
        <v>7</v>
      </c>
      <c r="F98" s="51">
        <f t="shared" si="26"/>
        <v>4</v>
      </c>
      <c r="G98" s="52" t="str">
        <f t="shared" si="27"/>
        <v>30#7#4</v>
      </c>
      <c r="H98" s="50">
        <f t="shared" si="28"/>
        <v>39</v>
      </c>
      <c r="I98" s="50">
        <f t="shared" si="29"/>
        <v>9</v>
      </c>
      <c r="J98" s="50">
        <f t="shared" si="30"/>
        <v>5</v>
      </c>
      <c r="K98" s="52" t="str">
        <f t="shared" si="31"/>
        <v>39#9#5</v>
      </c>
    </row>
    <row r="99" spans="1:11">
      <c r="A99" s="50" t="s">
        <v>1218</v>
      </c>
      <c r="B99" s="50">
        <f>Migong!AA118</f>
        <v>0</v>
      </c>
      <c r="C99" s="50">
        <v>-75</v>
      </c>
      <c r="D99" s="51">
        <f t="shared" si="24"/>
        <v>30</v>
      </c>
      <c r="E99" s="51">
        <f t="shared" si="25"/>
        <v>7</v>
      </c>
      <c r="F99" s="51">
        <f t="shared" si="26"/>
        <v>4</v>
      </c>
      <c r="G99" s="52" t="str">
        <f t="shared" si="27"/>
        <v>30#7#4</v>
      </c>
      <c r="H99" s="50">
        <f t="shared" si="28"/>
        <v>39</v>
      </c>
      <c r="I99" s="50">
        <f t="shared" si="29"/>
        <v>9</v>
      </c>
      <c r="J99" s="50">
        <f t="shared" si="30"/>
        <v>5</v>
      </c>
      <c r="K99" s="52" t="str">
        <f t="shared" si="31"/>
        <v>39#9#5</v>
      </c>
    </row>
    <row r="100" spans="1:11">
      <c r="A100" s="50" t="s">
        <v>1219</v>
      </c>
      <c r="B100" s="50">
        <f>Migong!AA119</f>
        <v>0</v>
      </c>
      <c r="C100" s="50">
        <v>-76</v>
      </c>
      <c r="D100" s="51">
        <f t="shared" si="24"/>
        <v>30</v>
      </c>
      <c r="E100" s="51">
        <f t="shared" si="25"/>
        <v>7</v>
      </c>
      <c r="F100" s="51">
        <f t="shared" si="26"/>
        <v>4</v>
      </c>
      <c r="G100" s="52" t="str">
        <f t="shared" si="27"/>
        <v>30#7#4</v>
      </c>
      <c r="H100" s="50">
        <f t="shared" si="28"/>
        <v>39</v>
      </c>
      <c r="I100" s="50">
        <f t="shared" si="29"/>
        <v>9</v>
      </c>
      <c r="J100" s="50">
        <f t="shared" si="30"/>
        <v>5</v>
      </c>
      <c r="K100" s="52" t="str">
        <f t="shared" si="31"/>
        <v>39#9#5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3"/>
  <sheetViews>
    <sheetView workbookViewId="0">
      <selection activeCell="F4" sqref="F4"/>
    </sheetView>
  </sheetViews>
  <sheetFormatPr defaultColWidth="9" defaultRowHeight="14.25"/>
  <cols>
    <col min="1" max="2" width="6.375" style="1" customWidth="1"/>
    <col min="3" max="3" width="6.375" style="3" customWidth="1"/>
    <col min="4" max="4" width="30" style="4" customWidth="1"/>
    <col min="5" max="5" width="53.625" style="4" customWidth="1"/>
    <col min="6" max="6" width="3.25" style="48" customWidth="1"/>
    <col min="7" max="7" width="3.125" style="49" customWidth="1"/>
    <col min="8" max="8" width="5.25" style="49" customWidth="1"/>
    <col min="9" max="9" width="3.125" style="49" customWidth="1"/>
    <col min="10" max="10" width="6.25" style="49" customWidth="1"/>
    <col min="11" max="13" width="3.125" style="49" customWidth="1"/>
    <col min="14" max="14" width="5.75" style="49" customWidth="1"/>
    <col min="15" max="15" width="3.125" style="49" customWidth="1"/>
    <col min="16" max="16" width="5.75" style="49" customWidth="1"/>
    <col min="17" max="17" width="4.25" style="49" customWidth="1"/>
    <col min="18" max="18" width="5.75" style="49" customWidth="1"/>
    <col min="19" max="21" width="3.125" style="49" customWidth="1"/>
    <col min="22" max="22" width="8" style="49" customWidth="1"/>
    <col min="23" max="23" width="3.125" style="49" customWidth="1"/>
    <col min="24" max="24" width="8.5" style="49" customWidth="1"/>
    <col min="25" max="25" width="3.625" style="49" customWidth="1"/>
    <col min="26" max="26" width="8.5" style="49" customWidth="1"/>
    <col min="27" max="27" width="3.125" style="49" customWidth="1"/>
    <col min="28" max="28" width="6.25" style="39" customWidth="1"/>
    <col min="29" max="32" width="3.125" style="2" customWidth="1"/>
    <col min="33" max="16384" width="9" style="2"/>
  </cols>
  <sheetData>
    <row r="1" s="1" customFormat="1" spans="1:31">
      <c r="A1" s="1" t="s">
        <v>64</v>
      </c>
      <c r="B1" s="1" t="s">
        <v>1220</v>
      </c>
      <c r="C1" s="3" t="s">
        <v>97</v>
      </c>
      <c r="D1" s="24" t="s">
        <v>98</v>
      </c>
      <c r="E1" s="24" t="s">
        <v>100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="2" customFormat="1" spans="1:31">
      <c r="A2" s="1">
        <v>11</v>
      </c>
      <c r="B2" s="30" t="s">
        <v>1124</v>
      </c>
      <c r="C2" s="3">
        <f>出怪成长!C2</f>
        <v>3</v>
      </c>
      <c r="D2" s="4" t="str">
        <f>出怪成长!D2</f>
        <v>3#20004#1</v>
      </c>
      <c r="E2" s="4" t="str">
        <f>F2&amp;G2&amp;H2&amp;I2&amp;J2&amp;K2&amp;L2&amp;M2&amp;N2&amp;O2&amp;P2&amp;Q2&amp;R2</f>
        <v>1:10001,10002|2:10001,10002,10003</v>
      </c>
      <c r="F2" s="48">
        <v>1</v>
      </c>
      <c r="G2" s="49" t="s">
        <v>1221</v>
      </c>
      <c r="H2" s="49">
        <v>10001</v>
      </c>
      <c r="I2" s="49" t="s">
        <v>1222</v>
      </c>
      <c r="J2" s="49">
        <v>10002</v>
      </c>
      <c r="K2" s="49" t="s">
        <v>1223</v>
      </c>
      <c r="L2" s="48">
        <v>2</v>
      </c>
      <c r="M2" s="49" t="s">
        <v>1221</v>
      </c>
      <c r="N2" s="49">
        <v>10001</v>
      </c>
      <c r="O2" s="49" t="s">
        <v>1222</v>
      </c>
      <c r="P2" s="49">
        <v>10002</v>
      </c>
      <c r="Q2" s="49" t="s">
        <v>1222</v>
      </c>
      <c r="R2" s="49">
        <v>10003</v>
      </c>
      <c r="S2" s="49" t="s">
        <v>1223</v>
      </c>
      <c r="T2" s="48">
        <v>3</v>
      </c>
      <c r="U2" s="49" t="s">
        <v>1221</v>
      </c>
      <c r="V2" s="49">
        <v>10004</v>
      </c>
      <c r="W2" s="49" t="s">
        <v>1222</v>
      </c>
      <c r="X2" s="49">
        <v>10005</v>
      </c>
      <c r="Y2" s="49" t="s">
        <v>1222</v>
      </c>
      <c r="Z2" s="49">
        <v>10006</v>
      </c>
      <c r="AA2" s="49" t="s">
        <v>1223</v>
      </c>
      <c r="AB2" s="39"/>
    </row>
    <row r="3" s="2" customFormat="1" spans="1:31">
      <c r="A3" s="1">
        <v>12</v>
      </c>
      <c r="B3" s="30" t="s">
        <v>1125</v>
      </c>
      <c r="C3" s="3">
        <f>出怪成长!C3</f>
        <v>7</v>
      </c>
      <c r="D3" s="4" t="str">
        <f>出怪成长!D3</f>
        <v>2#20001#1|5#20002#1|7#30001,30002#1</v>
      </c>
      <c r="E3" s="4" t="str">
        <f t="shared" ref="E3:E8" si="0">F3&amp;G3&amp;H3&amp;I3&amp;J3&amp;K3&amp;L3&amp;M3&amp;N3&amp;O3&amp;P3&amp;Q3&amp;R3&amp;S3&amp;T3&amp;U3&amp;V3&amp;W3&amp;X3&amp;Y3&amp;Z3</f>
        <v>1:10001,10002|2:10004,10005,10006|3:10004,10005,10006</v>
      </c>
      <c r="F3" s="48">
        <v>1</v>
      </c>
      <c r="G3" s="49" t="s">
        <v>1221</v>
      </c>
      <c r="H3" s="49">
        <f>N2</f>
        <v>10001</v>
      </c>
      <c r="I3" s="49" t="s">
        <v>1222</v>
      </c>
      <c r="J3" s="49">
        <f>P2</f>
        <v>10002</v>
      </c>
      <c r="K3" s="49" t="s">
        <v>1223</v>
      </c>
      <c r="L3" s="48">
        <v>2</v>
      </c>
      <c r="M3" s="49" t="s">
        <v>1221</v>
      </c>
      <c r="N3" s="49">
        <f>V2</f>
        <v>10004</v>
      </c>
      <c r="O3" s="49" t="s">
        <v>1222</v>
      </c>
      <c r="P3" s="49">
        <f>X2</f>
        <v>10005</v>
      </c>
      <c r="Q3" s="49" t="s">
        <v>1222</v>
      </c>
      <c r="R3" s="49">
        <f>Z2</f>
        <v>10006</v>
      </c>
      <c r="S3" s="49" t="s">
        <v>1223</v>
      </c>
      <c r="T3" s="49">
        <v>3</v>
      </c>
      <c r="U3" s="49" t="s">
        <v>1221</v>
      </c>
      <c r="V3" s="49">
        <v>10004</v>
      </c>
      <c r="W3" s="49" t="s">
        <v>1222</v>
      </c>
      <c r="X3" s="49">
        <v>10005</v>
      </c>
      <c r="Y3" s="49" t="s">
        <v>1222</v>
      </c>
      <c r="Z3" s="49">
        <v>10006</v>
      </c>
      <c r="AA3" s="49" t="s">
        <v>1223</v>
      </c>
      <c r="AB3" s="39"/>
      <c r="AC3" s="41"/>
      <c r="AD3" s="41"/>
      <c r="AE3" s="41"/>
    </row>
    <row r="4" s="2" customFormat="1" spans="1:31">
      <c r="A4" s="1">
        <v>13</v>
      </c>
      <c r="B4" s="30" t="s">
        <v>1126</v>
      </c>
      <c r="C4" s="3">
        <f>出怪成长!C4</f>
        <v>8</v>
      </c>
      <c r="D4" s="4" t="str">
        <f>出怪成长!D4</f>
        <v>3#20003#1|6#20004#1|8#30001,30002#1</v>
      </c>
      <c r="E4" s="4" t="str">
        <f t="shared" si="0"/>
        <v>1:10004,10005|2:10004,10005,10006|3:10004,10005,10006</v>
      </c>
      <c r="F4" s="48">
        <v>1</v>
      </c>
      <c r="G4" s="49" t="s">
        <v>1221</v>
      </c>
      <c r="H4" s="49">
        <f t="shared" ref="H4:H9" si="1">N3</f>
        <v>10004</v>
      </c>
      <c r="I4" s="49" t="s">
        <v>1222</v>
      </c>
      <c r="J4" s="49">
        <f t="shared" ref="J4:J9" si="2">P3</f>
        <v>10005</v>
      </c>
      <c r="K4" s="49" t="s">
        <v>1223</v>
      </c>
      <c r="L4" s="48">
        <v>2</v>
      </c>
      <c r="M4" s="49" t="s">
        <v>1221</v>
      </c>
      <c r="N4" s="49">
        <f t="shared" ref="N4:N9" si="3">V3</f>
        <v>10004</v>
      </c>
      <c r="O4" s="49" t="s">
        <v>1222</v>
      </c>
      <c r="P4" s="49">
        <f t="shared" ref="P4:P9" si="4">X3</f>
        <v>10005</v>
      </c>
      <c r="Q4" s="49" t="s">
        <v>1222</v>
      </c>
      <c r="R4" s="49">
        <f t="shared" ref="R4:R9" si="5">Z3</f>
        <v>10006</v>
      </c>
      <c r="S4" s="49" t="s">
        <v>1223</v>
      </c>
      <c r="T4" s="48">
        <v>3</v>
      </c>
      <c r="U4" s="49" t="s">
        <v>1221</v>
      </c>
      <c r="V4" s="49">
        <v>10004</v>
      </c>
      <c r="W4" s="49" t="s">
        <v>1222</v>
      </c>
      <c r="X4" s="49">
        <v>10005</v>
      </c>
      <c r="Y4" s="49" t="s">
        <v>1222</v>
      </c>
      <c r="Z4" s="49">
        <v>10006</v>
      </c>
      <c r="AA4" s="49" t="s">
        <v>1223</v>
      </c>
      <c r="AB4" s="39"/>
      <c r="AC4" s="41"/>
      <c r="AD4" s="41"/>
      <c r="AE4" s="41"/>
    </row>
    <row r="5" s="2" customFormat="1" spans="1:31">
      <c r="A5" s="1">
        <v>14</v>
      </c>
      <c r="B5" s="30" t="s">
        <v>1127</v>
      </c>
      <c r="C5" s="3">
        <f>出怪成长!C5</f>
        <v>9</v>
      </c>
      <c r="D5" s="4" t="str">
        <f>出怪成长!D5</f>
        <v>3#30001#1|7#30002#1|9#30003,30004#1</v>
      </c>
      <c r="E5" s="4" t="str">
        <f t="shared" si="0"/>
        <v>1:10004,10005|2:10004,10005,10006|3:10006,10007,10010</v>
      </c>
      <c r="F5" s="48">
        <v>1</v>
      </c>
      <c r="G5" s="49" t="s">
        <v>1221</v>
      </c>
      <c r="H5" s="49">
        <f t="shared" si="1"/>
        <v>10004</v>
      </c>
      <c r="I5" s="49" t="s">
        <v>1222</v>
      </c>
      <c r="J5" s="49">
        <f t="shared" si="2"/>
        <v>10005</v>
      </c>
      <c r="K5" s="49" t="s">
        <v>1223</v>
      </c>
      <c r="L5" s="48">
        <v>2</v>
      </c>
      <c r="M5" s="49" t="s">
        <v>1221</v>
      </c>
      <c r="N5" s="49">
        <f t="shared" si="3"/>
        <v>10004</v>
      </c>
      <c r="O5" s="49" t="s">
        <v>1222</v>
      </c>
      <c r="P5" s="49">
        <f t="shared" si="4"/>
        <v>10005</v>
      </c>
      <c r="Q5" s="49" t="s">
        <v>1222</v>
      </c>
      <c r="R5" s="49">
        <f t="shared" si="5"/>
        <v>10006</v>
      </c>
      <c r="S5" s="49" t="s">
        <v>1223</v>
      </c>
      <c r="T5" s="49">
        <v>3</v>
      </c>
      <c r="U5" s="49" t="s">
        <v>1221</v>
      </c>
      <c r="V5" s="49">
        <v>10006</v>
      </c>
      <c r="W5" s="49" t="s">
        <v>1222</v>
      </c>
      <c r="X5" s="49">
        <v>10007</v>
      </c>
      <c r="Y5" s="49" t="s">
        <v>1222</v>
      </c>
      <c r="Z5" s="49">
        <v>10010</v>
      </c>
      <c r="AA5" s="49" t="s">
        <v>1223</v>
      </c>
      <c r="AB5" s="39"/>
      <c r="AC5" s="41"/>
      <c r="AD5" s="41"/>
      <c r="AE5" s="41"/>
    </row>
    <row r="6" s="2" customFormat="1" spans="1:31">
      <c r="A6" s="1">
        <v>15</v>
      </c>
      <c r="B6" s="30" t="s">
        <v>1128</v>
      </c>
      <c r="C6" s="3">
        <f>出怪成长!C6</f>
        <v>8</v>
      </c>
      <c r="D6" s="4" t="str">
        <f>出怪成长!D6</f>
        <v>3#30001#1|6#30002#1|8#30003,30004#1</v>
      </c>
      <c r="E6" s="4" t="str">
        <f t="shared" si="0"/>
        <v>1:10004,10005|2:10006,10007,10010|3:10006,10008,10010</v>
      </c>
      <c r="F6" s="48">
        <v>1</v>
      </c>
      <c r="G6" s="49" t="s">
        <v>1221</v>
      </c>
      <c r="H6" s="49">
        <f t="shared" si="1"/>
        <v>10004</v>
      </c>
      <c r="I6" s="49" t="s">
        <v>1222</v>
      </c>
      <c r="J6" s="49">
        <f t="shared" si="2"/>
        <v>10005</v>
      </c>
      <c r="K6" s="49" t="s">
        <v>1223</v>
      </c>
      <c r="L6" s="48">
        <v>2</v>
      </c>
      <c r="M6" s="49" t="s">
        <v>1221</v>
      </c>
      <c r="N6" s="49">
        <f t="shared" si="3"/>
        <v>10006</v>
      </c>
      <c r="O6" s="49" t="s">
        <v>1222</v>
      </c>
      <c r="P6" s="49">
        <f t="shared" si="4"/>
        <v>10007</v>
      </c>
      <c r="Q6" s="49" t="s">
        <v>1222</v>
      </c>
      <c r="R6" s="49">
        <f t="shared" si="5"/>
        <v>10010</v>
      </c>
      <c r="S6" s="49" t="s">
        <v>1223</v>
      </c>
      <c r="T6" s="48">
        <v>3</v>
      </c>
      <c r="U6" s="49" t="s">
        <v>1221</v>
      </c>
      <c r="V6" s="49">
        <v>10006</v>
      </c>
      <c r="W6" s="49" t="s">
        <v>1222</v>
      </c>
      <c r="X6" s="49">
        <v>10008</v>
      </c>
      <c r="Y6" s="49" t="s">
        <v>1222</v>
      </c>
      <c r="Z6" s="49">
        <v>10010</v>
      </c>
      <c r="AA6" s="49" t="s">
        <v>1223</v>
      </c>
      <c r="AB6" s="39"/>
      <c r="AC6" s="41"/>
      <c r="AD6" s="41"/>
      <c r="AE6" s="41"/>
    </row>
    <row r="7" s="2" customFormat="1" spans="1:31">
      <c r="A7" s="1">
        <v>16</v>
      </c>
      <c r="B7" s="30" t="s">
        <v>1129</v>
      </c>
      <c r="C7" s="3">
        <f>出怪成长!C7</f>
        <v>9</v>
      </c>
      <c r="D7" s="4" t="str">
        <f>出怪成长!D7</f>
        <v>3#30001#1|7#30002#1|9#30001,30004#1</v>
      </c>
      <c r="E7" s="4" t="str">
        <f t="shared" si="0"/>
        <v>1:10006,10007|2:10006,10008,10010|3:10006,10007,10010</v>
      </c>
      <c r="F7" s="48">
        <v>1</v>
      </c>
      <c r="G7" s="49" t="s">
        <v>1221</v>
      </c>
      <c r="H7" s="49">
        <f t="shared" si="1"/>
        <v>10006</v>
      </c>
      <c r="I7" s="49" t="s">
        <v>1222</v>
      </c>
      <c r="J7" s="49">
        <f t="shared" si="2"/>
        <v>10007</v>
      </c>
      <c r="K7" s="49" t="s">
        <v>1223</v>
      </c>
      <c r="L7" s="48">
        <v>2</v>
      </c>
      <c r="M7" s="49" t="s">
        <v>1221</v>
      </c>
      <c r="N7" s="49">
        <f t="shared" si="3"/>
        <v>10006</v>
      </c>
      <c r="O7" s="49" t="s">
        <v>1222</v>
      </c>
      <c r="P7" s="49">
        <f t="shared" si="4"/>
        <v>10008</v>
      </c>
      <c r="Q7" s="49" t="s">
        <v>1222</v>
      </c>
      <c r="R7" s="49">
        <f t="shared" si="5"/>
        <v>10010</v>
      </c>
      <c r="S7" s="49" t="s">
        <v>1223</v>
      </c>
      <c r="T7" s="49">
        <v>3</v>
      </c>
      <c r="U7" s="49" t="s">
        <v>1221</v>
      </c>
      <c r="V7" s="49">
        <v>10006</v>
      </c>
      <c r="W7" s="49" t="s">
        <v>1222</v>
      </c>
      <c r="X7" s="49">
        <v>10007</v>
      </c>
      <c r="Y7" s="49" t="s">
        <v>1222</v>
      </c>
      <c r="Z7" s="49">
        <v>10010</v>
      </c>
      <c r="AA7" s="49" t="s">
        <v>1223</v>
      </c>
      <c r="AB7" s="39"/>
      <c r="AC7" s="41"/>
      <c r="AD7" s="41"/>
      <c r="AE7" s="41"/>
    </row>
    <row r="8" s="2" customFormat="1" spans="1:31">
      <c r="A8" s="1">
        <v>17</v>
      </c>
      <c r="B8" s="30" t="s">
        <v>1130</v>
      </c>
      <c r="C8" s="3">
        <f>出怪成长!C8</f>
        <v>9</v>
      </c>
      <c r="D8" s="4" t="str">
        <f>出怪成长!D8</f>
        <v>3#30001#1|7#30002#1|9#30001,30004#1</v>
      </c>
      <c r="E8" s="4" t="str">
        <f t="shared" si="0"/>
        <v>1:10006,10008|2:10006,10007,10010|3:10006,10010,10009</v>
      </c>
      <c r="F8" s="48">
        <v>1</v>
      </c>
      <c r="G8" s="49" t="s">
        <v>1221</v>
      </c>
      <c r="H8" s="49">
        <f t="shared" si="1"/>
        <v>10006</v>
      </c>
      <c r="I8" s="49" t="s">
        <v>1222</v>
      </c>
      <c r="J8" s="49">
        <f t="shared" si="2"/>
        <v>10008</v>
      </c>
      <c r="K8" s="49" t="s">
        <v>1223</v>
      </c>
      <c r="L8" s="48">
        <v>2</v>
      </c>
      <c r="M8" s="49" t="s">
        <v>1221</v>
      </c>
      <c r="N8" s="49">
        <f t="shared" si="3"/>
        <v>10006</v>
      </c>
      <c r="O8" s="49" t="s">
        <v>1222</v>
      </c>
      <c r="P8" s="49">
        <f t="shared" si="4"/>
        <v>10007</v>
      </c>
      <c r="Q8" s="49" t="s">
        <v>1222</v>
      </c>
      <c r="R8" s="49">
        <f t="shared" si="5"/>
        <v>10010</v>
      </c>
      <c r="S8" s="49" t="s">
        <v>1223</v>
      </c>
      <c r="T8" s="48">
        <v>3</v>
      </c>
      <c r="U8" s="49" t="s">
        <v>1221</v>
      </c>
      <c r="V8" s="49">
        <v>10006</v>
      </c>
      <c r="W8" s="49" t="s">
        <v>1222</v>
      </c>
      <c r="X8" s="49">
        <v>10010</v>
      </c>
      <c r="Y8" s="49" t="s">
        <v>1222</v>
      </c>
      <c r="Z8" s="49">
        <v>10009</v>
      </c>
      <c r="AA8" s="49" t="s">
        <v>1223</v>
      </c>
      <c r="AB8" s="39"/>
      <c r="AC8" s="41"/>
      <c r="AD8" s="41"/>
      <c r="AE8" s="41"/>
    </row>
    <row r="9" s="2" customFormat="1" spans="1:31">
      <c r="A9" s="1">
        <v>18</v>
      </c>
      <c r="B9" s="30" t="s">
        <v>1131</v>
      </c>
      <c r="C9" s="3">
        <f>出怪成长!C9</f>
        <v>10</v>
      </c>
      <c r="D9" s="4" t="str">
        <f>出怪成长!D9</f>
        <v>4#30001#1|8#30002#1|10#30001,30004#1</v>
      </c>
      <c r="E9" s="4" t="str">
        <f t="shared" ref="E9:E25" si="6">F9&amp;G9&amp;H9&amp;I9&amp;J9&amp;K9&amp;L9&amp;M9&amp;N9&amp;O9&amp;P9&amp;Q9&amp;R9&amp;S9&amp;T9&amp;U9&amp;V9&amp;W9&amp;X9&amp;Y9&amp;Z9</f>
        <v>1:10006,10007|2:10006,10010,10009|3:10020,10021,10023</v>
      </c>
      <c r="F9" s="48">
        <v>1</v>
      </c>
      <c r="G9" s="49" t="s">
        <v>1221</v>
      </c>
      <c r="H9" s="49">
        <f t="shared" si="1"/>
        <v>10006</v>
      </c>
      <c r="I9" s="49" t="s">
        <v>1222</v>
      </c>
      <c r="J9" s="49">
        <f t="shared" si="2"/>
        <v>10007</v>
      </c>
      <c r="K9" s="49" t="s">
        <v>1223</v>
      </c>
      <c r="L9" s="48">
        <v>2</v>
      </c>
      <c r="M9" s="49" t="s">
        <v>1221</v>
      </c>
      <c r="N9" s="49">
        <f t="shared" si="3"/>
        <v>10006</v>
      </c>
      <c r="O9" s="49" t="s">
        <v>1222</v>
      </c>
      <c r="P9" s="49">
        <f t="shared" si="4"/>
        <v>10010</v>
      </c>
      <c r="Q9" s="49" t="s">
        <v>1222</v>
      </c>
      <c r="R9" s="49">
        <f t="shared" si="5"/>
        <v>10009</v>
      </c>
      <c r="S9" s="49" t="s">
        <v>1223</v>
      </c>
      <c r="T9" s="49">
        <v>3</v>
      </c>
      <c r="U9" s="49" t="s">
        <v>1221</v>
      </c>
      <c r="V9" s="49">
        <v>10020</v>
      </c>
      <c r="W9" s="49" t="s">
        <v>1222</v>
      </c>
      <c r="X9" s="49">
        <v>10021</v>
      </c>
      <c r="Y9" s="49" t="s">
        <v>1222</v>
      </c>
      <c r="Z9" s="49">
        <v>10023</v>
      </c>
      <c r="AA9" s="49" t="s">
        <v>1223</v>
      </c>
      <c r="AB9" s="39"/>
      <c r="AC9" s="41"/>
      <c r="AD9" s="41"/>
      <c r="AE9" s="41"/>
    </row>
    <row r="10" s="2" customFormat="1" spans="1:31">
      <c r="A10" s="1">
        <v>21</v>
      </c>
      <c r="B10" s="30" t="s">
        <v>1132</v>
      </c>
      <c r="C10" s="3">
        <f>出怪成长!C10</f>
        <v>8</v>
      </c>
      <c r="D10" s="4" t="str">
        <f>出怪成长!D10</f>
        <v>3#30001#1|6#30002#1|8#30001,30004#1</v>
      </c>
      <c r="E10" s="4" t="str">
        <f t="shared" si="6"/>
        <v>1:10006,10010|2:10020,10021,10023|3:10020,10021,10023</v>
      </c>
      <c r="F10" s="48">
        <v>1</v>
      </c>
      <c r="G10" s="49" t="s">
        <v>1221</v>
      </c>
      <c r="H10" s="49">
        <f t="shared" ref="H10:H41" si="7">N9</f>
        <v>10006</v>
      </c>
      <c r="I10" s="49" t="s">
        <v>1222</v>
      </c>
      <c r="J10" s="49">
        <f t="shared" ref="J10:J41" si="8">P9</f>
        <v>10010</v>
      </c>
      <c r="K10" s="49" t="s">
        <v>1223</v>
      </c>
      <c r="L10" s="48">
        <v>2</v>
      </c>
      <c r="M10" s="49" t="s">
        <v>1221</v>
      </c>
      <c r="N10" s="49">
        <f t="shared" ref="N10:N41" si="9">V9</f>
        <v>10020</v>
      </c>
      <c r="O10" s="49" t="s">
        <v>1222</v>
      </c>
      <c r="P10" s="49">
        <f t="shared" ref="P10:P41" si="10">X9</f>
        <v>10021</v>
      </c>
      <c r="Q10" s="49" t="s">
        <v>1222</v>
      </c>
      <c r="R10" s="49">
        <f t="shared" ref="R10:R41" si="11">Z9</f>
        <v>10023</v>
      </c>
      <c r="S10" s="49" t="s">
        <v>1223</v>
      </c>
      <c r="T10" s="48">
        <v>3</v>
      </c>
      <c r="U10" s="49" t="s">
        <v>1221</v>
      </c>
      <c r="V10" s="49">
        <v>10020</v>
      </c>
      <c r="W10" s="49" t="s">
        <v>1222</v>
      </c>
      <c r="X10" s="49">
        <v>10021</v>
      </c>
      <c r="Y10" s="49" t="s">
        <v>1222</v>
      </c>
      <c r="Z10" s="49">
        <v>10023</v>
      </c>
      <c r="AA10" s="49" t="s">
        <v>1223</v>
      </c>
      <c r="AB10" s="39"/>
      <c r="AC10" s="41"/>
      <c r="AD10" s="41"/>
      <c r="AE10" s="41"/>
    </row>
    <row r="11" s="2" customFormat="1" spans="1:31">
      <c r="A11" s="1">
        <v>22</v>
      </c>
      <c r="B11" s="30" t="s">
        <v>1133</v>
      </c>
      <c r="C11" s="3">
        <f>出怪成长!C11</f>
        <v>8</v>
      </c>
      <c r="D11" s="4" t="str">
        <f>出怪成长!D11</f>
        <v>3#30001#1|6#30002#1|8#30001,30004#1</v>
      </c>
      <c r="E11" s="4" t="str">
        <f t="shared" si="6"/>
        <v>1:10020,10021|2:10020,10021,10023|3:10020,10021,10023</v>
      </c>
      <c r="F11" s="48">
        <v>1</v>
      </c>
      <c r="G11" s="49" t="s">
        <v>1221</v>
      </c>
      <c r="H11" s="49">
        <f t="shared" si="7"/>
        <v>10020</v>
      </c>
      <c r="I11" s="49" t="s">
        <v>1222</v>
      </c>
      <c r="J11" s="49">
        <f t="shared" si="8"/>
        <v>10021</v>
      </c>
      <c r="K11" s="49" t="s">
        <v>1223</v>
      </c>
      <c r="L11" s="48">
        <v>2</v>
      </c>
      <c r="M11" s="49" t="s">
        <v>1221</v>
      </c>
      <c r="N11" s="49">
        <f t="shared" si="9"/>
        <v>10020</v>
      </c>
      <c r="O11" s="49" t="s">
        <v>1222</v>
      </c>
      <c r="P11" s="49">
        <f t="shared" si="10"/>
        <v>10021</v>
      </c>
      <c r="Q11" s="49" t="s">
        <v>1222</v>
      </c>
      <c r="R11" s="49">
        <f t="shared" si="11"/>
        <v>10023</v>
      </c>
      <c r="S11" s="49" t="s">
        <v>1223</v>
      </c>
      <c r="T11" s="49">
        <v>3</v>
      </c>
      <c r="U11" s="49" t="s">
        <v>1221</v>
      </c>
      <c r="V11" s="49">
        <v>10020</v>
      </c>
      <c r="W11" s="49" t="s">
        <v>1222</v>
      </c>
      <c r="X11" s="49">
        <v>10021</v>
      </c>
      <c r="Y11" s="49" t="s">
        <v>1222</v>
      </c>
      <c r="Z11" s="49">
        <v>10023</v>
      </c>
      <c r="AA11" s="49" t="s">
        <v>1223</v>
      </c>
      <c r="AB11" s="39"/>
      <c r="AC11" s="41"/>
      <c r="AD11" s="41"/>
      <c r="AE11" s="41"/>
    </row>
    <row r="12" s="2" customFormat="1" spans="1:31">
      <c r="A12" s="1">
        <v>23</v>
      </c>
      <c r="B12" s="30" t="s">
        <v>1134</v>
      </c>
      <c r="C12" s="3">
        <f>出怪成长!C12</f>
        <v>9</v>
      </c>
      <c r="D12" s="4" t="str">
        <f>出怪成长!D12</f>
        <v>3#30001#1|7#30002#1|9#30001,30004#1</v>
      </c>
      <c r="E12" s="4" t="str">
        <f t="shared" si="6"/>
        <v>1:10020,10021|2:10020,10021,10023|3:10020,10021,10023</v>
      </c>
      <c r="F12" s="48">
        <v>1</v>
      </c>
      <c r="G12" s="49" t="s">
        <v>1221</v>
      </c>
      <c r="H12" s="49">
        <f t="shared" si="7"/>
        <v>10020</v>
      </c>
      <c r="I12" s="49" t="s">
        <v>1222</v>
      </c>
      <c r="J12" s="49">
        <f t="shared" si="8"/>
        <v>10021</v>
      </c>
      <c r="K12" s="49" t="s">
        <v>1223</v>
      </c>
      <c r="L12" s="48">
        <v>2</v>
      </c>
      <c r="M12" s="49" t="s">
        <v>1221</v>
      </c>
      <c r="N12" s="49">
        <f t="shared" si="9"/>
        <v>10020</v>
      </c>
      <c r="O12" s="49" t="s">
        <v>1222</v>
      </c>
      <c r="P12" s="49">
        <f t="shared" si="10"/>
        <v>10021</v>
      </c>
      <c r="Q12" s="49" t="s">
        <v>1222</v>
      </c>
      <c r="R12" s="49">
        <f t="shared" si="11"/>
        <v>10023</v>
      </c>
      <c r="S12" s="49" t="s">
        <v>1223</v>
      </c>
      <c r="T12" s="48">
        <v>3</v>
      </c>
      <c r="U12" s="49" t="s">
        <v>1221</v>
      </c>
      <c r="V12" s="49">
        <v>10020</v>
      </c>
      <c r="W12" s="49" t="s">
        <v>1222</v>
      </c>
      <c r="X12" s="49">
        <v>10021</v>
      </c>
      <c r="Y12" s="49" t="s">
        <v>1222</v>
      </c>
      <c r="Z12" s="49">
        <v>10023</v>
      </c>
      <c r="AA12" s="49" t="s">
        <v>1223</v>
      </c>
      <c r="AB12" s="39"/>
      <c r="AC12" s="41"/>
      <c r="AD12" s="41"/>
      <c r="AE12" s="41"/>
    </row>
    <row r="13" s="2" customFormat="1" spans="1:31">
      <c r="A13" s="1">
        <v>24</v>
      </c>
      <c r="B13" s="30" t="s">
        <v>1135</v>
      </c>
      <c r="C13" s="3">
        <f>出怪成长!C13</f>
        <v>10</v>
      </c>
      <c r="D13" s="4" t="str">
        <f>出怪成长!D13</f>
        <v>4#30001#1|8#30002#1|10#30001,30004#1</v>
      </c>
      <c r="E13" s="4" t="str">
        <f t="shared" si="6"/>
        <v>1:10020,10021|2:10020,10021,10023|3:10025,10026,10028</v>
      </c>
      <c r="F13" s="48">
        <v>1</v>
      </c>
      <c r="G13" s="49" t="s">
        <v>1221</v>
      </c>
      <c r="H13" s="49">
        <f t="shared" si="7"/>
        <v>10020</v>
      </c>
      <c r="I13" s="49" t="s">
        <v>1222</v>
      </c>
      <c r="J13" s="49">
        <f t="shared" si="8"/>
        <v>10021</v>
      </c>
      <c r="K13" s="49" t="s">
        <v>1223</v>
      </c>
      <c r="L13" s="48">
        <v>2</v>
      </c>
      <c r="M13" s="49" t="s">
        <v>1221</v>
      </c>
      <c r="N13" s="49">
        <f t="shared" si="9"/>
        <v>10020</v>
      </c>
      <c r="O13" s="49" t="s">
        <v>1222</v>
      </c>
      <c r="P13" s="49">
        <f t="shared" si="10"/>
        <v>10021</v>
      </c>
      <c r="Q13" s="49" t="s">
        <v>1222</v>
      </c>
      <c r="R13" s="49">
        <f t="shared" si="11"/>
        <v>10023</v>
      </c>
      <c r="S13" s="49" t="s">
        <v>1223</v>
      </c>
      <c r="T13" s="49">
        <v>3</v>
      </c>
      <c r="U13" s="49" t="s">
        <v>1221</v>
      </c>
      <c r="V13" s="49">
        <v>10025</v>
      </c>
      <c r="W13" s="49" t="s">
        <v>1222</v>
      </c>
      <c r="X13" s="49">
        <v>10026</v>
      </c>
      <c r="Y13" s="49" t="s">
        <v>1222</v>
      </c>
      <c r="Z13" s="49">
        <v>10028</v>
      </c>
      <c r="AA13" s="49" t="s">
        <v>1223</v>
      </c>
      <c r="AB13" s="39"/>
      <c r="AC13" s="41"/>
      <c r="AD13" s="41"/>
      <c r="AE13" s="41"/>
    </row>
    <row r="14" s="2" customFormat="1" spans="1:31">
      <c r="A14" s="1">
        <v>25</v>
      </c>
      <c r="B14" s="30" t="s">
        <v>1136</v>
      </c>
      <c r="C14" s="3">
        <f>出怪成长!C14</f>
        <v>9</v>
      </c>
      <c r="D14" s="4" t="str">
        <f>出怪成长!D14</f>
        <v>3#30001#1|7#30002#1|9#30001,30004#1</v>
      </c>
      <c r="E14" s="4" t="str">
        <f t="shared" si="6"/>
        <v>1:10020,10021|2:10025,10026,10028|3:10025,10026,10028</v>
      </c>
      <c r="F14" s="48">
        <v>1</v>
      </c>
      <c r="G14" s="49" t="s">
        <v>1221</v>
      </c>
      <c r="H14" s="49">
        <f t="shared" si="7"/>
        <v>10020</v>
      </c>
      <c r="I14" s="49" t="s">
        <v>1222</v>
      </c>
      <c r="J14" s="49">
        <f t="shared" si="8"/>
        <v>10021</v>
      </c>
      <c r="K14" s="49" t="s">
        <v>1223</v>
      </c>
      <c r="L14" s="48">
        <v>2</v>
      </c>
      <c r="M14" s="49" t="s">
        <v>1221</v>
      </c>
      <c r="N14" s="49">
        <f t="shared" si="9"/>
        <v>10025</v>
      </c>
      <c r="O14" s="49" t="s">
        <v>1222</v>
      </c>
      <c r="P14" s="49">
        <f t="shared" si="10"/>
        <v>10026</v>
      </c>
      <c r="Q14" s="49" t="s">
        <v>1222</v>
      </c>
      <c r="R14" s="49">
        <f t="shared" si="11"/>
        <v>10028</v>
      </c>
      <c r="S14" s="49" t="s">
        <v>1223</v>
      </c>
      <c r="T14" s="48">
        <v>3</v>
      </c>
      <c r="U14" s="49" t="s">
        <v>1221</v>
      </c>
      <c r="V14" s="49">
        <v>10025</v>
      </c>
      <c r="W14" s="49" t="s">
        <v>1222</v>
      </c>
      <c r="X14" s="49">
        <v>10026</v>
      </c>
      <c r="Y14" s="49" t="s">
        <v>1222</v>
      </c>
      <c r="Z14" s="49">
        <v>10028</v>
      </c>
      <c r="AA14" s="49" t="s">
        <v>1223</v>
      </c>
      <c r="AB14" s="39"/>
      <c r="AC14" s="41"/>
      <c r="AD14" s="41"/>
      <c r="AE14" s="41"/>
    </row>
    <row r="15" s="2" customFormat="1" spans="1:31">
      <c r="A15" s="1">
        <v>26</v>
      </c>
      <c r="B15" s="30" t="s">
        <v>1137</v>
      </c>
      <c r="C15" s="3">
        <f>出怪成长!C15</f>
        <v>9</v>
      </c>
      <c r="D15" s="4" t="str">
        <f>出怪成长!D15</f>
        <v>3#30001#1|7#30002#1|9#30001,30004#1</v>
      </c>
      <c r="E15" s="4" t="str">
        <f t="shared" si="6"/>
        <v>1:10025,10026|2:10025,10026,10028|3:10025,10026,10028</v>
      </c>
      <c r="F15" s="48">
        <v>1</v>
      </c>
      <c r="G15" s="49" t="s">
        <v>1221</v>
      </c>
      <c r="H15" s="49">
        <f t="shared" si="7"/>
        <v>10025</v>
      </c>
      <c r="I15" s="49" t="s">
        <v>1222</v>
      </c>
      <c r="J15" s="49">
        <f t="shared" si="8"/>
        <v>10026</v>
      </c>
      <c r="K15" s="49" t="s">
        <v>1223</v>
      </c>
      <c r="L15" s="48">
        <v>2</v>
      </c>
      <c r="M15" s="49" t="s">
        <v>1221</v>
      </c>
      <c r="N15" s="49">
        <f t="shared" si="9"/>
        <v>10025</v>
      </c>
      <c r="O15" s="49" t="s">
        <v>1222</v>
      </c>
      <c r="P15" s="49">
        <f t="shared" si="10"/>
        <v>10026</v>
      </c>
      <c r="Q15" s="49" t="s">
        <v>1222</v>
      </c>
      <c r="R15" s="49">
        <f t="shared" si="11"/>
        <v>10028</v>
      </c>
      <c r="S15" s="49" t="s">
        <v>1223</v>
      </c>
      <c r="T15" s="49">
        <v>3</v>
      </c>
      <c r="U15" s="49" t="s">
        <v>1221</v>
      </c>
      <c r="V15" s="49">
        <v>10025</v>
      </c>
      <c r="W15" s="49" t="s">
        <v>1222</v>
      </c>
      <c r="X15" s="49">
        <v>10026</v>
      </c>
      <c r="Y15" s="49" t="s">
        <v>1222</v>
      </c>
      <c r="Z15" s="49">
        <v>10028</v>
      </c>
      <c r="AA15" s="49" t="s">
        <v>1223</v>
      </c>
      <c r="AB15" s="39"/>
      <c r="AC15" s="41"/>
      <c r="AD15" s="41"/>
      <c r="AE15" s="41"/>
    </row>
    <row r="16" s="2" customFormat="1" spans="1:31">
      <c r="A16" s="1">
        <v>27</v>
      </c>
      <c r="B16" s="30" t="s">
        <v>1138</v>
      </c>
      <c r="C16" s="3">
        <f>出怪成长!C16</f>
        <v>9</v>
      </c>
      <c r="D16" s="4" t="str">
        <f>出怪成长!D16</f>
        <v>3#30001#1|7#30002#1|9#30001,30004#1</v>
      </c>
      <c r="E16" s="4" t="str">
        <f t="shared" si="6"/>
        <v>1:10025,10026|2:10025,10026,10028|3:10030,10031,10032</v>
      </c>
      <c r="F16" s="48">
        <v>1</v>
      </c>
      <c r="G16" s="49" t="s">
        <v>1221</v>
      </c>
      <c r="H16" s="49">
        <f t="shared" si="7"/>
        <v>10025</v>
      </c>
      <c r="I16" s="49" t="s">
        <v>1222</v>
      </c>
      <c r="J16" s="49">
        <f t="shared" si="8"/>
        <v>10026</v>
      </c>
      <c r="K16" s="49" t="s">
        <v>1223</v>
      </c>
      <c r="L16" s="48">
        <v>2</v>
      </c>
      <c r="M16" s="49" t="s">
        <v>1221</v>
      </c>
      <c r="N16" s="49">
        <f t="shared" si="9"/>
        <v>10025</v>
      </c>
      <c r="O16" s="49" t="s">
        <v>1222</v>
      </c>
      <c r="P16" s="49">
        <f t="shared" si="10"/>
        <v>10026</v>
      </c>
      <c r="Q16" s="49" t="s">
        <v>1222</v>
      </c>
      <c r="R16" s="49">
        <f t="shared" si="11"/>
        <v>10028</v>
      </c>
      <c r="S16" s="49" t="s">
        <v>1223</v>
      </c>
      <c r="T16" s="48">
        <v>3</v>
      </c>
      <c r="U16" s="49" t="s">
        <v>1221</v>
      </c>
      <c r="V16" s="49">
        <v>10030</v>
      </c>
      <c r="W16" s="49" t="s">
        <v>1222</v>
      </c>
      <c r="X16" s="49">
        <v>10031</v>
      </c>
      <c r="Y16" s="49" t="s">
        <v>1222</v>
      </c>
      <c r="Z16" s="49">
        <v>10032</v>
      </c>
      <c r="AA16" s="49" t="s">
        <v>1223</v>
      </c>
      <c r="AB16" s="39"/>
      <c r="AC16" s="41"/>
      <c r="AD16" s="41"/>
      <c r="AE16" s="41"/>
    </row>
    <row r="17" s="2" customFormat="1" spans="1:31">
      <c r="A17" s="1">
        <v>28</v>
      </c>
      <c r="B17" s="30" t="s">
        <v>1139</v>
      </c>
      <c r="C17" s="3">
        <f>出怪成长!C17</f>
        <v>10</v>
      </c>
      <c r="D17" s="4" t="str">
        <f>出怪成长!D17</f>
        <v>4#30001#1|8#30002#1|10#30001,30004#1</v>
      </c>
      <c r="E17" s="4" t="str">
        <f t="shared" si="6"/>
        <v>1:10025,10026|2:10030,10031,10032|3:10031,10028,10034</v>
      </c>
      <c r="F17" s="48">
        <v>1</v>
      </c>
      <c r="G17" s="49" t="s">
        <v>1221</v>
      </c>
      <c r="H17" s="49">
        <f t="shared" si="7"/>
        <v>10025</v>
      </c>
      <c r="I17" s="49" t="s">
        <v>1222</v>
      </c>
      <c r="J17" s="49">
        <f t="shared" si="8"/>
        <v>10026</v>
      </c>
      <c r="K17" s="49" t="s">
        <v>1223</v>
      </c>
      <c r="L17" s="48">
        <v>2</v>
      </c>
      <c r="M17" s="49" t="s">
        <v>1221</v>
      </c>
      <c r="N17" s="49">
        <f t="shared" si="9"/>
        <v>10030</v>
      </c>
      <c r="O17" s="49" t="s">
        <v>1222</v>
      </c>
      <c r="P17" s="49">
        <f t="shared" si="10"/>
        <v>10031</v>
      </c>
      <c r="Q17" s="49" t="s">
        <v>1222</v>
      </c>
      <c r="R17" s="49">
        <f t="shared" si="11"/>
        <v>10032</v>
      </c>
      <c r="S17" s="49" t="s">
        <v>1223</v>
      </c>
      <c r="T17" s="49">
        <v>3</v>
      </c>
      <c r="U17" s="49" t="s">
        <v>1221</v>
      </c>
      <c r="V17" s="49">
        <v>10031</v>
      </c>
      <c r="W17" s="49" t="s">
        <v>1222</v>
      </c>
      <c r="X17" s="49">
        <v>10028</v>
      </c>
      <c r="Y17" s="49" t="s">
        <v>1222</v>
      </c>
      <c r="Z17" s="49">
        <v>10034</v>
      </c>
      <c r="AA17" s="49" t="s">
        <v>1223</v>
      </c>
      <c r="AB17" s="39"/>
      <c r="AC17" s="41"/>
      <c r="AD17" s="41"/>
      <c r="AE17" s="41"/>
    </row>
    <row r="18" s="2" customFormat="1" spans="1:31">
      <c r="A18" s="1">
        <v>31</v>
      </c>
      <c r="B18" s="30" t="s">
        <v>1140</v>
      </c>
      <c r="C18" s="3">
        <f>出怪成长!C18</f>
        <v>8</v>
      </c>
      <c r="D18" s="4" t="str">
        <f>出怪成长!D18</f>
        <v>3#30001#1|6#30002#1|8#30001,30004#1</v>
      </c>
      <c r="E18" s="4" t="str">
        <f t="shared" si="6"/>
        <v>1:10030,10031|2:10031,10028,10034|3:10031,10028,10027</v>
      </c>
      <c r="F18" s="48">
        <v>1</v>
      </c>
      <c r="G18" s="49" t="s">
        <v>1221</v>
      </c>
      <c r="H18" s="49">
        <f t="shared" si="7"/>
        <v>10030</v>
      </c>
      <c r="I18" s="49" t="s">
        <v>1222</v>
      </c>
      <c r="J18" s="49">
        <f t="shared" si="8"/>
        <v>10031</v>
      </c>
      <c r="K18" s="49" t="s">
        <v>1223</v>
      </c>
      <c r="L18" s="48">
        <v>2</v>
      </c>
      <c r="M18" s="49" t="s">
        <v>1221</v>
      </c>
      <c r="N18" s="49">
        <f t="shared" si="9"/>
        <v>10031</v>
      </c>
      <c r="O18" s="49" t="s">
        <v>1222</v>
      </c>
      <c r="P18" s="49">
        <f t="shared" si="10"/>
        <v>10028</v>
      </c>
      <c r="Q18" s="49" t="s">
        <v>1222</v>
      </c>
      <c r="R18" s="49">
        <f t="shared" si="11"/>
        <v>10034</v>
      </c>
      <c r="S18" s="49" t="s">
        <v>1223</v>
      </c>
      <c r="T18" s="48">
        <v>3</v>
      </c>
      <c r="U18" s="49" t="s">
        <v>1221</v>
      </c>
      <c r="V18" s="49">
        <v>10031</v>
      </c>
      <c r="W18" s="49" t="s">
        <v>1222</v>
      </c>
      <c r="X18" s="49">
        <v>10028</v>
      </c>
      <c r="Y18" s="49" t="s">
        <v>1222</v>
      </c>
      <c r="Z18" s="49">
        <v>10027</v>
      </c>
      <c r="AA18" s="49" t="s">
        <v>1223</v>
      </c>
      <c r="AB18" s="39"/>
      <c r="AC18" s="41"/>
      <c r="AD18" s="41"/>
      <c r="AE18" s="41"/>
    </row>
    <row r="19" s="2" customFormat="1" spans="1:31">
      <c r="A19" s="1">
        <v>32</v>
      </c>
      <c r="B19" s="30" t="s">
        <v>1141</v>
      </c>
      <c r="C19" s="3">
        <f>出怪成长!C19</f>
        <v>8</v>
      </c>
      <c r="D19" s="4" t="str">
        <f>出怪成长!D19</f>
        <v>3#30001#1|6#30002#1|8#30001,30004#1</v>
      </c>
      <c r="E19" s="4" t="str">
        <f t="shared" si="6"/>
        <v>1:10031,10028|2:10031,10028,10027|3:10031,10028,10027</v>
      </c>
      <c r="F19" s="48">
        <v>1</v>
      </c>
      <c r="G19" s="49" t="s">
        <v>1221</v>
      </c>
      <c r="H19" s="49">
        <f t="shared" si="7"/>
        <v>10031</v>
      </c>
      <c r="I19" s="49" t="s">
        <v>1222</v>
      </c>
      <c r="J19" s="49">
        <f t="shared" si="8"/>
        <v>10028</v>
      </c>
      <c r="K19" s="49" t="s">
        <v>1223</v>
      </c>
      <c r="L19" s="48">
        <v>2</v>
      </c>
      <c r="M19" s="49" t="s">
        <v>1221</v>
      </c>
      <c r="N19" s="49">
        <f t="shared" si="9"/>
        <v>10031</v>
      </c>
      <c r="O19" s="49" t="s">
        <v>1222</v>
      </c>
      <c r="P19" s="49">
        <f t="shared" si="10"/>
        <v>10028</v>
      </c>
      <c r="Q19" s="49" t="s">
        <v>1222</v>
      </c>
      <c r="R19" s="49">
        <f t="shared" si="11"/>
        <v>10027</v>
      </c>
      <c r="S19" s="49" t="s">
        <v>1223</v>
      </c>
      <c r="T19" s="49">
        <v>3</v>
      </c>
      <c r="U19" s="49" t="s">
        <v>1221</v>
      </c>
      <c r="V19" s="49">
        <v>10031</v>
      </c>
      <c r="W19" s="49" t="s">
        <v>1222</v>
      </c>
      <c r="X19" s="49">
        <v>10028</v>
      </c>
      <c r="Y19" s="49" t="s">
        <v>1222</v>
      </c>
      <c r="Z19" s="49">
        <v>10027</v>
      </c>
      <c r="AA19" s="49" t="s">
        <v>1223</v>
      </c>
      <c r="AB19" s="39"/>
      <c r="AC19" s="41"/>
      <c r="AD19" s="41"/>
      <c r="AE19" s="41"/>
    </row>
    <row r="20" s="2" customFormat="1" spans="1:31">
      <c r="A20" s="1">
        <v>33</v>
      </c>
      <c r="B20" s="30" t="s">
        <v>1142</v>
      </c>
      <c r="C20" s="3">
        <f>出怪成长!C20</f>
        <v>8</v>
      </c>
      <c r="D20" s="4" t="str">
        <f>出怪成长!D20</f>
        <v>3#30001#1|6#30002#1|8#30001,30004#1</v>
      </c>
      <c r="E20" s="4" t="str">
        <f t="shared" si="6"/>
        <v>1:10031,10028|2:10031,10028,10027|3:10037,10038,10029</v>
      </c>
      <c r="F20" s="48">
        <v>1</v>
      </c>
      <c r="G20" s="49" t="s">
        <v>1221</v>
      </c>
      <c r="H20" s="49">
        <f t="shared" si="7"/>
        <v>10031</v>
      </c>
      <c r="I20" s="49" t="s">
        <v>1222</v>
      </c>
      <c r="J20" s="49">
        <f t="shared" si="8"/>
        <v>10028</v>
      </c>
      <c r="K20" s="49" t="s">
        <v>1223</v>
      </c>
      <c r="L20" s="48">
        <v>2</v>
      </c>
      <c r="M20" s="49" t="s">
        <v>1221</v>
      </c>
      <c r="N20" s="49">
        <f t="shared" si="9"/>
        <v>10031</v>
      </c>
      <c r="O20" s="49" t="s">
        <v>1222</v>
      </c>
      <c r="P20" s="49">
        <f t="shared" si="10"/>
        <v>10028</v>
      </c>
      <c r="Q20" s="49" t="s">
        <v>1222</v>
      </c>
      <c r="R20" s="49">
        <f t="shared" si="11"/>
        <v>10027</v>
      </c>
      <c r="S20" s="49" t="s">
        <v>1223</v>
      </c>
      <c r="T20" s="48">
        <v>3</v>
      </c>
      <c r="U20" s="49" t="s">
        <v>1221</v>
      </c>
      <c r="V20" s="49">
        <v>10037</v>
      </c>
      <c r="W20" s="49" t="s">
        <v>1222</v>
      </c>
      <c r="X20" s="49">
        <v>10038</v>
      </c>
      <c r="Y20" s="49" t="s">
        <v>1222</v>
      </c>
      <c r="Z20" s="49">
        <v>10029</v>
      </c>
      <c r="AA20" s="49" t="s">
        <v>1223</v>
      </c>
      <c r="AB20" s="39"/>
      <c r="AC20" s="41"/>
      <c r="AD20" s="41"/>
      <c r="AE20" s="41"/>
    </row>
    <row r="21" s="2" customFormat="1" spans="1:31">
      <c r="A21" s="1">
        <v>34</v>
      </c>
      <c r="B21" s="30" t="s">
        <v>1143</v>
      </c>
      <c r="C21" s="3">
        <f>出怪成长!C21</f>
        <v>9</v>
      </c>
      <c r="D21" s="4" t="str">
        <f>出怪成长!D21</f>
        <v>3#30001#1|7#30002#1|9#30001,30004#1</v>
      </c>
      <c r="E21" s="4" t="str">
        <f t="shared" si="6"/>
        <v>1:10031,10028|2:10037,10038,10029|3:10037,10038,10029</v>
      </c>
      <c r="F21" s="48">
        <v>1</v>
      </c>
      <c r="G21" s="49" t="s">
        <v>1221</v>
      </c>
      <c r="H21" s="49">
        <f t="shared" si="7"/>
        <v>10031</v>
      </c>
      <c r="I21" s="49" t="s">
        <v>1222</v>
      </c>
      <c r="J21" s="49">
        <f t="shared" si="8"/>
        <v>10028</v>
      </c>
      <c r="K21" s="49" t="s">
        <v>1223</v>
      </c>
      <c r="L21" s="48">
        <v>2</v>
      </c>
      <c r="M21" s="49" t="s">
        <v>1221</v>
      </c>
      <c r="N21" s="49">
        <f t="shared" si="9"/>
        <v>10037</v>
      </c>
      <c r="O21" s="49" t="s">
        <v>1222</v>
      </c>
      <c r="P21" s="49">
        <f t="shared" si="10"/>
        <v>10038</v>
      </c>
      <c r="Q21" s="49" t="s">
        <v>1222</v>
      </c>
      <c r="R21" s="49">
        <f t="shared" si="11"/>
        <v>10029</v>
      </c>
      <c r="S21" s="49" t="s">
        <v>1223</v>
      </c>
      <c r="T21" s="49">
        <v>3</v>
      </c>
      <c r="U21" s="49" t="s">
        <v>1221</v>
      </c>
      <c r="V21" s="49">
        <v>10037</v>
      </c>
      <c r="W21" s="49" t="s">
        <v>1222</v>
      </c>
      <c r="X21" s="49">
        <v>10038</v>
      </c>
      <c r="Y21" s="49" t="s">
        <v>1222</v>
      </c>
      <c r="Z21" s="49">
        <v>10029</v>
      </c>
      <c r="AA21" s="49" t="s">
        <v>1223</v>
      </c>
      <c r="AB21" s="39"/>
      <c r="AC21" s="41"/>
      <c r="AD21" s="41"/>
      <c r="AE21" s="41"/>
    </row>
    <row r="22" s="2" customFormat="1" spans="1:31">
      <c r="A22" s="1">
        <v>35</v>
      </c>
      <c r="B22" s="30" t="s">
        <v>1144</v>
      </c>
      <c r="C22" s="3">
        <f>出怪成长!C22</f>
        <v>8</v>
      </c>
      <c r="D22" s="4" t="str">
        <f>出怪成长!D22</f>
        <v>3#30001#1|6#30002#1|8#30001,30004#1</v>
      </c>
      <c r="E22" s="4" t="str">
        <f t="shared" si="6"/>
        <v>1:10037,10038|2:10037,10038,10029|3:10037,10038,10036</v>
      </c>
      <c r="F22" s="48">
        <v>1</v>
      </c>
      <c r="G22" s="49" t="s">
        <v>1221</v>
      </c>
      <c r="H22" s="49">
        <f t="shared" si="7"/>
        <v>10037</v>
      </c>
      <c r="I22" s="49" t="s">
        <v>1222</v>
      </c>
      <c r="J22" s="49">
        <f t="shared" si="8"/>
        <v>10038</v>
      </c>
      <c r="K22" s="49" t="s">
        <v>1223</v>
      </c>
      <c r="L22" s="48">
        <v>2</v>
      </c>
      <c r="M22" s="49" t="s">
        <v>1221</v>
      </c>
      <c r="N22" s="49">
        <f t="shared" si="9"/>
        <v>10037</v>
      </c>
      <c r="O22" s="49" t="s">
        <v>1222</v>
      </c>
      <c r="P22" s="49">
        <f t="shared" si="10"/>
        <v>10038</v>
      </c>
      <c r="Q22" s="49" t="s">
        <v>1222</v>
      </c>
      <c r="R22" s="49">
        <f t="shared" si="11"/>
        <v>10029</v>
      </c>
      <c r="S22" s="49" t="s">
        <v>1223</v>
      </c>
      <c r="T22" s="48">
        <v>3</v>
      </c>
      <c r="U22" s="49" t="s">
        <v>1221</v>
      </c>
      <c r="V22" s="49">
        <v>10037</v>
      </c>
      <c r="W22" s="49" t="s">
        <v>1222</v>
      </c>
      <c r="X22" s="49">
        <v>10038</v>
      </c>
      <c r="Y22" s="49" t="s">
        <v>1222</v>
      </c>
      <c r="Z22" s="49">
        <v>10036</v>
      </c>
      <c r="AA22" s="49" t="s">
        <v>1223</v>
      </c>
      <c r="AB22" s="39"/>
      <c r="AC22" s="41"/>
      <c r="AD22" s="41"/>
      <c r="AE22" s="41"/>
    </row>
    <row r="23" s="2" customFormat="1" spans="1:31">
      <c r="A23" s="1">
        <v>36</v>
      </c>
      <c r="B23" s="30" t="s">
        <v>1145</v>
      </c>
      <c r="C23" s="3">
        <f>出怪成长!C23</f>
        <v>8</v>
      </c>
      <c r="D23" s="4" t="str">
        <f>出怪成长!D23</f>
        <v>3#30001#1|6#30002#1|8#30001,30004#1</v>
      </c>
      <c r="E23" s="4" t="str">
        <f t="shared" si="6"/>
        <v>1:10037,10038|2:10037,10038,10036|3:10040,10041,10036</v>
      </c>
      <c r="F23" s="48">
        <v>1</v>
      </c>
      <c r="G23" s="49" t="s">
        <v>1221</v>
      </c>
      <c r="H23" s="49">
        <f t="shared" si="7"/>
        <v>10037</v>
      </c>
      <c r="I23" s="49" t="s">
        <v>1222</v>
      </c>
      <c r="J23" s="49">
        <f t="shared" si="8"/>
        <v>10038</v>
      </c>
      <c r="K23" s="49" t="s">
        <v>1223</v>
      </c>
      <c r="L23" s="48">
        <v>2</v>
      </c>
      <c r="M23" s="49" t="s">
        <v>1221</v>
      </c>
      <c r="N23" s="49">
        <f t="shared" si="9"/>
        <v>10037</v>
      </c>
      <c r="O23" s="49" t="s">
        <v>1222</v>
      </c>
      <c r="P23" s="49">
        <f t="shared" si="10"/>
        <v>10038</v>
      </c>
      <c r="Q23" s="49" t="s">
        <v>1222</v>
      </c>
      <c r="R23" s="49">
        <f t="shared" si="11"/>
        <v>10036</v>
      </c>
      <c r="S23" s="49" t="s">
        <v>1223</v>
      </c>
      <c r="T23" s="49">
        <v>3</v>
      </c>
      <c r="U23" s="49" t="s">
        <v>1221</v>
      </c>
      <c r="V23" s="49">
        <v>10040</v>
      </c>
      <c r="W23" s="49" t="s">
        <v>1222</v>
      </c>
      <c r="X23" s="49">
        <v>10041</v>
      </c>
      <c r="Y23" s="49" t="s">
        <v>1222</v>
      </c>
      <c r="Z23" s="49">
        <v>10036</v>
      </c>
      <c r="AA23" s="49" t="s">
        <v>1223</v>
      </c>
      <c r="AB23" s="39"/>
      <c r="AC23" s="41"/>
      <c r="AD23" s="41"/>
      <c r="AE23" s="41"/>
    </row>
    <row r="24" s="2" customFormat="1" spans="1:31">
      <c r="A24" s="1">
        <v>37</v>
      </c>
      <c r="B24" s="30" t="s">
        <v>1146</v>
      </c>
      <c r="C24" s="3">
        <f>出怪成长!C24</f>
        <v>9</v>
      </c>
      <c r="D24" s="4" t="str">
        <f>出怪成长!D24</f>
        <v>3#30001#1|7#30002#1|9#30001,30004#1</v>
      </c>
      <c r="E24" s="4" t="str">
        <f t="shared" si="6"/>
        <v>1:10037,10038|2:10040,10041,10036|3:10040,10041,10036</v>
      </c>
      <c r="F24" s="48">
        <v>1</v>
      </c>
      <c r="G24" s="49" t="s">
        <v>1221</v>
      </c>
      <c r="H24" s="49">
        <f t="shared" si="7"/>
        <v>10037</v>
      </c>
      <c r="I24" s="49" t="s">
        <v>1222</v>
      </c>
      <c r="J24" s="49">
        <f t="shared" si="8"/>
        <v>10038</v>
      </c>
      <c r="K24" s="49" t="s">
        <v>1223</v>
      </c>
      <c r="L24" s="48">
        <v>2</v>
      </c>
      <c r="M24" s="49" t="s">
        <v>1221</v>
      </c>
      <c r="N24" s="49">
        <f t="shared" si="9"/>
        <v>10040</v>
      </c>
      <c r="O24" s="49" t="s">
        <v>1222</v>
      </c>
      <c r="P24" s="49">
        <f t="shared" si="10"/>
        <v>10041</v>
      </c>
      <c r="Q24" s="49" t="s">
        <v>1222</v>
      </c>
      <c r="R24" s="49">
        <f t="shared" si="11"/>
        <v>10036</v>
      </c>
      <c r="S24" s="49" t="s">
        <v>1223</v>
      </c>
      <c r="T24" s="48">
        <v>3</v>
      </c>
      <c r="U24" s="49" t="s">
        <v>1221</v>
      </c>
      <c r="V24" s="49">
        <v>10040</v>
      </c>
      <c r="W24" s="49" t="s">
        <v>1222</v>
      </c>
      <c r="X24" s="49">
        <v>10041</v>
      </c>
      <c r="Y24" s="49" t="s">
        <v>1222</v>
      </c>
      <c r="Z24" s="49">
        <v>10036</v>
      </c>
      <c r="AA24" s="49" t="s">
        <v>1223</v>
      </c>
      <c r="AB24" s="39"/>
      <c r="AC24" s="41"/>
      <c r="AD24" s="41"/>
      <c r="AE24" s="41"/>
    </row>
    <row r="25" s="2" customFormat="1" spans="1:31">
      <c r="A25" s="1">
        <v>38</v>
      </c>
      <c r="B25" s="30" t="s">
        <v>1147</v>
      </c>
      <c r="C25" s="3">
        <f>出怪成长!C25</f>
        <v>10</v>
      </c>
      <c r="D25" s="4" t="str">
        <f>出怪成长!D25</f>
        <v>4#30001#1|8#30002#1|10#30001,30004#1</v>
      </c>
      <c r="E25" s="4" t="str">
        <f t="shared" si="6"/>
        <v>1:10040,10041|2:10040,10041,10036|3:10043,10044,10036</v>
      </c>
      <c r="F25" s="48">
        <v>1</v>
      </c>
      <c r="G25" s="49" t="s">
        <v>1221</v>
      </c>
      <c r="H25" s="49">
        <f t="shared" si="7"/>
        <v>10040</v>
      </c>
      <c r="I25" s="49" t="s">
        <v>1222</v>
      </c>
      <c r="J25" s="49">
        <f t="shared" si="8"/>
        <v>10041</v>
      </c>
      <c r="K25" s="49" t="s">
        <v>1223</v>
      </c>
      <c r="L25" s="48">
        <v>2</v>
      </c>
      <c r="M25" s="49" t="s">
        <v>1221</v>
      </c>
      <c r="N25" s="49">
        <f t="shared" si="9"/>
        <v>10040</v>
      </c>
      <c r="O25" s="49" t="s">
        <v>1222</v>
      </c>
      <c r="P25" s="49">
        <f t="shared" si="10"/>
        <v>10041</v>
      </c>
      <c r="Q25" s="49" t="s">
        <v>1222</v>
      </c>
      <c r="R25" s="49">
        <f t="shared" si="11"/>
        <v>10036</v>
      </c>
      <c r="S25" s="49" t="s">
        <v>1223</v>
      </c>
      <c r="T25" s="49">
        <v>3</v>
      </c>
      <c r="U25" s="49" t="s">
        <v>1221</v>
      </c>
      <c r="V25" s="49">
        <v>10043</v>
      </c>
      <c r="W25" s="49" t="s">
        <v>1222</v>
      </c>
      <c r="X25" s="49">
        <v>10044</v>
      </c>
      <c r="Y25" s="49" t="s">
        <v>1222</v>
      </c>
      <c r="Z25" s="49">
        <v>10036</v>
      </c>
      <c r="AA25" s="49" t="s">
        <v>1223</v>
      </c>
      <c r="AB25" s="39"/>
      <c r="AC25" s="41"/>
      <c r="AD25" s="41"/>
      <c r="AE25" s="41"/>
    </row>
    <row r="26" s="2" customFormat="1" spans="1:31">
      <c r="A26" s="1">
        <v>41</v>
      </c>
      <c r="B26" s="30" t="s">
        <v>1148</v>
      </c>
      <c r="C26" s="3">
        <f>出怪成长!C26</f>
        <v>15</v>
      </c>
      <c r="D26" s="4" t="str">
        <f>出怪成长!D26</f>
        <v>6#30001#1|12#30002#1|15#30001,30004#1</v>
      </c>
      <c r="E26" s="4" t="s">
        <v>471</v>
      </c>
      <c r="F26" s="48">
        <v>1</v>
      </c>
      <c r="G26" s="49" t="s">
        <v>1221</v>
      </c>
      <c r="H26" s="49">
        <f t="shared" si="7"/>
        <v>10040</v>
      </c>
      <c r="I26" s="49" t="s">
        <v>1222</v>
      </c>
      <c r="J26" s="49">
        <f t="shared" si="8"/>
        <v>10041</v>
      </c>
      <c r="K26" s="49" t="s">
        <v>1223</v>
      </c>
      <c r="L26" s="48">
        <v>2</v>
      </c>
      <c r="M26" s="49" t="s">
        <v>1221</v>
      </c>
      <c r="N26" s="49">
        <f t="shared" si="9"/>
        <v>10043</v>
      </c>
      <c r="O26" s="49" t="s">
        <v>1222</v>
      </c>
      <c r="P26" s="49">
        <f t="shared" si="10"/>
        <v>10044</v>
      </c>
      <c r="Q26" s="49" t="s">
        <v>1222</v>
      </c>
      <c r="R26" s="49">
        <f t="shared" si="11"/>
        <v>10036</v>
      </c>
      <c r="S26" s="49" t="s">
        <v>1223</v>
      </c>
      <c r="T26" s="48">
        <v>3</v>
      </c>
      <c r="U26" s="49" t="s">
        <v>1221</v>
      </c>
      <c r="V26" s="49">
        <v>10043</v>
      </c>
      <c r="W26" s="49" t="s">
        <v>1222</v>
      </c>
      <c r="X26" s="49">
        <v>10044</v>
      </c>
      <c r="Y26" s="49" t="s">
        <v>1222</v>
      </c>
      <c r="Z26" s="49">
        <v>10045</v>
      </c>
      <c r="AA26" s="49" t="s">
        <v>1223</v>
      </c>
      <c r="AB26" s="39"/>
      <c r="AC26" s="41"/>
      <c r="AD26" s="41"/>
      <c r="AE26" s="41"/>
    </row>
    <row r="27" s="2" customFormat="1" spans="1:31">
      <c r="A27" s="1">
        <v>42</v>
      </c>
      <c r="B27" s="30" t="s">
        <v>1149</v>
      </c>
      <c r="C27" s="3">
        <f>出怪成长!C27</f>
        <v>15</v>
      </c>
      <c r="D27" s="4" t="str">
        <f>出怪成长!D27</f>
        <v>6#30001#1|12#30002#1|15#30001,30004#1</v>
      </c>
      <c r="E27" s="4" t="s">
        <v>471</v>
      </c>
      <c r="F27" s="48">
        <v>1</v>
      </c>
      <c r="G27" s="49" t="s">
        <v>1221</v>
      </c>
      <c r="H27" s="49">
        <f t="shared" si="7"/>
        <v>10043</v>
      </c>
      <c r="I27" s="49" t="s">
        <v>1222</v>
      </c>
      <c r="J27" s="49">
        <f t="shared" si="8"/>
        <v>10044</v>
      </c>
      <c r="K27" s="49" t="s">
        <v>1223</v>
      </c>
      <c r="L27" s="48">
        <v>2</v>
      </c>
      <c r="M27" s="49" t="s">
        <v>1221</v>
      </c>
      <c r="N27" s="49">
        <f t="shared" si="9"/>
        <v>10043</v>
      </c>
      <c r="O27" s="49" t="s">
        <v>1222</v>
      </c>
      <c r="P27" s="49">
        <f t="shared" si="10"/>
        <v>10044</v>
      </c>
      <c r="Q27" s="49" t="s">
        <v>1222</v>
      </c>
      <c r="R27" s="49">
        <f t="shared" si="11"/>
        <v>10045</v>
      </c>
      <c r="S27" s="49" t="s">
        <v>1223</v>
      </c>
      <c r="T27" s="49">
        <v>3</v>
      </c>
      <c r="U27" s="49" t="s">
        <v>1221</v>
      </c>
      <c r="V27" s="49">
        <v>10043</v>
      </c>
      <c r="W27" s="49" t="s">
        <v>1222</v>
      </c>
      <c r="X27" s="49">
        <v>10044</v>
      </c>
      <c r="Y27" s="49" t="s">
        <v>1222</v>
      </c>
      <c r="Z27" s="49">
        <v>10045</v>
      </c>
      <c r="AA27" s="49" t="s">
        <v>1223</v>
      </c>
      <c r="AB27" s="39"/>
      <c r="AC27" s="41"/>
      <c r="AD27" s="41"/>
      <c r="AE27" s="41"/>
    </row>
    <row r="28" s="2" customFormat="1" spans="1:31">
      <c r="A28" s="1">
        <v>43</v>
      </c>
      <c r="B28" s="30" t="s">
        <v>1150</v>
      </c>
      <c r="C28" s="3">
        <f>出怪成长!C28</f>
        <v>15</v>
      </c>
      <c r="D28" s="4" t="str">
        <f>出怪成长!D28</f>
        <v>6#30001#1|12#30002#1|15#30001,30004#1</v>
      </c>
      <c r="E28" s="4" t="s">
        <v>471</v>
      </c>
      <c r="F28" s="48">
        <v>1</v>
      </c>
      <c r="G28" s="49" t="s">
        <v>1221</v>
      </c>
      <c r="H28" s="49">
        <f t="shared" si="7"/>
        <v>10043</v>
      </c>
      <c r="I28" s="49" t="s">
        <v>1222</v>
      </c>
      <c r="J28" s="49">
        <f t="shared" si="8"/>
        <v>10044</v>
      </c>
      <c r="K28" s="49" t="s">
        <v>1223</v>
      </c>
      <c r="L28" s="48">
        <v>2</v>
      </c>
      <c r="M28" s="49" t="s">
        <v>1221</v>
      </c>
      <c r="N28" s="49">
        <f t="shared" si="9"/>
        <v>10043</v>
      </c>
      <c r="O28" s="49" t="s">
        <v>1222</v>
      </c>
      <c r="P28" s="49">
        <f t="shared" si="10"/>
        <v>10044</v>
      </c>
      <c r="Q28" s="49" t="s">
        <v>1222</v>
      </c>
      <c r="R28" s="49">
        <f t="shared" si="11"/>
        <v>10045</v>
      </c>
      <c r="S28" s="49" t="s">
        <v>1223</v>
      </c>
      <c r="T28" s="48">
        <v>3</v>
      </c>
      <c r="U28" s="49" t="s">
        <v>1221</v>
      </c>
      <c r="V28" s="49">
        <v>10043</v>
      </c>
      <c r="W28" s="49" t="s">
        <v>1222</v>
      </c>
      <c r="X28" s="49">
        <v>10044</v>
      </c>
      <c r="Y28" s="49" t="s">
        <v>1222</v>
      </c>
      <c r="Z28" s="49">
        <v>10045</v>
      </c>
      <c r="AA28" s="49" t="s">
        <v>1223</v>
      </c>
      <c r="AB28" s="39"/>
      <c r="AC28" s="41"/>
      <c r="AD28" s="41"/>
      <c r="AE28" s="41"/>
    </row>
    <row r="29" s="2" customFormat="1" spans="1:31">
      <c r="A29" s="1">
        <v>44</v>
      </c>
      <c r="B29" s="30" t="s">
        <v>1151</v>
      </c>
      <c r="C29" s="3">
        <f>出怪成长!C29</f>
        <v>15</v>
      </c>
      <c r="D29" s="4" t="str">
        <f>出怪成长!D29</f>
        <v>6#30001#1|12#30002#1|15#30001,30004#1</v>
      </c>
      <c r="E29" s="4" t="s">
        <v>471</v>
      </c>
      <c r="F29" s="48">
        <v>1</v>
      </c>
      <c r="G29" s="49" t="s">
        <v>1221</v>
      </c>
      <c r="H29" s="49">
        <f t="shared" si="7"/>
        <v>10043</v>
      </c>
      <c r="I29" s="49" t="s">
        <v>1222</v>
      </c>
      <c r="J29" s="49">
        <f t="shared" si="8"/>
        <v>10044</v>
      </c>
      <c r="K29" s="49" t="s">
        <v>1223</v>
      </c>
      <c r="L29" s="48">
        <v>2</v>
      </c>
      <c r="M29" s="49" t="s">
        <v>1221</v>
      </c>
      <c r="N29" s="49">
        <f t="shared" si="9"/>
        <v>10043</v>
      </c>
      <c r="O29" s="49" t="s">
        <v>1222</v>
      </c>
      <c r="P29" s="49">
        <f t="shared" si="10"/>
        <v>10044</v>
      </c>
      <c r="Q29" s="49" t="s">
        <v>1222</v>
      </c>
      <c r="R29" s="49">
        <f t="shared" si="11"/>
        <v>10045</v>
      </c>
      <c r="S29" s="49" t="s">
        <v>1223</v>
      </c>
      <c r="T29" s="49">
        <v>3</v>
      </c>
      <c r="U29" s="49" t="s">
        <v>1221</v>
      </c>
      <c r="V29" s="49">
        <v>10043</v>
      </c>
      <c r="W29" s="49" t="s">
        <v>1222</v>
      </c>
      <c r="X29" s="49">
        <v>10044</v>
      </c>
      <c r="Y29" s="49" t="s">
        <v>1222</v>
      </c>
      <c r="Z29" s="49">
        <v>10045</v>
      </c>
      <c r="AA29" s="49" t="s">
        <v>1223</v>
      </c>
      <c r="AB29" s="39"/>
      <c r="AC29" s="41"/>
      <c r="AD29" s="41"/>
      <c r="AE29" s="41"/>
    </row>
    <row r="30" s="2" customFormat="1" spans="1:31">
      <c r="A30" s="1">
        <v>45</v>
      </c>
      <c r="B30" s="30" t="s">
        <v>1152</v>
      </c>
      <c r="C30" s="3">
        <f>出怪成长!C30</f>
        <v>15</v>
      </c>
      <c r="D30" s="4" t="str">
        <f>出怪成长!D30</f>
        <v>6#30001#1|12#30002#1|15#30001,30004#1</v>
      </c>
      <c r="E30" s="4" t="s">
        <v>471</v>
      </c>
      <c r="F30" s="48">
        <v>1</v>
      </c>
      <c r="G30" s="49" t="s">
        <v>1221</v>
      </c>
      <c r="H30" s="49">
        <f t="shared" si="7"/>
        <v>10043</v>
      </c>
      <c r="I30" s="49" t="s">
        <v>1222</v>
      </c>
      <c r="J30" s="49">
        <f t="shared" si="8"/>
        <v>10044</v>
      </c>
      <c r="K30" s="49" t="s">
        <v>1223</v>
      </c>
      <c r="L30" s="48">
        <v>2</v>
      </c>
      <c r="M30" s="49" t="s">
        <v>1221</v>
      </c>
      <c r="N30" s="49">
        <f t="shared" si="9"/>
        <v>10043</v>
      </c>
      <c r="O30" s="49" t="s">
        <v>1222</v>
      </c>
      <c r="P30" s="49">
        <f t="shared" si="10"/>
        <v>10044</v>
      </c>
      <c r="Q30" s="49" t="s">
        <v>1222</v>
      </c>
      <c r="R30" s="49">
        <f t="shared" si="11"/>
        <v>10045</v>
      </c>
      <c r="S30" s="49" t="s">
        <v>1223</v>
      </c>
      <c r="T30" s="48">
        <v>3</v>
      </c>
      <c r="U30" s="49" t="s">
        <v>1221</v>
      </c>
      <c r="V30" s="49">
        <v>10043</v>
      </c>
      <c r="W30" s="49" t="s">
        <v>1222</v>
      </c>
      <c r="X30" s="49">
        <v>10044</v>
      </c>
      <c r="Y30" s="49" t="s">
        <v>1222</v>
      </c>
      <c r="Z30" s="49">
        <v>10045</v>
      </c>
      <c r="AA30" s="49" t="s">
        <v>1223</v>
      </c>
      <c r="AB30" s="39"/>
      <c r="AC30" s="41"/>
      <c r="AD30" s="41"/>
      <c r="AE30" s="41"/>
    </row>
    <row r="31" s="2" customFormat="1" spans="1:31">
      <c r="A31" s="1">
        <v>46</v>
      </c>
      <c r="B31" s="30" t="s">
        <v>1153</v>
      </c>
      <c r="C31" s="3">
        <f>出怪成长!C31</f>
        <v>15</v>
      </c>
      <c r="D31" s="4" t="str">
        <f>出怪成长!D31</f>
        <v>6#30001#1|12#30002#1|15#30001,30004#1</v>
      </c>
      <c r="E31" s="4" t="s">
        <v>471</v>
      </c>
      <c r="F31" s="48">
        <v>1</v>
      </c>
      <c r="G31" s="49" t="s">
        <v>1221</v>
      </c>
      <c r="H31" s="49">
        <f t="shared" si="7"/>
        <v>10043</v>
      </c>
      <c r="I31" s="49" t="s">
        <v>1222</v>
      </c>
      <c r="J31" s="49">
        <f t="shared" si="8"/>
        <v>10044</v>
      </c>
      <c r="K31" s="49" t="s">
        <v>1223</v>
      </c>
      <c r="L31" s="48">
        <v>2</v>
      </c>
      <c r="M31" s="49" t="s">
        <v>1221</v>
      </c>
      <c r="N31" s="49">
        <f t="shared" si="9"/>
        <v>10043</v>
      </c>
      <c r="O31" s="49" t="s">
        <v>1222</v>
      </c>
      <c r="P31" s="49">
        <f t="shared" si="10"/>
        <v>10044</v>
      </c>
      <c r="Q31" s="49" t="s">
        <v>1222</v>
      </c>
      <c r="R31" s="49">
        <f t="shared" si="11"/>
        <v>10045</v>
      </c>
      <c r="S31" s="49" t="s">
        <v>1223</v>
      </c>
      <c r="T31" s="49">
        <v>3</v>
      </c>
      <c r="U31" s="49" t="s">
        <v>1221</v>
      </c>
      <c r="V31" s="49">
        <v>10043</v>
      </c>
      <c r="W31" s="49" t="s">
        <v>1222</v>
      </c>
      <c r="X31" s="49">
        <v>10044</v>
      </c>
      <c r="Y31" s="49" t="s">
        <v>1222</v>
      </c>
      <c r="Z31" s="49">
        <v>10045</v>
      </c>
      <c r="AA31" s="49" t="s">
        <v>1223</v>
      </c>
      <c r="AB31" s="39"/>
      <c r="AC31" s="41"/>
      <c r="AD31" s="41"/>
      <c r="AE31" s="41"/>
    </row>
    <row r="32" s="2" customFormat="1" spans="1:31">
      <c r="A32" s="1">
        <v>47</v>
      </c>
      <c r="B32" s="30" t="s">
        <v>1154</v>
      </c>
      <c r="C32" s="3">
        <f>出怪成长!C32</f>
        <v>15</v>
      </c>
      <c r="D32" s="4" t="str">
        <f>出怪成长!D32</f>
        <v>6#30001#1|12#30002#1|15#30001,30004#1</v>
      </c>
      <c r="E32" s="4" t="s">
        <v>471</v>
      </c>
      <c r="F32" s="48">
        <v>1</v>
      </c>
      <c r="G32" s="49" t="s">
        <v>1221</v>
      </c>
      <c r="H32" s="49">
        <f t="shared" si="7"/>
        <v>10043</v>
      </c>
      <c r="I32" s="49" t="s">
        <v>1222</v>
      </c>
      <c r="J32" s="49">
        <f t="shared" si="8"/>
        <v>10044</v>
      </c>
      <c r="K32" s="49" t="s">
        <v>1223</v>
      </c>
      <c r="L32" s="48">
        <v>2</v>
      </c>
      <c r="M32" s="49" t="s">
        <v>1221</v>
      </c>
      <c r="N32" s="49">
        <f t="shared" si="9"/>
        <v>10043</v>
      </c>
      <c r="O32" s="49" t="s">
        <v>1222</v>
      </c>
      <c r="P32" s="49">
        <f t="shared" si="10"/>
        <v>10044</v>
      </c>
      <c r="Q32" s="49" t="s">
        <v>1222</v>
      </c>
      <c r="R32" s="49">
        <f t="shared" si="11"/>
        <v>10045</v>
      </c>
      <c r="S32" s="49" t="s">
        <v>1223</v>
      </c>
      <c r="T32" s="48">
        <v>3</v>
      </c>
      <c r="U32" s="49" t="s">
        <v>1221</v>
      </c>
      <c r="V32" s="49">
        <v>10043</v>
      </c>
      <c r="W32" s="49" t="s">
        <v>1222</v>
      </c>
      <c r="X32" s="49">
        <v>10044</v>
      </c>
      <c r="Y32" s="49" t="s">
        <v>1222</v>
      </c>
      <c r="Z32" s="49">
        <v>10045</v>
      </c>
      <c r="AA32" s="49" t="s">
        <v>1223</v>
      </c>
      <c r="AB32" s="39"/>
      <c r="AC32" s="41"/>
      <c r="AD32" s="41"/>
      <c r="AE32" s="41"/>
    </row>
    <row r="33" s="2" customFormat="1" spans="1:31">
      <c r="A33" s="1">
        <v>48</v>
      </c>
      <c r="B33" s="30" t="s">
        <v>1155</v>
      </c>
      <c r="C33" s="3">
        <f>出怪成长!C33</f>
        <v>15</v>
      </c>
      <c r="D33" s="4" t="str">
        <f>出怪成长!D33</f>
        <v>6#30001#1|12#30002#1|15#30001,30004#1</v>
      </c>
      <c r="E33" s="4" t="s">
        <v>471</v>
      </c>
      <c r="F33" s="48">
        <v>1</v>
      </c>
      <c r="G33" s="49" t="s">
        <v>1221</v>
      </c>
      <c r="H33" s="49">
        <f t="shared" si="7"/>
        <v>10043</v>
      </c>
      <c r="I33" s="49" t="s">
        <v>1222</v>
      </c>
      <c r="J33" s="49">
        <f t="shared" si="8"/>
        <v>10044</v>
      </c>
      <c r="K33" s="49" t="s">
        <v>1223</v>
      </c>
      <c r="L33" s="48">
        <v>2</v>
      </c>
      <c r="M33" s="49" t="s">
        <v>1221</v>
      </c>
      <c r="N33" s="49">
        <f t="shared" si="9"/>
        <v>10043</v>
      </c>
      <c r="O33" s="49" t="s">
        <v>1222</v>
      </c>
      <c r="P33" s="49">
        <f t="shared" si="10"/>
        <v>10044</v>
      </c>
      <c r="Q33" s="49" t="s">
        <v>1222</v>
      </c>
      <c r="R33" s="49">
        <f t="shared" si="11"/>
        <v>10045</v>
      </c>
      <c r="S33" s="49" t="s">
        <v>1223</v>
      </c>
      <c r="T33" s="49">
        <v>3</v>
      </c>
      <c r="U33" s="49" t="s">
        <v>1221</v>
      </c>
      <c r="V33" s="49">
        <v>10043</v>
      </c>
      <c r="W33" s="49" t="s">
        <v>1222</v>
      </c>
      <c r="X33" s="49">
        <v>10044</v>
      </c>
      <c r="Y33" s="49" t="s">
        <v>1222</v>
      </c>
      <c r="Z33" s="49">
        <v>10045</v>
      </c>
      <c r="AA33" s="49" t="s">
        <v>1223</v>
      </c>
      <c r="AB33" s="39"/>
      <c r="AC33" s="41"/>
      <c r="AD33" s="41"/>
      <c r="AE33" s="41"/>
    </row>
    <row r="34" s="2" customFormat="1" spans="1:31">
      <c r="A34" s="1">
        <v>51</v>
      </c>
      <c r="B34" s="30" t="s">
        <v>1156</v>
      </c>
      <c r="C34" s="3">
        <f>出怪成长!C34</f>
        <v>15</v>
      </c>
      <c r="D34" s="4" t="str">
        <f>出怪成长!D34</f>
        <v>6#30001#1|12#30002#1|15#30001,30004#1</v>
      </c>
      <c r="E34" s="4" t="s">
        <v>471</v>
      </c>
      <c r="F34" s="48">
        <v>1</v>
      </c>
      <c r="G34" s="49" t="s">
        <v>1221</v>
      </c>
      <c r="H34" s="49">
        <f t="shared" si="7"/>
        <v>10043</v>
      </c>
      <c r="I34" s="49" t="s">
        <v>1222</v>
      </c>
      <c r="J34" s="49">
        <f t="shared" si="8"/>
        <v>10044</v>
      </c>
      <c r="K34" s="49" t="s">
        <v>1223</v>
      </c>
      <c r="L34" s="48">
        <v>2</v>
      </c>
      <c r="M34" s="49" t="s">
        <v>1221</v>
      </c>
      <c r="N34" s="49">
        <f t="shared" si="9"/>
        <v>10043</v>
      </c>
      <c r="O34" s="49" t="s">
        <v>1222</v>
      </c>
      <c r="P34" s="49">
        <f t="shared" si="10"/>
        <v>10044</v>
      </c>
      <c r="Q34" s="49" t="s">
        <v>1222</v>
      </c>
      <c r="R34" s="49">
        <f t="shared" si="11"/>
        <v>10045</v>
      </c>
      <c r="S34" s="49" t="s">
        <v>1223</v>
      </c>
      <c r="T34" s="48">
        <v>3</v>
      </c>
      <c r="U34" s="49" t="s">
        <v>1221</v>
      </c>
      <c r="V34" s="49">
        <v>10043</v>
      </c>
      <c r="W34" s="49" t="s">
        <v>1222</v>
      </c>
      <c r="X34" s="49">
        <v>10044</v>
      </c>
      <c r="Y34" s="49" t="s">
        <v>1222</v>
      </c>
      <c r="Z34" s="49">
        <v>10045</v>
      </c>
      <c r="AA34" s="49" t="s">
        <v>1223</v>
      </c>
      <c r="AB34" s="39"/>
      <c r="AC34" s="41"/>
      <c r="AD34" s="41"/>
      <c r="AE34" s="41"/>
    </row>
    <row r="35" s="2" customFormat="1" spans="1:31">
      <c r="A35" s="1">
        <v>52</v>
      </c>
      <c r="B35" s="30" t="s">
        <v>1157</v>
      </c>
      <c r="C35" s="3">
        <f>出怪成长!C35</f>
        <v>15</v>
      </c>
      <c r="D35" s="4" t="str">
        <f>出怪成长!D35</f>
        <v>6#30001#1|12#30002#1|15#30001,30004#1</v>
      </c>
      <c r="E35" s="4" t="s">
        <v>471</v>
      </c>
      <c r="F35" s="48">
        <v>1</v>
      </c>
      <c r="G35" s="49" t="s">
        <v>1221</v>
      </c>
      <c r="H35" s="49">
        <f t="shared" si="7"/>
        <v>10043</v>
      </c>
      <c r="I35" s="49" t="s">
        <v>1222</v>
      </c>
      <c r="J35" s="49">
        <f t="shared" si="8"/>
        <v>10044</v>
      </c>
      <c r="K35" s="49" t="s">
        <v>1223</v>
      </c>
      <c r="L35" s="48">
        <v>2</v>
      </c>
      <c r="M35" s="49" t="s">
        <v>1221</v>
      </c>
      <c r="N35" s="49">
        <f t="shared" si="9"/>
        <v>10043</v>
      </c>
      <c r="O35" s="49" t="s">
        <v>1222</v>
      </c>
      <c r="P35" s="49">
        <f t="shared" si="10"/>
        <v>10044</v>
      </c>
      <c r="Q35" s="49" t="s">
        <v>1222</v>
      </c>
      <c r="R35" s="49">
        <f t="shared" si="11"/>
        <v>10045</v>
      </c>
      <c r="S35" s="49" t="s">
        <v>1223</v>
      </c>
      <c r="T35" s="49">
        <v>3</v>
      </c>
      <c r="U35" s="49" t="s">
        <v>1221</v>
      </c>
      <c r="V35" s="49">
        <v>10043</v>
      </c>
      <c r="W35" s="49" t="s">
        <v>1222</v>
      </c>
      <c r="X35" s="49">
        <v>10044</v>
      </c>
      <c r="Y35" s="49" t="s">
        <v>1222</v>
      </c>
      <c r="Z35" s="49">
        <v>10045</v>
      </c>
      <c r="AA35" s="49" t="s">
        <v>1223</v>
      </c>
      <c r="AB35" s="39"/>
      <c r="AC35" s="41"/>
      <c r="AD35" s="41"/>
      <c r="AE35" s="41"/>
    </row>
    <row r="36" s="2" customFormat="1" spans="1:31">
      <c r="A36" s="1">
        <v>53</v>
      </c>
      <c r="B36" s="30" t="s">
        <v>1158</v>
      </c>
      <c r="C36" s="3">
        <f>出怪成长!C36</f>
        <v>15</v>
      </c>
      <c r="D36" s="4" t="str">
        <f>出怪成长!D36</f>
        <v>6#30001#1|12#30002#1|15#30001,30004#1</v>
      </c>
      <c r="E36" s="4" t="s">
        <v>471</v>
      </c>
      <c r="F36" s="48">
        <v>1</v>
      </c>
      <c r="G36" s="49" t="s">
        <v>1221</v>
      </c>
      <c r="H36" s="49">
        <f t="shared" si="7"/>
        <v>10043</v>
      </c>
      <c r="I36" s="49" t="s">
        <v>1222</v>
      </c>
      <c r="J36" s="49">
        <f t="shared" si="8"/>
        <v>10044</v>
      </c>
      <c r="K36" s="49" t="s">
        <v>1223</v>
      </c>
      <c r="L36" s="48">
        <v>2</v>
      </c>
      <c r="M36" s="49" t="s">
        <v>1221</v>
      </c>
      <c r="N36" s="49">
        <f t="shared" si="9"/>
        <v>10043</v>
      </c>
      <c r="O36" s="49" t="s">
        <v>1222</v>
      </c>
      <c r="P36" s="49">
        <f t="shared" si="10"/>
        <v>10044</v>
      </c>
      <c r="Q36" s="49" t="s">
        <v>1222</v>
      </c>
      <c r="R36" s="49">
        <f t="shared" si="11"/>
        <v>10045</v>
      </c>
      <c r="S36" s="49" t="s">
        <v>1223</v>
      </c>
      <c r="T36" s="48">
        <v>3</v>
      </c>
      <c r="U36" s="49" t="s">
        <v>1221</v>
      </c>
      <c r="V36" s="49">
        <v>10043</v>
      </c>
      <c r="W36" s="49" t="s">
        <v>1222</v>
      </c>
      <c r="X36" s="49">
        <v>10044</v>
      </c>
      <c r="Y36" s="49" t="s">
        <v>1222</v>
      </c>
      <c r="Z36" s="49">
        <v>10045</v>
      </c>
      <c r="AA36" s="49" t="s">
        <v>1223</v>
      </c>
      <c r="AB36" s="39"/>
      <c r="AC36" s="41"/>
      <c r="AD36" s="41"/>
      <c r="AE36" s="41"/>
    </row>
    <row r="37" s="2" customFormat="1" spans="1:31">
      <c r="A37" s="1">
        <v>54</v>
      </c>
      <c r="B37" s="30" t="s">
        <v>1159</v>
      </c>
      <c r="C37" s="3">
        <f>出怪成长!C37</f>
        <v>15</v>
      </c>
      <c r="D37" s="4" t="str">
        <f>出怪成长!D37</f>
        <v>6#30001#1|12#30002#1|15#30001,30004#1</v>
      </c>
      <c r="E37" s="4" t="s">
        <v>471</v>
      </c>
      <c r="F37" s="48">
        <v>1</v>
      </c>
      <c r="G37" s="49" t="s">
        <v>1221</v>
      </c>
      <c r="H37" s="49">
        <f t="shared" si="7"/>
        <v>10043</v>
      </c>
      <c r="I37" s="49" t="s">
        <v>1222</v>
      </c>
      <c r="J37" s="49">
        <f t="shared" si="8"/>
        <v>10044</v>
      </c>
      <c r="K37" s="49" t="s">
        <v>1223</v>
      </c>
      <c r="L37" s="48">
        <v>2</v>
      </c>
      <c r="M37" s="49" t="s">
        <v>1221</v>
      </c>
      <c r="N37" s="49">
        <f t="shared" si="9"/>
        <v>10043</v>
      </c>
      <c r="O37" s="49" t="s">
        <v>1222</v>
      </c>
      <c r="P37" s="49">
        <f t="shared" si="10"/>
        <v>10044</v>
      </c>
      <c r="Q37" s="49" t="s">
        <v>1222</v>
      </c>
      <c r="R37" s="49">
        <f t="shared" si="11"/>
        <v>10045</v>
      </c>
      <c r="S37" s="49" t="s">
        <v>1223</v>
      </c>
      <c r="T37" s="49">
        <v>3</v>
      </c>
      <c r="U37" s="49" t="s">
        <v>1221</v>
      </c>
      <c r="V37" s="49">
        <v>10043</v>
      </c>
      <c r="W37" s="49" t="s">
        <v>1222</v>
      </c>
      <c r="X37" s="49">
        <v>10044</v>
      </c>
      <c r="Y37" s="49" t="s">
        <v>1222</v>
      </c>
      <c r="Z37" s="49">
        <v>10045</v>
      </c>
      <c r="AA37" s="49" t="s">
        <v>1223</v>
      </c>
      <c r="AB37" s="39"/>
      <c r="AC37" s="41"/>
      <c r="AD37" s="41"/>
      <c r="AE37" s="41"/>
    </row>
    <row r="38" s="2" customFormat="1" spans="1:31">
      <c r="A38" s="1">
        <v>55</v>
      </c>
      <c r="B38" s="30" t="s">
        <v>1160</v>
      </c>
      <c r="C38" s="3">
        <f>出怪成长!C38</f>
        <v>15</v>
      </c>
      <c r="D38" s="4" t="str">
        <f>出怪成长!D38</f>
        <v>6#30001#1|12#30002#1|15#30001,30004#1</v>
      </c>
      <c r="E38" s="4" t="s">
        <v>471</v>
      </c>
      <c r="F38" s="48">
        <v>1</v>
      </c>
      <c r="G38" s="49" t="s">
        <v>1221</v>
      </c>
      <c r="H38" s="49">
        <f t="shared" si="7"/>
        <v>10043</v>
      </c>
      <c r="I38" s="49" t="s">
        <v>1222</v>
      </c>
      <c r="J38" s="49">
        <f t="shared" si="8"/>
        <v>10044</v>
      </c>
      <c r="K38" s="49" t="s">
        <v>1223</v>
      </c>
      <c r="L38" s="48">
        <v>2</v>
      </c>
      <c r="M38" s="49" t="s">
        <v>1221</v>
      </c>
      <c r="N38" s="49">
        <f t="shared" si="9"/>
        <v>10043</v>
      </c>
      <c r="O38" s="49" t="s">
        <v>1222</v>
      </c>
      <c r="P38" s="49">
        <f t="shared" si="10"/>
        <v>10044</v>
      </c>
      <c r="Q38" s="49" t="s">
        <v>1222</v>
      </c>
      <c r="R38" s="49">
        <f t="shared" si="11"/>
        <v>10045</v>
      </c>
      <c r="S38" s="49" t="s">
        <v>1223</v>
      </c>
      <c r="T38" s="48">
        <v>3</v>
      </c>
      <c r="U38" s="49" t="s">
        <v>1221</v>
      </c>
      <c r="V38" s="49">
        <v>10043</v>
      </c>
      <c r="W38" s="49" t="s">
        <v>1222</v>
      </c>
      <c r="X38" s="49">
        <v>10044</v>
      </c>
      <c r="Y38" s="49" t="s">
        <v>1222</v>
      </c>
      <c r="Z38" s="49">
        <v>10045</v>
      </c>
      <c r="AA38" s="49" t="s">
        <v>1223</v>
      </c>
      <c r="AB38" s="39"/>
      <c r="AC38" s="41"/>
      <c r="AD38" s="41"/>
      <c r="AE38" s="41"/>
    </row>
    <row r="39" s="2" customFormat="1" spans="1:31">
      <c r="A39" s="1">
        <v>56</v>
      </c>
      <c r="B39" s="30" t="s">
        <v>1161</v>
      </c>
      <c r="C39" s="3">
        <f>出怪成长!C39</f>
        <v>15</v>
      </c>
      <c r="D39" s="4" t="str">
        <f>出怪成长!D39</f>
        <v>6#30001#1|12#30002#1|15#30001,30004#1</v>
      </c>
      <c r="E39" s="4" t="s">
        <v>471</v>
      </c>
      <c r="F39" s="48">
        <v>1</v>
      </c>
      <c r="G39" s="49" t="s">
        <v>1221</v>
      </c>
      <c r="H39" s="49">
        <f t="shared" si="7"/>
        <v>10043</v>
      </c>
      <c r="I39" s="49" t="s">
        <v>1222</v>
      </c>
      <c r="J39" s="49">
        <f t="shared" si="8"/>
        <v>10044</v>
      </c>
      <c r="K39" s="49" t="s">
        <v>1223</v>
      </c>
      <c r="L39" s="48">
        <v>2</v>
      </c>
      <c r="M39" s="49" t="s">
        <v>1221</v>
      </c>
      <c r="N39" s="49">
        <f t="shared" si="9"/>
        <v>10043</v>
      </c>
      <c r="O39" s="49" t="s">
        <v>1222</v>
      </c>
      <c r="P39" s="49">
        <f t="shared" si="10"/>
        <v>10044</v>
      </c>
      <c r="Q39" s="49" t="s">
        <v>1222</v>
      </c>
      <c r="R39" s="49">
        <f t="shared" si="11"/>
        <v>10045</v>
      </c>
      <c r="S39" s="49" t="s">
        <v>1223</v>
      </c>
      <c r="T39" s="49">
        <v>3</v>
      </c>
      <c r="U39" s="49" t="s">
        <v>1221</v>
      </c>
      <c r="V39" s="49">
        <v>10043</v>
      </c>
      <c r="W39" s="49" t="s">
        <v>1222</v>
      </c>
      <c r="X39" s="49">
        <v>10044</v>
      </c>
      <c r="Y39" s="49" t="s">
        <v>1222</v>
      </c>
      <c r="Z39" s="49">
        <v>10045</v>
      </c>
      <c r="AA39" s="49" t="s">
        <v>1223</v>
      </c>
      <c r="AB39" s="39"/>
      <c r="AC39" s="41"/>
      <c r="AD39" s="41"/>
      <c r="AE39" s="41"/>
    </row>
    <row r="40" s="2" customFormat="1" spans="1:31">
      <c r="A40" s="1">
        <v>57</v>
      </c>
      <c r="B40" s="30" t="s">
        <v>1162</v>
      </c>
      <c r="C40" s="3">
        <f>出怪成长!C40</f>
        <v>15</v>
      </c>
      <c r="D40" s="4" t="str">
        <f>出怪成长!D40</f>
        <v>6#30001#1|12#30002#1|15#30001,30004#1</v>
      </c>
      <c r="E40" s="4" t="s">
        <v>471</v>
      </c>
      <c r="F40" s="48">
        <v>1</v>
      </c>
      <c r="G40" s="49" t="s">
        <v>1221</v>
      </c>
      <c r="H40" s="49">
        <f t="shared" si="7"/>
        <v>10043</v>
      </c>
      <c r="I40" s="49" t="s">
        <v>1222</v>
      </c>
      <c r="J40" s="49">
        <f t="shared" si="8"/>
        <v>10044</v>
      </c>
      <c r="K40" s="49" t="s">
        <v>1223</v>
      </c>
      <c r="L40" s="48">
        <v>2</v>
      </c>
      <c r="M40" s="49" t="s">
        <v>1221</v>
      </c>
      <c r="N40" s="49">
        <f t="shared" si="9"/>
        <v>10043</v>
      </c>
      <c r="O40" s="49" t="s">
        <v>1222</v>
      </c>
      <c r="P40" s="49">
        <f t="shared" si="10"/>
        <v>10044</v>
      </c>
      <c r="Q40" s="49" t="s">
        <v>1222</v>
      </c>
      <c r="R40" s="49">
        <f t="shared" si="11"/>
        <v>10045</v>
      </c>
      <c r="S40" s="49" t="s">
        <v>1223</v>
      </c>
      <c r="T40" s="48">
        <v>3</v>
      </c>
      <c r="U40" s="49" t="s">
        <v>1221</v>
      </c>
      <c r="V40" s="49">
        <v>10043</v>
      </c>
      <c r="W40" s="49" t="s">
        <v>1222</v>
      </c>
      <c r="X40" s="49">
        <v>10044</v>
      </c>
      <c r="Y40" s="49" t="s">
        <v>1222</v>
      </c>
      <c r="Z40" s="49">
        <v>10045</v>
      </c>
      <c r="AA40" s="49" t="s">
        <v>1223</v>
      </c>
      <c r="AB40" s="39"/>
      <c r="AC40" s="41"/>
      <c r="AD40" s="41"/>
      <c r="AE40" s="41"/>
    </row>
    <row r="41" s="2" customFormat="1" spans="1:31">
      <c r="A41" s="36">
        <v>58</v>
      </c>
      <c r="B41" s="37" t="s">
        <v>1163</v>
      </c>
      <c r="C41" s="3">
        <f>出怪成长!C41</f>
        <v>15</v>
      </c>
      <c r="D41" s="4" t="str">
        <f>出怪成长!D41</f>
        <v>6#30001#1|12#30002#1|15#30001,30004#1</v>
      </c>
      <c r="E41" s="4" t="s">
        <v>471</v>
      </c>
      <c r="F41" s="48">
        <v>1</v>
      </c>
      <c r="G41" s="49" t="s">
        <v>1221</v>
      </c>
      <c r="H41" s="49">
        <f t="shared" si="7"/>
        <v>10043</v>
      </c>
      <c r="I41" s="49" t="s">
        <v>1222</v>
      </c>
      <c r="J41" s="49">
        <f t="shared" si="8"/>
        <v>10044</v>
      </c>
      <c r="K41" s="49" t="s">
        <v>1223</v>
      </c>
      <c r="L41" s="48">
        <v>2</v>
      </c>
      <c r="M41" s="49" t="s">
        <v>1221</v>
      </c>
      <c r="N41" s="49">
        <f t="shared" si="9"/>
        <v>10043</v>
      </c>
      <c r="O41" s="49" t="s">
        <v>1222</v>
      </c>
      <c r="P41" s="49">
        <f t="shared" si="10"/>
        <v>10044</v>
      </c>
      <c r="Q41" s="49" t="s">
        <v>1222</v>
      </c>
      <c r="R41" s="49">
        <f t="shared" si="11"/>
        <v>10045</v>
      </c>
      <c r="S41" s="49" t="s">
        <v>1223</v>
      </c>
      <c r="T41" s="49">
        <v>3</v>
      </c>
      <c r="U41" s="49" t="s">
        <v>1221</v>
      </c>
      <c r="V41" s="49">
        <v>10043</v>
      </c>
      <c r="W41" s="49" t="s">
        <v>1222</v>
      </c>
      <c r="X41" s="49">
        <v>10044</v>
      </c>
      <c r="Y41" s="49" t="s">
        <v>1222</v>
      </c>
      <c r="Z41" s="49">
        <v>10045</v>
      </c>
      <c r="AA41" s="49" t="s">
        <v>1223</v>
      </c>
      <c r="AB41" s="39"/>
      <c r="AC41" s="41"/>
      <c r="AD41" s="41"/>
      <c r="AE41" s="41"/>
    </row>
    <row r="42" s="2" customFormat="1" spans="1:31">
      <c r="A42" s="1">
        <v>61</v>
      </c>
      <c r="B42" s="30" t="s">
        <v>1164</v>
      </c>
      <c r="C42" s="3">
        <f>出怪成长!C42</f>
        <v>15</v>
      </c>
      <c r="D42" s="4" t="str">
        <f>出怪成长!D42</f>
        <v>6#30001#1|12#30002#1|15#30001,30004#1</v>
      </c>
      <c r="E42" s="4" t="s">
        <v>1045</v>
      </c>
      <c r="F42" s="48">
        <v>1</v>
      </c>
      <c r="G42" s="49" t="s">
        <v>1221</v>
      </c>
      <c r="H42" s="49">
        <f t="shared" ref="H42:H73" si="12">N41</f>
        <v>10043</v>
      </c>
      <c r="I42" s="49" t="s">
        <v>1222</v>
      </c>
      <c r="J42" s="49">
        <f t="shared" ref="J42:J73" si="13">P41</f>
        <v>10044</v>
      </c>
      <c r="K42" s="49" t="s">
        <v>1223</v>
      </c>
      <c r="L42" s="48">
        <v>2</v>
      </c>
      <c r="M42" s="49" t="s">
        <v>1221</v>
      </c>
      <c r="N42" s="49">
        <f t="shared" ref="N42:N73" si="14">V41</f>
        <v>10043</v>
      </c>
      <c r="O42" s="49" t="s">
        <v>1222</v>
      </c>
      <c r="P42" s="49">
        <f t="shared" ref="P42:P73" si="15">X41</f>
        <v>10044</v>
      </c>
      <c r="Q42" s="49" t="s">
        <v>1222</v>
      </c>
      <c r="R42" s="49">
        <f t="shared" ref="R42:R73" si="16">Z41</f>
        <v>10045</v>
      </c>
      <c r="S42" s="49" t="s">
        <v>1223</v>
      </c>
      <c r="T42" s="48">
        <v>3</v>
      </c>
      <c r="U42" s="49" t="s">
        <v>1221</v>
      </c>
      <c r="V42" s="49">
        <v>10043</v>
      </c>
      <c r="W42" s="49" t="s">
        <v>1222</v>
      </c>
      <c r="X42" s="49">
        <v>10044</v>
      </c>
      <c r="Y42" s="49" t="s">
        <v>1222</v>
      </c>
      <c r="Z42" s="49">
        <v>10045</v>
      </c>
      <c r="AA42" s="49" t="s">
        <v>1223</v>
      </c>
      <c r="AB42" s="39"/>
      <c r="AC42" s="41"/>
      <c r="AD42" s="41"/>
      <c r="AE42" s="41"/>
    </row>
    <row r="43" s="2" customFormat="1" spans="1:31">
      <c r="A43" s="1">
        <v>62</v>
      </c>
      <c r="B43" s="30" t="s">
        <v>1165</v>
      </c>
      <c r="C43" s="3">
        <f>出怪成长!C43</f>
        <v>15</v>
      </c>
      <c r="D43" s="4" t="str">
        <f>出怪成长!D43</f>
        <v>6#30001#1|12#30002#1|15#30001,30004#1</v>
      </c>
      <c r="E43" s="4" t="s">
        <v>1053</v>
      </c>
      <c r="F43" s="48">
        <v>1</v>
      </c>
      <c r="G43" s="49" t="s">
        <v>1221</v>
      </c>
      <c r="H43" s="49">
        <f t="shared" si="12"/>
        <v>10043</v>
      </c>
      <c r="I43" s="49" t="s">
        <v>1222</v>
      </c>
      <c r="J43" s="49">
        <f t="shared" si="13"/>
        <v>10044</v>
      </c>
      <c r="K43" s="49" t="s">
        <v>1223</v>
      </c>
      <c r="L43" s="48">
        <v>2</v>
      </c>
      <c r="M43" s="49" t="s">
        <v>1221</v>
      </c>
      <c r="N43" s="49">
        <f t="shared" si="14"/>
        <v>10043</v>
      </c>
      <c r="O43" s="49" t="s">
        <v>1222</v>
      </c>
      <c r="P43" s="49">
        <f t="shared" si="15"/>
        <v>10044</v>
      </c>
      <c r="Q43" s="49" t="s">
        <v>1222</v>
      </c>
      <c r="R43" s="49">
        <f t="shared" si="16"/>
        <v>10045</v>
      </c>
      <c r="S43" s="49" t="s">
        <v>1223</v>
      </c>
      <c r="T43" s="49">
        <v>3</v>
      </c>
      <c r="U43" s="49" t="s">
        <v>1221</v>
      </c>
      <c r="V43" s="49">
        <v>10043</v>
      </c>
      <c r="W43" s="49" t="s">
        <v>1222</v>
      </c>
      <c r="X43" s="49">
        <v>10044</v>
      </c>
      <c r="Y43" s="49" t="s">
        <v>1222</v>
      </c>
      <c r="Z43" s="49">
        <v>10045</v>
      </c>
      <c r="AA43" s="49" t="s">
        <v>1223</v>
      </c>
      <c r="AB43" s="39"/>
      <c r="AC43" s="41"/>
      <c r="AD43" s="41"/>
      <c r="AE43" s="41"/>
    </row>
    <row r="44" s="2" customFormat="1" spans="1:31">
      <c r="A44" s="1">
        <v>63</v>
      </c>
      <c r="B44" s="30" t="s">
        <v>1166</v>
      </c>
      <c r="C44" s="3">
        <f>出怪成长!C44</f>
        <v>15</v>
      </c>
      <c r="D44" s="4" t="str">
        <f>出怪成长!D44</f>
        <v>6#30001#1|12#30002#1|15#30001,30004#1</v>
      </c>
      <c r="E44" s="4" t="s">
        <v>1060</v>
      </c>
      <c r="F44" s="48">
        <v>1</v>
      </c>
      <c r="G44" s="49" t="s">
        <v>1221</v>
      </c>
      <c r="H44" s="49">
        <f t="shared" si="12"/>
        <v>10043</v>
      </c>
      <c r="I44" s="49" t="s">
        <v>1222</v>
      </c>
      <c r="J44" s="49">
        <f t="shared" si="13"/>
        <v>10044</v>
      </c>
      <c r="K44" s="49" t="s">
        <v>1223</v>
      </c>
      <c r="L44" s="48">
        <v>2</v>
      </c>
      <c r="M44" s="49" t="s">
        <v>1221</v>
      </c>
      <c r="N44" s="49">
        <f t="shared" si="14"/>
        <v>10043</v>
      </c>
      <c r="O44" s="49" t="s">
        <v>1222</v>
      </c>
      <c r="P44" s="49">
        <f t="shared" si="15"/>
        <v>10044</v>
      </c>
      <c r="Q44" s="49" t="s">
        <v>1222</v>
      </c>
      <c r="R44" s="49">
        <f t="shared" si="16"/>
        <v>10045</v>
      </c>
      <c r="S44" s="49" t="s">
        <v>1223</v>
      </c>
      <c r="T44" s="48">
        <v>3</v>
      </c>
      <c r="U44" s="49" t="s">
        <v>1221</v>
      </c>
      <c r="V44" s="49">
        <v>10043</v>
      </c>
      <c r="W44" s="49" t="s">
        <v>1222</v>
      </c>
      <c r="X44" s="49">
        <v>10044</v>
      </c>
      <c r="Y44" s="49" t="s">
        <v>1222</v>
      </c>
      <c r="Z44" s="49">
        <v>10045</v>
      </c>
      <c r="AA44" s="49" t="s">
        <v>1223</v>
      </c>
      <c r="AB44" s="39"/>
      <c r="AC44" s="41"/>
      <c r="AD44" s="41"/>
      <c r="AE44" s="41"/>
    </row>
    <row r="45" s="2" customFormat="1" spans="1:31">
      <c r="A45" s="1">
        <v>64</v>
      </c>
      <c r="B45" s="30" t="s">
        <v>1167</v>
      </c>
      <c r="C45" s="3">
        <f>出怪成长!C45</f>
        <v>15</v>
      </c>
      <c r="D45" s="4" t="str">
        <f>出怪成长!D45</f>
        <v>6#30001#1|12#30002#1|15#30001,30004#1</v>
      </c>
      <c r="E45" s="4" t="s">
        <v>1067</v>
      </c>
      <c r="F45" s="48">
        <v>1</v>
      </c>
      <c r="G45" s="49" t="s">
        <v>1221</v>
      </c>
      <c r="H45" s="49">
        <f t="shared" si="12"/>
        <v>10043</v>
      </c>
      <c r="I45" s="49" t="s">
        <v>1222</v>
      </c>
      <c r="J45" s="49">
        <f t="shared" si="13"/>
        <v>10044</v>
      </c>
      <c r="K45" s="49" t="s">
        <v>1223</v>
      </c>
      <c r="L45" s="48">
        <v>2</v>
      </c>
      <c r="M45" s="49" t="s">
        <v>1221</v>
      </c>
      <c r="N45" s="49">
        <f t="shared" si="14"/>
        <v>10043</v>
      </c>
      <c r="O45" s="49" t="s">
        <v>1222</v>
      </c>
      <c r="P45" s="49">
        <f t="shared" si="15"/>
        <v>10044</v>
      </c>
      <c r="Q45" s="49" t="s">
        <v>1222</v>
      </c>
      <c r="R45" s="49">
        <f t="shared" si="16"/>
        <v>10045</v>
      </c>
      <c r="S45" s="49" t="s">
        <v>1223</v>
      </c>
      <c r="T45" s="49">
        <v>3</v>
      </c>
      <c r="U45" s="49" t="s">
        <v>1221</v>
      </c>
      <c r="V45" s="49">
        <v>10043</v>
      </c>
      <c r="W45" s="49" t="s">
        <v>1222</v>
      </c>
      <c r="X45" s="49">
        <v>10044</v>
      </c>
      <c r="Y45" s="49" t="s">
        <v>1222</v>
      </c>
      <c r="Z45" s="49">
        <v>10045</v>
      </c>
      <c r="AA45" s="49" t="s">
        <v>1223</v>
      </c>
      <c r="AB45" s="39"/>
      <c r="AC45" s="41"/>
      <c r="AD45" s="41"/>
      <c r="AE45" s="41"/>
    </row>
    <row r="46" s="2" customFormat="1" spans="1:31">
      <c r="A46" s="1">
        <v>65</v>
      </c>
      <c r="B46" s="30" t="s">
        <v>1168</v>
      </c>
      <c r="C46" s="3">
        <f>出怪成长!C46</f>
        <v>15</v>
      </c>
      <c r="D46" s="4" t="str">
        <f>出怪成长!D46</f>
        <v>6#30001#1|12#30002#1|15#30001,30004#1</v>
      </c>
      <c r="E46" s="4" t="s">
        <v>1076</v>
      </c>
      <c r="F46" s="48">
        <v>1</v>
      </c>
      <c r="G46" s="49" t="s">
        <v>1221</v>
      </c>
      <c r="H46" s="49">
        <f t="shared" si="12"/>
        <v>10043</v>
      </c>
      <c r="I46" s="49" t="s">
        <v>1222</v>
      </c>
      <c r="J46" s="49">
        <f t="shared" si="13"/>
        <v>10044</v>
      </c>
      <c r="K46" s="49" t="s">
        <v>1223</v>
      </c>
      <c r="L46" s="48">
        <v>2</v>
      </c>
      <c r="M46" s="49" t="s">
        <v>1221</v>
      </c>
      <c r="N46" s="49">
        <f t="shared" si="14"/>
        <v>10043</v>
      </c>
      <c r="O46" s="49" t="s">
        <v>1222</v>
      </c>
      <c r="P46" s="49">
        <f t="shared" si="15"/>
        <v>10044</v>
      </c>
      <c r="Q46" s="49" t="s">
        <v>1222</v>
      </c>
      <c r="R46" s="49">
        <f t="shared" si="16"/>
        <v>10045</v>
      </c>
      <c r="S46" s="49" t="s">
        <v>1223</v>
      </c>
      <c r="T46" s="48">
        <v>3</v>
      </c>
      <c r="U46" s="49" t="s">
        <v>1221</v>
      </c>
      <c r="V46" s="49">
        <v>10043</v>
      </c>
      <c r="W46" s="49" t="s">
        <v>1222</v>
      </c>
      <c r="X46" s="49">
        <v>10044</v>
      </c>
      <c r="Y46" s="49" t="s">
        <v>1222</v>
      </c>
      <c r="Z46" s="49">
        <v>10045</v>
      </c>
      <c r="AA46" s="49" t="s">
        <v>1223</v>
      </c>
      <c r="AB46" s="39"/>
      <c r="AC46" s="41"/>
      <c r="AD46" s="41"/>
      <c r="AE46" s="41"/>
    </row>
    <row r="47" s="2" customFormat="1" spans="1:31">
      <c r="A47" s="1">
        <v>66</v>
      </c>
      <c r="B47" s="30" t="s">
        <v>1169</v>
      </c>
      <c r="C47" s="3">
        <f>出怪成长!C47</f>
        <v>15</v>
      </c>
      <c r="D47" s="4" t="str">
        <f>出怪成长!D47</f>
        <v>6#30001#1|12#30002#1|15#30001,30004#1</v>
      </c>
      <c r="E47" s="4" t="s">
        <v>1084</v>
      </c>
      <c r="F47" s="48">
        <v>1</v>
      </c>
      <c r="G47" s="49" t="s">
        <v>1221</v>
      </c>
      <c r="H47" s="49">
        <f t="shared" si="12"/>
        <v>10043</v>
      </c>
      <c r="I47" s="49" t="s">
        <v>1222</v>
      </c>
      <c r="J47" s="49">
        <f t="shared" si="13"/>
        <v>10044</v>
      </c>
      <c r="K47" s="49" t="s">
        <v>1223</v>
      </c>
      <c r="L47" s="48">
        <v>2</v>
      </c>
      <c r="M47" s="49" t="s">
        <v>1221</v>
      </c>
      <c r="N47" s="49">
        <f t="shared" si="14"/>
        <v>10043</v>
      </c>
      <c r="O47" s="49" t="s">
        <v>1222</v>
      </c>
      <c r="P47" s="49">
        <f t="shared" si="15"/>
        <v>10044</v>
      </c>
      <c r="Q47" s="49" t="s">
        <v>1222</v>
      </c>
      <c r="R47" s="49">
        <f t="shared" si="16"/>
        <v>10045</v>
      </c>
      <c r="S47" s="49" t="s">
        <v>1223</v>
      </c>
      <c r="T47" s="49">
        <v>3</v>
      </c>
      <c r="U47" s="49" t="s">
        <v>1221</v>
      </c>
      <c r="V47" s="49">
        <v>10043</v>
      </c>
      <c r="W47" s="49" t="s">
        <v>1222</v>
      </c>
      <c r="X47" s="49">
        <v>10044</v>
      </c>
      <c r="Y47" s="49" t="s">
        <v>1222</v>
      </c>
      <c r="Z47" s="49">
        <v>10045</v>
      </c>
      <c r="AA47" s="49" t="s">
        <v>1223</v>
      </c>
      <c r="AB47" s="39"/>
      <c r="AC47" s="41"/>
      <c r="AD47" s="41"/>
      <c r="AE47" s="41"/>
    </row>
    <row r="48" s="2" customFormat="1" spans="1:31">
      <c r="A48" s="1">
        <v>67</v>
      </c>
      <c r="B48" s="30" t="s">
        <v>1170</v>
      </c>
      <c r="C48" s="3">
        <f>出怪成长!C48</f>
        <v>15</v>
      </c>
      <c r="D48" s="4" t="str">
        <f>出怪成长!D48</f>
        <v>6#30001#1|12#30002#1|15#30001,30004#1</v>
      </c>
      <c r="E48" s="4" t="s">
        <v>1076</v>
      </c>
      <c r="F48" s="48">
        <v>1</v>
      </c>
      <c r="G48" s="49" t="s">
        <v>1221</v>
      </c>
      <c r="H48" s="49">
        <f t="shared" si="12"/>
        <v>10043</v>
      </c>
      <c r="I48" s="49" t="s">
        <v>1222</v>
      </c>
      <c r="J48" s="49">
        <f t="shared" si="13"/>
        <v>10044</v>
      </c>
      <c r="K48" s="49" t="s">
        <v>1223</v>
      </c>
      <c r="L48" s="48">
        <v>2</v>
      </c>
      <c r="M48" s="49" t="s">
        <v>1221</v>
      </c>
      <c r="N48" s="49">
        <f t="shared" si="14"/>
        <v>10043</v>
      </c>
      <c r="O48" s="49" t="s">
        <v>1222</v>
      </c>
      <c r="P48" s="49">
        <f t="shared" si="15"/>
        <v>10044</v>
      </c>
      <c r="Q48" s="49" t="s">
        <v>1222</v>
      </c>
      <c r="R48" s="49">
        <f t="shared" si="16"/>
        <v>10045</v>
      </c>
      <c r="S48" s="49" t="s">
        <v>1223</v>
      </c>
      <c r="T48" s="48">
        <v>3</v>
      </c>
      <c r="U48" s="49" t="s">
        <v>1221</v>
      </c>
      <c r="V48" s="49">
        <v>10043</v>
      </c>
      <c r="W48" s="49" t="s">
        <v>1222</v>
      </c>
      <c r="X48" s="49">
        <v>10044</v>
      </c>
      <c r="Y48" s="49" t="s">
        <v>1222</v>
      </c>
      <c r="Z48" s="49">
        <v>10045</v>
      </c>
      <c r="AA48" s="49" t="s">
        <v>1223</v>
      </c>
      <c r="AB48" s="39"/>
      <c r="AC48" s="41"/>
      <c r="AD48" s="41"/>
      <c r="AE48" s="41"/>
    </row>
    <row r="49" s="2" customFormat="1" spans="1:31">
      <c r="A49" s="1">
        <v>68</v>
      </c>
      <c r="B49" s="30" t="s">
        <v>1171</v>
      </c>
      <c r="C49" s="3">
        <f>出怪成长!C49</f>
        <v>15</v>
      </c>
      <c r="D49" s="4" t="str">
        <f>出怪成长!D49</f>
        <v>6#30001#1|12#30002#1|15#30001,30004#1</v>
      </c>
      <c r="E49" s="4" t="s">
        <v>1084</v>
      </c>
      <c r="F49" s="48">
        <v>1</v>
      </c>
      <c r="G49" s="49" t="s">
        <v>1221</v>
      </c>
      <c r="H49" s="49">
        <f t="shared" si="12"/>
        <v>10043</v>
      </c>
      <c r="I49" s="49" t="s">
        <v>1222</v>
      </c>
      <c r="J49" s="49">
        <f t="shared" si="13"/>
        <v>10044</v>
      </c>
      <c r="K49" s="49" t="s">
        <v>1223</v>
      </c>
      <c r="L49" s="48">
        <v>2</v>
      </c>
      <c r="M49" s="49" t="s">
        <v>1221</v>
      </c>
      <c r="N49" s="49">
        <f t="shared" si="14"/>
        <v>10043</v>
      </c>
      <c r="O49" s="49" t="s">
        <v>1222</v>
      </c>
      <c r="P49" s="49">
        <f t="shared" si="15"/>
        <v>10044</v>
      </c>
      <c r="Q49" s="49" t="s">
        <v>1222</v>
      </c>
      <c r="R49" s="49">
        <f t="shared" si="16"/>
        <v>10045</v>
      </c>
      <c r="S49" s="49" t="s">
        <v>1223</v>
      </c>
      <c r="T49" s="49">
        <v>3</v>
      </c>
      <c r="U49" s="49" t="s">
        <v>1221</v>
      </c>
      <c r="V49" s="49">
        <v>10043</v>
      </c>
      <c r="W49" s="49" t="s">
        <v>1222</v>
      </c>
      <c r="X49" s="49">
        <v>10044</v>
      </c>
      <c r="Y49" s="49" t="s">
        <v>1222</v>
      </c>
      <c r="Z49" s="49">
        <v>10045</v>
      </c>
      <c r="AA49" s="49" t="s">
        <v>1223</v>
      </c>
      <c r="AB49" s="39"/>
      <c r="AC49" s="41"/>
      <c r="AD49" s="41"/>
      <c r="AE49" s="41"/>
    </row>
    <row r="50" s="2" customFormat="1" spans="1:31">
      <c r="A50" s="1">
        <v>71</v>
      </c>
      <c r="B50" s="30" t="s">
        <v>1172</v>
      </c>
      <c r="C50" s="3">
        <f>出怪成长!C50</f>
        <v>15</v>
      </c>
      <c r="D50" s="4" t="str">
        <f>出怪成长!D50</f>
        <v>6#30001#1|12#30002#1|15#30001,30004#1</v>
      </c>
      <c r="E50" s="4" t="s">
        <v>1098</v>
      </c>
      <c r="F50" s="48">
        <v>1</v>
      </c>
      <c r="G50" s="49" t="s">
        <v>1221</v>
      </c>
      <c r="H50" s="49">
        <f t="shared" si="12"/>
        <v>10043</v>
      </c>
      <c r="I50" s="49" t="s">
        <v>1222</v>
      </c>
      <c r="J50" s="49">
        <f t="shared" si="13"/>
        <v>10044</v>
      </c>
      <c r="K50" s="49" t="s">
        <v>1223</v>
      </c>
      <c r="L50" s="48">
        <v>2</v>
      </c>
      <c r="M50" s="49" t="s">
        <v>1221</v>
      </c>
      <c r="N50" s="49">
        <f t="shared" si="14"/>
        <v>10043</v>
      </c>
      <c r="O50" s="49" t="s">
        <v>1222</v>
      </c>
      <c r="P50" s="49">
        <f t="shared" si="15"/>
        <v>10044</v>
      </c>
      <c r="Q50" s="49" t="s">
        <v>1222</v>
      </c>
      <c r="R50" s="49">
        <f t="shared" si="16"/>
        <v>10045</v>
      </c>
      <c r="S50" s="49" t="s">
        <v>1223</v>
      </c>
      <c r="T50" s="48">
        <v>3</v>
      </c>
      <c r="U50" s="49" t="s">
        <v>1221</v>
      </c>
      <c r="V50" s="49">
        <v>10043</v>
      </c>
      <c r="W50" s="49" t="s">
        <v>1222</v>
      </c>
      <c r="X50" s="49">
        <v>10044</v>
      </c>
      <c r="Y50" s="49" t="s">
        <v>1222</v>
      </c>
      <c r="Z50" s="49">
        <v>10045</v>
      </c>
      <c r="AA50" s="49" t="s">
        <v>1223</v>
      </c>
      <c r="AB50" s="39"/>
      <c r="AC50" s="41"/>
      <c r="AD50" s="41"/>
      <c r="AE50" s="41"/>
    </row>
    <row r="51" s="2" customFormat="1" spans="1:31">
      <c r="A51" s="1">
        <v>72</v>
      </c>
      <c r="B51" s="30" t="s">
        <v>1173</v>
      </c>
      <c r="C51" s="3">
        <f>出怪成长!C51</f>
        <v>15</v>
      </c>
      <c r="D51" s="4" t="str">
        <f>出怪成长!D51</f>
        <v>6#30001#1|12#30002#1|15#30001,30004#1</v>
      </c>
      <c r="E51" s="4" t="s">
        <v>1108</v>
      </c>
      <c r="F51" s="48">
        <v>1</v>
      </c>
      <c r="G51" s="49" t="s">
        <v>1221</v>
      </c>
      <c r="H51" s="49">
        <f t="shared" si="12"/>
        <v>10043</v>
      </c>
      <c r="I51" s="49" t="s">
        <v>1222</v>
      </c>
      <c r="J51" s="49">
        <f t="shared" si="13"/>
        <v>10044</v>
      </c>
      <c r="K51" s="49" t="s">
        <v>1223</v>
      </c>
      <c r="L51" s="48">
        <v>2</v>
      </c>
      <c r="M51" s="49" t="s">
        <v>1221</v>
      </c>
      <c r="N51" s="49">
        <f t="shared" si="14"/>
        <v>10043</v>
      </c>
      <c r="O51" s="49" t="s">
        <v>1222</v>
      </c>
      <c r="P51" s="49">
        <f t="shared" si="15"/>
        <v>10044</v>
      </c>
      <c r="Q51" s="49" t="s">
        <v>1222</v>
      </c>
      <c r="R51" s="49">
        <f t="shared" si="16"/>
        <v>10045</v>
      </c>
      <c r="S51" s="49" t="s">
        <v>1223</v>
      </c>
      <c r="T51" s="49">
        <v>3</v>
      </c>
      <c r="U51" s="49" t="s">
        <v>1221</v>
      </c>
      <c r="V51" s="49">
        <v>10043</v>
      </c>
      <c r="W51" s="49" t="s">
        <v>1222</v>
      </c>
      <c r="X51" s="49">
        <v>10044</v>
      </c>
      <c r="Y51" s="49" t="s">
        <v>1222</v>
      </c>
      <c r="Z51" s="49">
        <v>10045</v>
      </c>
      <c r="AA51" s="49" t="s">
        <v>1223</v>
      </c>
      <c r="AB51" s="39"/>
      <c r="AC51" s="41"/>
      <c r="AD51" s="41"/>
      <c r="AE51" s="41"/>
    </row>
    <row r="52" s="2" customFormat="1" spans="1:31">
      <c r="A52" s="1">
        <v>73</v>
      </c>
      <c r="B52" s="30" t="s">
        <v>1174</v>
      </c>
      <c r="C52" s="3">
        <f>出怪成长!C52</f>
        <v>15</v>
      </c>
      <c r="D52" s="4" t="str">
        <f>出怪成长!D52</f>
        <v>6#30001#1|12#30002#1|15#30001,30004#1</v>
      </c>
      <c r="E52" s="4" t="s">
        <v>1224</v>
      </c>
      <c r="F52" s="48">
        <v>1</v>
      </c>
      <c r="G52" s="49" t="s">
        <v>1221</v>
      </c>
      <c r="H52" s="49">
        <f t="shared" si="12"/>
        <v>10043</v>
      </c>
      <c r="I52" s="49" t="s">
        <v>1222</v>
      </c>
      <c r="J52" s="49">
        <f t="shared" si="13"/>
        <v>10044</v>
      </c>
      <c r="K52" s="49" t="s">
        <v>1223</v>
      </c>
      <c r="L52" s="48">
        <v>2</v>
      </c>
      <c r="M52" s="49" t="s">
        <v>1221</v>
      </c>
      <c r="N52" s="49">
        <f t="shared" si="14"/>
        <v>10043</v>
      </c>
      <c r="O52" s="49" t="s">
        <v>1222</v>
      </c>
      <c r="P52" s="49">
        <f t="shared" si="15"/>
        <v>10044</v>
      </c>
      <c r="Q52" s="49" t="s">
        <v>1222</v>
      </c>
      <c r="R52" s="49">
        <f t="shared" si="16"/>
        <v>10045</v>
      </c>
      <c r="S52" s="49" t="s">
        <v>1223</v>
      </c>
      <c r="T52" s="48">
        <v>3</v>
      </c>
      <c r="U52" s="49" t="s">
        <v>1221</v>
      </c>
      <c r="V52" s="49">
        <v>10043</v>
      </c>
      <c r="W52" s="49" t="s">
        <v>1222</v>
      </c>
      <c r="X52" s="49">
        <v>10044</v>
      </c>
      <c r="Y52" s="49" t="s">
        <v>1222</v>
      </c>
      <c r="Z52" s="49">
        <v>10045</v>
      </c>
      <c r="AA52" s="49" t="s">
        <v>1223</v>
      </c>
      <c r="AB52" s="39"/>
      <c r="AC52" s="41"/>
      <c r="AD52" s="41"/>
      <c r="AE52" s="41"/>
    </row>
    <row r="53" s="2" customFormat="1" spans="1:31">
      <c r="A53" s="1">
        <v>74</v>
      </c>
      <c r="B53" s="30" t="s">
        <v>1175</v>
      </c>
      <c r="C53" s="3">
        <f>出怪成长!C53</f>
        <v>15</v>
      </c>
      <c r="D53" s="4" t="str">
        <f>出怪成长!D53</f>
        <v>6#30001#1|12#30002#1|15#30001,30004#1</v>
      </c>
      <c r="E53" s="4" t="s">
        <v>1225</v>
      </c>
      <c r="F53" s="48">
        <v>1</v>
      </c>
      <c r="G53" s="49" t="s">
        <v>1221</v>
      </c>
      <c r="H53" s="49">
        <f t="shared" si="12"/>
        <v>10043</v>
      </c>
      <c r="I53" s="49" t="s">
        <v>1222</v>
      </c>
      <c r="J53" s="49">
        <f t="shared" si="13"/>
        <v>10044</v>
      </c>
      <c r="K53" s="49" t="s">
        <v>1223</v>
      </c>
      <c r="L53" s="48">
        <v>2</v>
      </c>
      <c r="M53" s="49" t="s">
        <v>1221</v>
      </c>
      <c r="N53" s="49">
        <f t="shared" si="14"/>
        <v>10043</v>
      </c>
      <c r="O53" s="49" t="s">
        <v>1222</v>
      </c>
      <c r="P53" s="49">
        <f t="shared" si="15"/>
        <v>10044</v>
      </c>
      <c r="Q53" s="49" t="s">
        <v>1222</v>
      </c>
      <c r="R53" s="49">
        <f t="shared" si="16"/>
        <v>10045</v>
      </c>
      <c r="S53" s="49" t="s">
        <v>1223</v>
      </c>
      <c r="T53" s="49">
        <v>3</v>
      </c>
      <c r="U53" s="49" t="s">
        <v>1221</v>
      </c>
      <c r="V53" s="49">
        <v>10043</v>
      </c>
      <c r="W53" s="49" t="s">
        <v>1222</v>
      </c>
      <c r="X53" s="49">
        <v>10044</v>
      </c>
      <c r="Y53" s="49" t="s">
        <v>1222</v>
      </c>
      <c r="Z53" s="49">
        <v>10045</v>
      </c>
      <c r="AA53" s="49" t="s">
        <v>1223</v>
      </c>
      <c r="AB53" s="39"/>
      <c r="AC53" s="41"/>
      <c r="AD53" s="41"/>
      <c r="AE53" s="41"/>
    </row>
    <row r="54" s="2" customFormat="1" spans="1:31">
      <c r="A54" s="1">
        <v>75</v>
      </c>
      <c r="B54" s="30" t="s">
        <v>1176</v>
      </c>
      <c r="C54" s="3">
        <f>出怪成长!C54</f>
        <v>15</v>
      </c>
      <c r="D54" s="4" t="str">
        <f>出怪成长!D54</f>
        <v>6#30001#1|12#30002#1|15#30001,30004#1</v>
      </c>
      <c r="E54" s="4" t="s">
        <v>1226</v>
      </c>
      <c r="F54" s="48">
        <v>1</v>
      </c>
      <c r="G54" s="49" t="s">
        <v>1221</v>
      </c>
      <c r="H54" s="49">
        <f t="shared" si="12"/>
        <v>10043</v>
      </c>
      <c r="I54" s="49" t="s">
        <v>1222</v>
      </c>
      <c r="J54" s="49">
        <f t="shared" si="13"/>
        <v>10044</v>
      </c>
      <c r="K54" s="49" t="s">
        <v>1223</v>
      </c>
      <c r="L54" s="48">
        <v>2</v>
      </c>
      <c r="M54" s="49" t="s">
        <v>1221</v>
      </c>
      <c r="N54" s="49">
        <f t="shared" si="14"/>
        <v>10043</v>
      </c>
      <c r="O54" s="49" t="s">
        <v>1222</v>
      </c>
      <c r="P54" s="49">
        <f t="shared" si="15"/>
        <v>10044</v>
      </c>
      <c r="Q54" s="49" t="s">
        <v>1222</v>
      </c>
      <c r="R54" s="49">
        <f t="shared" si="16"/>
        <v>10045</v>
      </c>
      <c r="S54" s="49" t="s">
        <v>1223</v>
      </c>
      <c r="T54" s="48">
        <v>3</v>
      </c>
      <c r="U54" s="49" t="s">
        <v>1221</v>
      </c>
      <c r="V54" s="49">
        <v>10043</v>
      </c>
      <c r="W54" s="49" t="s">
        <v>1222</v>
      </c>
      <c r="X54" s="49">
        <v>10044</v>
      </c>
      <c r="Y54" s="49" t="s">
        <v>1222</v>
      </c>
      <c r="Z54" s="49">
        <v>10045</v>
      </c>
      <c r="AA54" s="49" t="s">
        <v>1223</v>
      </c>
      <c r="AB54" s="39"/>
      <c r="AC54" s="41"/>
      <c r="AD54" s="41"/>
      <c r="AE54" s="41"/>
    </row>
    <row r="55" s="2" customFormat="1" spans="1:31">
      <c r="A55" s="1">
        <v>76</v>
      </c>
      <c r="B55" s="30" t="s">
        <v>1177</v>
      </c>
      <c r="C55" s="3">
        <f>出怪成长!C55</f>
        <v>15</v>
      </c>
      <c r="D55" s="4" t="str">
        <f>出怪成长!D55</f>
        <v>6#30001#1|12#30002#1|15#30001,30004#1</v>
      </c>
      <c r="E55" s="4" t="s">
        <v>1227</v>
      </c>
      <c r="F55" s="48">
        <v>1</v>
      </c>
      <c r="G55" s="49" t="s">
        <v>1221</v>
      </c>
      <c r="H55" s="49">
        <f t="shared" si="12"/>
        <v>10043</v>
      </c>
      <c r="I55" s="49" t="s">
        <v>1222</v>
      </c>
      <c r="J55" s="49">
        <f t="shared" si="13"/>
        <v>10044</v>
      </c>
      <c r="K55" s="49" t="s">
        <v>1223</v>
      </c>
      <c r="L55" s="48">
        <v>2</v>
      </c>
      <c r="M55" s="49" t="s">
        <v>1221</v>
      </c>
      <c r="N55" s="49">
        <f t="shared" si="14"/>
        <v>10043</v>
      </c>
      <c r="O55" s="49" t="s">
        <v>1222</v>
      </c>
      <c r="P55" s="49">
        <f t="shared" si="15"/>
        <v>10044</v>
      </c>
      <c r="Q55" s="49" t="s">
        <v>1222</v>
      </c>
      <c r="R55" s="49">
        <f t="shared" si="16"/>
        <v>10045</v>
      </c>
      <c r="S55" s="49" t="s">
        <v>1223</v>
      </c>
      <c r="T55" s="49">
        <v>3</v>
      </c>
      <c r="U55" s="49" t="s">
        <v>1221</v>
      </c>
      <c r="V55" s="49">
        <v>10043</v>
      </c>
      <c r="W55" s="49" t="s">
        <v>1222</v>
      </c>
      <c r="X55" s="49">
        <v>10044</v>
      </c>
      <c r="Y55" s="49" t="s">
        <v>1222</v>
      </c>
      <c r="Z55" s="49">
        <v>10045</v>
      </c>
      <c r="AA55" s="49" t="s">
        <v>1223</v>
      </c>
      <c r="AB55" s="39"/>
      <c r="AC55" s="41"/>
      <c r="AD55" s="41"/>
      <c r="AE55" s="41"/>
    </row>
    <row r="56" s="2" customFormat="1" spans="1:31">
      <c r="A56" s="1">
        <v>81</v>
      </c>
      <c r="B56" s="30" t="s">
        <v>1178</v>
      </c>
      <c r="C56" s="3">
        <f>出怪成长!C56</f>
        <v>15</v>
      </c>
      <c r="D56" s="4" t="str">
        <f>出怪成长!D56</f>
        <v>6#30001#1|12#30002#1|15#30001,30004#1</v>
      </c>
      <c r="E56" s="4" t="s">
        <v>1228</v>
      </c>
      <c r="F56" s="48">
        <v>1</v>
      </c>
      <c r="G56" s="49" t="s">
        <v>1221</v>
      </c>
      <c r="H56" s="49">
        <f t="shared" si="12"/>
        <v>10043</v>
      </c>
      <c r="I56" s="49" t="s">
        <v>1222</v>
      </c>
      <c r="J56" s="49">
        <f t="shared" si="13"/>
        <v>10044</v>
      </c>
      <c r="K56" s="49" t="s">
        <v>1223</v>
      </c>
      <c r="L56" s="48">
        <v>2</v>
      </c>
      <c r="M56" s="49" t="s">
        <v>1221</v>
      </c>
      <c r="N56" s="49">
        <f t="shared" si="14"/>
        <v>10043</v>
      </c>
      <c r="O56" s="49" t="s">
        <v>1222</v>
      </c>
      <c r="P56" s="49">
        <f t="shared" si="15"/>
        <v>10044</v>
      </c>
      <c r="Q56" s="49" t="s">
        <v>1222</v>
      </c>
      <c r="R56" s="49">
        <f t="shared" si="16"/>
        <v>10045</v>
      </c>
      <c r="S56" s="49" t="s">
        <v>1223</v>
      </c>
      <c r="T56" s="48">
        <v>3</v>
      </c>
      <c r="U56" s="49" t="s">
        <v>1221</v>
      </c>
      <c r="V56" s="49">
        <v>10043</v>
      </c>
      <c r="W56" s="49" t="s">
        <v>1222</v>
      </c>
      <c r="X56" s="49">
        <v>10044</v>
      </c>
      <c r="Y56" s="49" t="s">
        <v>1222</v>
      </c>
      <c r="Z56" s="49">
        <v>10045</v>
      </c>
      <c r="AA56" s="49" t="s">
        <v>1223</v>
      </c>
      <c r="AB56" s="39"/>
      <c r="AC56" s="41"/>
      <c r="AD56" s="41"/>
      <c r="AE56" s="41"/>
    </row>
    <row r="57" s="2" customFormat="1" spans="1:31">
      <c r="A57" s="1">
        <v>82</v>
      </c>
      <c r="B57" s="30" t="s">
        <v>1179</v>
      </c>
      <c r="C57" s="3">
        <f>出怪成长!C57</f>
        <v>15</v>
      </c>
      <c r="D57" s="4" t="str">
        <f>出怪成长!D57</f>
        <v>6#30001#1|12#30002#1|15#30001,30004#1</v>
      </c>
      <c r="E57" s="4" t="s">
        <v>1229</v>
      </c>
      <c r="F57" s="48">
        <v>1</v>
      </c>
      <c r="G57" s="49" t="s">
        <v>1221</v>
      </c>
      <c r="H57" s="49">
        <f t="shared" si="12"/>
        <v>10043</v>
      </c>
      <c r="I57" s="49" t="s">
        <v>1222</v>
      </c>
      <c r="J57" s="49">
        <f t="shared" si="13"/>
        <v>10044</v>
      </c>
      <c r="K57" s="49" t="s">
        <v>1223</v>
      </c>
      <c r="L57" s="48">
        <v>2</v>
      </c>
      <c r="M57" s="49" t="s">
        <v>1221</v>
      </c>
      <c r="N57" s="49">
        <f t="shared" si="14"/>
        <v>10043</v>
      </c>
      <c r="O57" s="49" t="s">
        <v>1222</v>
      </c>
      <c r="P57" s="49">
        <f t="shared" si="15"/>
        <v>10044</v>
      </c>
      <c r="Q57" s="49" t="s">
        <v>1222</v>
      </c>
      <c r="R57" s="49">
        <f t="shared" si="16"/>
        <v>10045</v>
      </c>
      <c r="S57" s="49" t="s">
        <v>1223</v>
      </c>
      <c r="T57" s="49">
        <v>3</v>
      </c>
      <c r="U57" s="49" t="s">
        <v>1221</v>
      </c>
      <c r="V57" s="49">
        <v>10043</v>
      </c>
      <c r="W57" s="49" t="s">
        <v>1222</v>
      </c>
      <c r="X57" s="49">
        <v>10044</v>
      </c>
      <c r="Y57" s="49" t="s">
        <v>1222</v>
      </c>
      <c r="Z57" s="49">
        <v>10045</v>
      </c>
      <c r="AA57" s="49" t="s">
        <v>1223</v>
      </c>
      <c r="AB57" s="39"/>
      <c r="AC57" s="41"/>
      <c r="AD57" s="41"/>
      <c r="AE57" s="41"/>
    </row>
    <row r="58" s="2" customFormat="1" spans="1:31">
      <c r="A58" s="1">
        <v>83</v>
      </c>
      <c r="B58" s="30" t="s">
        <v>1180</v>
      </c>
      <c r="C58" s="3">
        <f>出怪成长!C58</f>
        <v>15</v>
      </c>
      <c r="D58" s="4" t="str">
        <f>出怪成长!D58</f>
        <v>6#30001#1|12#30002#1|15#30001,30004#1</v>
      </c>
      <c r="E58" s="4" t="s">
        <v>1230</v>
      </c>
      <c r="F58" s="48">
        <v>1</v>
      </c>
      <c r="G58" s="49" t="s">
        <v>1221</v>
      </c>
      <c r="H58" s="49">
        <f t="shared" si="12"/>
        <v>10043</v>
      </c>
      <c r="I58" s="49" t="s">
        <v>1222</v>
      </c>
      <c r="J58" s="49">
        <f t="shared" si="13"/>
        <v>10044</v>
      </c>
      <c r="K58" s="49" t="s">
        <v>1223</v>
      </c>
      <c r="L58" s="48">
        <v>2</v>
      </c>
      <c r="M58" s="49" t="s">
        <v>1221</v>
      </c>
      <c r="N58" s="49">
        <f t="shared" si="14"/>
        <v>10043</v>
      </c>
      <c r="O58" s="49" t="s">
        <v>1222</v>
      </c>
      <c r="P58" s="49">
        <f t="shared" si="15"/>
        <v>10044</v>
      </c>
      <c r="Q58" s="49" t="s">
        <v>1222</v>
      </c>
      <c r="R58" s="49">
        <f t="shared" si="16"/>
        <v>10045</v>
      </c>
      <c r="S58" s="49" t="s">
        <v>1223</v>
      </c>
      <c r="T58" s="48">
        <v>3</v>
      </c>
      <c r="U58" s="49" t="s">
        <v>1221</v>
      </c>
      <c r="V58" s="49">
        <v>10043</v>
      </c>
      <c r="W58" s="49" t="s">
        <v>1222</v>
      </c>
      <c r="X58" s="49">
        <v>10044</v>
      </c>
      <c r="Y58" s="49" t="s">
        <v>1222</v>
      </c>
      <c r="Z58" s="49">
        <v>10045</v>
      </c>
      <c r="AA58" s="49" t="s">
        <v>1223</v>
      </c>
      <c r="AB58" s="39"/>
      <c r="AC58" s="41"/>
      <c r="AD58" s="41"/>
      <c r="AE58" s="41"/>
    </row>
    <row r="59" s="2" customFormat="1" spans="1:31">
      <c r="A59" s="1">
        <v>84</v>
      </c>
      <c r="B59" s="30" t="s">
        <v>1181</v>
      </c>
      <c r="C59" s="3">
        <f>出怪成长!C59</f>
        <v>15</v>
      </c>
      <c r="D59" s="4" t="str">
        <f>出怪成长!D59</f>
        <v>6#30001#1|12#30002#1|15#30001,30004#1</v>
      </c>
      <c r="E59" s="4" t="s">
        <v>1231</v>
      </c>
      <c r="F59" s="48">
        <v>1</v>
      </c>
      <c r="G59" s="49" t="s">
        <v>1221</v>
      </c>
      <c r="H59" s="49">
        <f t="shared" si="12"/>
        <v>10043</v>
      </c>
      <c r="I59" s="49" t="s">
        <v>1222</v>
      </c>
      <c r="J59" s="49">
        <f t="shared" si="13"/>
        <v>10044</v>
      </c>
      <c r="K59" s="49" t="s">
        <v>1223</v>
      </c>
      <c r="L59" s="48">
        <v>2</v>
      </c>
      <c r="M59" s="49" t="s">
        <v>1221</v>
      </c>
      <c r="N59" s="49">
        <f t="shared" si="14"/>
        <v>10043</v>
      </c>
      <c r="O59" s="49" t="s">
        <v>1222</v>
      </c>
      <c r="P59" s="49">
        <f t="shared" si="15"/>
        <v>10044</v>
      </c>
      <c r="Q59" s="49" t="s">
        <v>1222</v>
      </c>
      <c r="R59" s="49">
        <f t="shared" si="16"/>
        <v>10045</v>
      </c>
      <c r="S59" s="49" t="s">
        <v>1223</v>
      </c>
      <c r="T59" s="49">
        <v>3</v>
      </c>
      <c r="U59" s="49" t="s">
        <v>1221</v>
      </c>
      <c r="V59" s="49">
        <v>10043</v>
      </c>
      <c r="W59" s="49" t="s">
        <v>1222</v>
      </c>
      <c r="X59" s="49">
        <v>10044</v>
      </c>
      <c r="Y59" s="49" t="s">
        <v>1222</v>
      </c>
      <c r="Z59" s="49">
        <v>10045</v>
      </c>
      <c r="AA59" s="49" t="s">
        <v>1223</v>
      </c>
      <c r="AB59" s="39"/>
      <c r="AC59" s="41"/>
      <c r="AD59" s="41"/>
      <c r="AE59" s="41"/>
    </row>
    <row r="60" s="2" customFormat="1" spans="1:31">
      <c r="A60" s="1">
        <v>85</v>
      </c>
      <c r="B60" s="30" t="s">
        <v>1182</v>
      </c>
      <c r="C60" s="3">
        <f>出怪成长!C60</f>
        <v>15</v>
      </c>
      <c r="D60" s="4" t="str">
        <f>出怪成长!D60</f>
        <v>6#30001#1|12#30002#1|15#30001,30004#1</v>
      </c>
      <c r="E60" s="4" t="s">
        <v>1232</v>
      </c>
      <c r="F60" s="48">
        <v>1</v>
      </c>
      <c r="G60" s="49" t="s">
        <v>1221</v>
      </c>
      <c r="H60" s="49">
        <f t="shared" si="12"/>
        <v>10043</v>
      </c>
      <c r="I60" s="49" t="s">
        <v>1222</v>
      </c>
      <c r="J60" s="49">
        <f t="shared" si="13"/>
        <v>10044</v>
      </c>
      <c r="K60" s="49" t="s">
        <v>1223</v>
      </c>
      <c r="L60" s="48">
        <v>2</v>
      </c>
      <c r="M60" s="49" t="s">
        <v>1221</v>
      </c>
      <c r="N60" s="49">
        <f t="shared" si="14"/>
        <v>10043</v>
      </c>
      <c r="O60" s="49" t="s">
        <v>1222</v>
      </c>
      <c r="P60" s="49">
        <f t="shared" si="15"/>
        <v>10044</v>
      </c>
      <c r="Q60" s="49" t="s">
        <v>1222</v>
      </c>
      <c r="R60" s="49">
        <f t="shared" si="16"/>
        <v>10045</v>
      </c>
      <c r="S60" s="49" t="s">
        <v>1223</v>
      </c>
      <c r="T60" s="48">
        <v>3</v>
      </c>
      <c r="U60" s="49" t="s">
        <v>1221</v>
      </c>
      <c r="V60" s="49">
        <v>10043</v>
      </c>
      <c r="W60" s="49" t="s">
        <v>1222</v>
      </c>
      <c r="X60" s="49">
        <v>10044</v>
      </c>
      <c r="Y60" s="49" t="s">
        <v>1222</v>
      </c>
      <c r="Z60" s="49">
        <v>10045</v>
      </c>
      <c r="AA60" s="49" t="s">
        <v>1223</v>
      </c>
      <c r="AB60" s="39"/>
      <c r="AC60" s="41"/>
      <c r="AD60" s="41"/>
      <c r="AE60" s="41"/>
    </row>
    <row r="61" s="2" customFormat="1" spans="1:31">
      <c r="A61" s="1">
        <v>86</v>
      </c>
      <c r="B61" s="30" t="s">
        <v>1183</v>
      </c>
      <c r="C61" s="3">
        <f>出怪成长!C61</f>
        <v>15</v>
      </c>
      <c r="D61" s="4" t="str">
        <f>出怪成长!D61</f>
        <v>6#30001#1|12#30002#1|15#30001,30004#1</v>
      </c>
      <c r="E61" s="4" t="s">
        <v>1233</v>
      </c>
      <c r="F61" s="48">
        <v>1</v>
      </c>
      <c r="G61" s="49" t="s">
        <v>1221</v>
      </c>
      <c r="H61" s="49">
        <f t="shared" si="12"/>
        <v>10043</v>
      </c>
      <c r="I61" s="49" t="s">
        <v>1222</v>
      </c>
      <c r="J61" s="49">
        <f t="shared" si="13"/>
        <v>10044</v>
      </c>
      <c r="K61" s="49" t="s">
        <v>1223</v>
      </c>
      <c r="L61" s="48">
        <v>2</v>
      </c>
      <c r="M61" s="49" t="s">
        <v>1221</v>
      </c>
      <c r="N61" s="49">
        <f t="shared" si="14"/>
        <v>10043</v>
      </c>
      <c r="O61" s="49" t="s">
        <v>1222</v>
      </c>
      <c r="P61" s="49">
        <f t="shared" si="15"/>
        <v>10044</v>
      </c>
      <c r="Q61" s="49" t="s">
        <v>1222</v>
      </c>
      <c r="R61" s="49">
        <f t="shared" si="16"/>
        <v>10045</v>
      </c>
      <c r="S61" s="49" t="s">
        <v>1223</v>
      </c>
      <c r="T61" s="49">
        <v>3</v>
      </c>
      <c r="U61" s="49" t="s">
        <v>1221</v>
      </c>
      <c r="V61" s="49">
        <v>10043</v>
      </c>
      <c r="W61" s="49" t="s">
        <v>1222</v>
      </c>
      <c r="X61" s="49">
        <v>10044</v>
      </c>
      <c r="Y61" s="49" t="s">
        <v>1222</v>
      </c>
      <c r="Z61" s="49">
        <v>10045</v>
      </c>
      <c r="AA61" s="49" t="s">
        <v>1223</v>
      </c>
      <c r="AB61" s="39"/>
      <c r="AC61" s="41"/>
      <c r="AD61" s="41"/>
      <c r="AE61" s="41"/>
    </row>
    <row r="62" s="2" customFormat="1" spans="1:31">
      <c r="A62" s="1">
        <v>91</v>
      </c>
      <c r="B62" s="30" t="s">
        <v>1184</v>
      </c>
      <c r="C62" s="3">
        <f>出怪成长!C62</f>
        <v>15</v>
      </c>
      <c r="D62" s="4" t="str">
        <f>出怪成长!D62</f>
        <v>6#30001#1|12#30002#1|15#30001,30004#1</v>
      </c>
      <c r="E62" s="4" t="s">
        <v>1234</v>
      </c>
      <c r="F62" s="48">
        <v>1</v>
      </c>
      <c r="G62" s="49" t="s">
        <v>1221</v>
      </c>
      <c r="H62" s="49">
        <f t="shared" si="12"/>
        <v>10043</v>
      </c>
      <c r="I62" s="49" t="s">
        <v>1222</v>
      </c>
      <c r="J62" s="49">
        <f t="shared" si="13"/>
        <v>10044</v>
      </c>
      <c r="K62" s="49" t="s">
        <v>1223</v>
      </c>
      <c r="L62" s="48">
        <v>2</v>
      </c>
      <c r="M62" s="49" t="s">
        <v>1221</v>
      </c>
      <c r="N62" s="49">
        <f t="shared" si="14"/>
        <v>10043</v>
      </c>
      <c r="O62" s="49" t="s">
        <v>1222</v>
      </c>
      <c r="P62" s="49">
        <f t="shared" si="15"/>
        <v>10044</v>
      </c>
      <c r="Q62" s="49" t="s">
        <v>1222</v>
      </c>
      <c r="R62" s="49">
        <f t="shared" si="16"/>
        <v>10045</v>
      </c>
      <c r="S62" s="49" t="s">
        <v>1223</v>
      </c>
      <c r="T62" s="48">
        <v>3</v>
      </c>
      <c r="U62" s="49" t="s">
        <v>1221</v>
      </c>
      <c r="V62" s="49">
        <v>10043</v>
      </c>
      <c r="W62" s="49" t="s">
        <v>1222</v>
      </c>
      <c r="X62" s="49">
        <v>10044</v>
      </c>
      <c r="Y62" s="49" t="s">
        <v>1222</v>
      </c>
      <c r="Z62" s="49">
        <v>10045</v>
      </c>
      <c r="AA62" s="49" t="s">
        <v>1223</v>
      </c>
      <c r="AB62" s="39"/>
      <c r="AC62" s="41"/>
      <c r="AD62" s="41"/>
      <c r="AE62" s="41"/>
    </row>
    <row r="63" s="2" customFormat="1" spans="1:31">
      <c r="A63" s="1">
        <v>92</v>
      </c>
      <c r="B63" s="30" t="s">
        <v>1185</v>
      </c>
      <c r="C63" s="3">
        <f>出怪成长!C63</f>
        <v>15</v>
      </c>
      <c r="D63" s="4" t="str">
        <f>出怪成长!D63</f>
        <v>6#30001#1|12#30002#1|15#30001,30004#1</v>
      </c>
      <c r="E63" s="4" t="s">
        <v>1235</v>
      </c>
      <c r="F63" s="48">
        <v>1</v>
      </c>
      <c r="G63" s="49" t="s">
        <v>1221</v>
      </c>
      <c r="H63" s="49">
        <f t="shared" si="12"/>
        <v>10043</v>
      </c>
      <c r="I63" s="49" t="s">
        <v>1222</v>
      </c>
      <c r="J63" s="49">
        <f t="shared" si="13"/>
        <v>10044</v>
      </c>
      <c r="K63" s="49" t="s">
        <v>1223</v>
      </c>
      <c r="L63" s="48">
        <v>2</v>
      </c>
      <c r="M63" s="49" t="s">
        <v>1221</v>
      </c>
      <c r="N63" s="49">
        <f t="shared" si="14"/>
        <v>10043</v>
      </c>
      <c r="O63" s="49" t="s">
        <v>1222</v>
      </c>
      <c r="P63" s="49">
        <f t="shared" si="15"/>
        <v>10044</v>
      </c>
      <c r="Q63" s="49" t="s">
        <v>1222</v>
      </c>
      <c r="R63" s="49">
        <f t="shared" si="16"/>
        <v>10045</v>
      </c>
      <c r="S63" s="49" t="s">
        <v>1223</v>
      </c>
      <c r="T63" s="49">
        <v>3</v>
      </c>
      <c r="U63" s="49" t="s">
        <v>1221</v>
      </c>
      <c r="V63" s="49">
        <v>10043</v>
      </c>
      <c r="W63" s="49" t="s">
        <v>1222</v>
      </c>
      <c r="X63" s="49">
        <v>10044</v>
      </c>
      <c r="Y63" s="49" t="s">
        <v>1222</v>
      </c>
      <c r="Z63" s="49">
        <v>10045</v>
      </c>
      <c r="AA63" s="49" t="s">
        <v>1223</v>
      </c>
      <c r="AB63" s="39"/>
      <c r="AC63" s="41"/>
      <c r="AD63" s="41"/>
      <c r="AE63" s="41"/>
    </row>
    <row r="64" s="2" customFormat="1" spans="1:31">
      <c r="A64" s="1">
        <v>93</v>
      </c>
      <c r="B64" s="30" t="s">
        <v>1186</v>
      </c>
      <c r="C64" s="3">
        <f>出怪成长!C64</f>
        <v>15</v>
      </c>
      <c r="D64" s="4" t="str">
        <f>出怪成长!D64</f>
        <v>6#30001#1|12#30002#1|15#30001,30004#1</v>
      </c>
      <c r="E64" s="4" t="s">
        <v>1236</v>
      </c>
      <c r="F64" s="48">
        <v>1</v>
      </c>
      <c r="G64" s="49" t="s">
        <v>1221</v>
      </c>
      <c r="H64" s="49">
        <f t="shared" si="12"/>
        <v>10043</v>
      </c>
      <c r="I64" s="49" t="s">
        <v>1222</v>
      </c>
      <c r="J64" s="49">
        <f t="shared" si="13"/>
        <v>10044</v>
      </c>
      <c r="K64" s="49" t="s">
        <v>1223</v>
      </c>
      <c r="L64" s="48">
        <v>2</v>
      </c>
      <c r="M64" s="49" t="s">
        <v>1221</v>
      </c>
      <c r="N64" s="49">
        <f t="shared" si="14"/>
        <v>10043</v>
      </c>
      <c r="O64" s="49" t="s">
        <v>1222</v>
      </c>
      <c r="P64" s="49">
        <f t="shared" si="15"/>
        <v>10044</v>
      </c>
      <c r="Q64" s="49" t="s">
        <v>1222</v>
      </c>
      <c r="R64" s="49">
        <f t="shared" si="16"/>
        <v>10045</v>
      </c>
      <c r="S64" s="49" t="s">
        <v>1223</v>
      </c>
      <c r="T64" s="48">
        <v>3</v>
      </c>
      <c r="U64" s="49" t="s">
        <v>1221</v>
      </c>
      <c r="V64" s="49">
        <v>10043</v>
      </c>
      <c r="W64" s="49" t="s">
        <v>1222</v>
      </c>
      <c r="X64" s="49">
        <v>10044</v>
      </c>
      <c r="Y64" s="49" t="s">
        <v>1222</v>
      </c>
      <c r="Z64" s="49">
        <v>10045</v>
      </c>
      <c r="AA64" s="49" t="s">
        <v>1223</v>
      </c>
      <c r="AB64" s="39"/>
      <c r="AC64" s="41"/>
      <c r="AD64" s="41"/>
      <c r="AE64" s="41"/>
    </row>
    <row r="65" s="2" customFormat="1" spans="1:31">
      <c r="A65" s="1">
        <v>94</v>
      </c>
      <c r="B65" s="30" t="s">
        <v>1187</v>
      </c>
      <c r="C65" s="3">
        <f>出怪成长!C65</f>
        <v>15</v>
      </c>
      <c r="D65" s="4" t="str">
        <f>出怪成长!D65</f>
        <v>6#30001#1|12#30002#1|15#30001,30004#1</v>
      </c>
      <c r="E65" s="4" t="s">
        <v>1237</v>
      </c>
      <c r="F65" s="48">
        <v>1</v>
      </c>
      <c r="G65" s="49" t="s">
        <v>1221</v>
      </c>
      <c r="H65" s="49">
        <f t="shared" si="12"/>
        <v>10043</v>
      </c>
      <c r="I65" s="49" t="s">
        <v>1222</v>
      </c>
      <c r="J65" s="49">
        <f t="shared" si="13"/>
        <v>10044</v>
      </c>
      <c r="K65" s="49" t="s">
        <v>1223</v>
      </c>
      <c r="L65" s="48">
        <v>2</v>
      </c>
      <c r="M65" s="49" t="s">
        <v>1221</v>
      </c>
      <c r="N65" s="49">
        <f t="shared" si="14"/>
        <v>10043</v>
      </c>
      <c r="O65" s="49" t="s">
        <v>1222</v>
      </c>
      <c r="P65" s="49">
        <f t="shared" si="15"/>
        <v>10044</v>
      </c>
      <c r="Q65" s="49" t="s">
        <v>1222</v>
      </c>
      <c r="R65" s="49">
        <f t="shared" si="16"/>
        <v>10045</v>
      </c>
      <c r="S65" s="49" t="s">
        <v>1223</v>
      </c>
      <c r="T65" s="49">
        <v>3</v>
      </c>
      <c r="U65" s="49" t="s">
        <v>1221</v>
      </c>
      <c r="V65" s="49">
        <v>10043</v>
      </c>
      <c r="W65" s="49" t="s">
        <v>1222</v>
      </c>
      <c r="X65" s="49">
        <v>10044</v>
      </c>
      <c r="Y65" s="49" t="s">
        <v>1222</v>
      </c>
      <c r="Z65" s="49">
        <v>10045</v>
      </c>
      <c r="AA65" s="49" t="s">
        <v>1223</v>
      </c>
      <c r="AB65" s="39"/>
      <c r="AC65" s="41"/>
      <c r="AD65" s="41"/>
      <c r="AE65" s="41"/>
    </row>
    <row r="66" s="2" customFormat="1" spans="1:31">
      <c r="A66" s="1">
        <v>95</v>
      </c>
      <c r="B66" s="30" t="s">
        <v>1188</v>
      </c>
      <c r="C66" s="3">
        <f>出怪成长!C66</f>
        <v>15</v>
      </c>
      <c r="D66" s="4" t="str">
        <f>出怪成长!D66</f>
        <v>6#30001#1|12#30002#1|15#30001,30004#1</v>
      </c>
      <c r="E66" s="4" t="s">
        <v>1238</v>
      </c>
      <c r="F66" s="48">
        <v>1</v>
      </c>
      <c r="G66" s="49" t="s">
        <v>1221</v>
      </c>
      <c r="H66" s="49">
        <f t="shared" si="12"/>
        <v>10043</v>
      </c>
      <c r="I66" s="49" t="s">
        <v>1222</v>
      </c>
      <c r="J66" s="49">
        <f t="shared" si="13"/>
        <v>10044</v>
      </c>
      <c r="K66" s="49" t="s">
        <v>1223</v>
      </c>
      <c r="L66" s="48">
        <v>2</v>
      </c>
      <c r="M66" s="49" t="s">
        <v>1221</v>
      </c>
      <c r="N66" s="49">
        <f t="shared" si="14"/>
        <v>10043</v>
      </c>
      <c r="O66" s="49" t="s">
        <v>1222</v>
      </c>
      <c r="P66" s="49">
        <f t="shared" si="15"/>
        <v>10044</v>
      </c>
      <c r="Q66" s="49" t="s">
        <v>1222</v>
      </c>
      <c r="R66" s="49">
        <f t="shared" si="16"/>
        <v>10045</v>
      </c>
      <c r="S66" s="49" t="s">
        <v>1223</v>
      </c>
      <c r="T66" s="48">
        <v>3</v>
      </c>
      <c r="U66" s="49" t="s">
        <v>1221</v>
      </c>
      <c r="V66" s="49">
        <v>10043</v>
      </c>
      <c r="W66" s="49" t="s">
        <v>1222</v>
      </c>
      <c r="X66" s="49">
        <v>10044</v>
      </c>
      <c r="Y66" s="49" t="s">
        <v>1222</v>
      </c>
      <c r="Z66" s="49">
        <v>10045</v>
      </c>
      <c r="AA66" s="49" t="s">
        <v>1223</v>
      </c>
      <c r="AB66" s="39"/>
      <c r="AC66" s="41"/>
      <c r="AD66" s="41"/>
      <c r="AE66" s="41"/>
    </row>
    <row r="67" s="2" customFormat="1" spans="1:31">
      <c r="A67" s="1">
        <v>96</v>
      </c>
      <c r="B67" s="30" t="s">
        <v>1189</v>
      </c>
      <c r="C67" s="3">
        <f>出怪成长!C67</f>
        <v>15</v>
      </c>
      <c r="D67" s="4" t="str">
        <f>出怪成长!D67</f>
        <v>6#30001#1|12#30002#1|15#30001,30004#1</v>
      </c>
      <c r="E67" s="4" t="s">
        <v>1239</v>
      </c>
      <c r="F67" s="48">
        <v>1</v>
      </c>
      <c r="G67" s="49" t="s">
        <v>1221</v>
      </c>
      <c r="H67" s="49">
        <f t="shared" si="12"/>
        <v>10043</v>
      </c>
      <c r="I67" s="49" t="s">
        <v>1222</v>
      </c>
      <c r="J67" s="49">
        <f t="shared" si="13"/>
        <v>10044</v>
      </c>
      <c r="K67" s="49" t="s">
        <v>1223</v>
      </c>
      <c r="L67" s="48">
        <v>2</v>
      </c>
      <c r="M67" s="49" t="s">
        <v>1221</v>
      </c>
      <c r="N67" s="49">
        <f t="shared" si="14"/>
        <v>10043</v>
      </c>
      <c r="O67" s="49" t="s">
        <v>1222</v>
      </c>
      <c r="P67" s="49">
        <f t="shared" si="15"/>
        <v>10044</v>
      </c>
      <c r="Q67" s="49" t="s">
        <v>1222</v>
      </c>
      <c r="R67" s="49">
        <f t="shared" si="16"/>
        <v>10045</v>
      </c>
      <c r="S67" s="49" t="s">
        <v>1223</v>
      </c>
      <c r="T67" s="49">
        <v>3</v>
      </c>
      <c r="U67" s="49" t="s">
        <v>1221</v>
      </c>
      <c r="V67" s="49">
        <v>10043</v>
      </c>
      <c r="W67" s="49" t="s">
        <v>1222</v>
      </c>
      <c r="X67" s="49">
        <v>10044</v>
      </c>
      <c r="Y67" s="49" t="s">
        <v>1222</v>
      </c>
      <c r="Z67" s="49">
        <v>10045</v>
      </c>
      <c r="AA67" s="49" t="s">
        <v>1223</v>
      </c>
      <c r="AB67" s="39"/>
      <c r="AC67" s="41"/>
      <c r="AD67" s="41"/>
      <c r="AE67" s="41"/>
    </row>
    <row r="68" s="2" customFormat="1" spans="1:31">
      <c r="A68" s="1">
        <v>101</v>
      </c>
      <c r="B68" s="30" t="s">
        <v>1190</v>
      </c>
      <c r="C68" s="3">
        <f>出怪成长!C68</f>
        <v>15</v>
      </c>
      <c r="D68" s="4" t="str">
        <f>出怪成长!D68</f>
        <v>6#30001#1|12#30002#1|15#30001,30004#1</v>
      </c>
      <c r="E68" s="4" t="s">
        <v>1240</v>
      </c>
      <c r="F68" s="48">
        <v>1</v>
      </c>
      <c r="G68" s="49" t="s">
        <v>1221</v>
      </c>
      <c r="H68" s="49">
        <f t="shared" si="12"/>
        <v>10043</v>
      </c>
      <c r="I68" s="49" t="s">
        <v>1222</v>
      </c>
      <c r="J68" s="49">
        <f t="shared" si="13"/>
        <v>10044</v>
      </c>
      <c r="K68" s="49" t="s">
        <v>1223</v>
      </c>
      <c r="L68" s="48">
        <v>2</v>
      </c>
      <c r="M68" s="49" t="s">
        <v>1221</v>
      </c>
      <c r="N68" s="49">
        <f t="shared" si="14"/>
        <v>10043</v>
      </c>
      <c r="O68" s="49" t="s">
        <v>1222</v>
      </c>
      <c r="P68" s="49">
        <f t="shared" si="15"/>
        <v>10044</v>
      </c>
      <c r="Q68" s="49" t="s">
        <v>1222</v>
      </c>
      <c r="R68" s="49">
        <f t="shared" si="16"/>
        <v>10045</v>
      </c>
      <c r="S68" s="49" t="s">
        <v>1223</v>
      </c>
      <c r="T68" s="48">
        <v>3</v>
      </c>
      <c r="U68" s="49" t="s">
        <v>1221</v>
      </c>
      <c r="V68" s="49">
        <v>10043</v>
      </c>
      <c r="W68" s="49" t="s">
        <v>1222</v>
      </c>
      <c r="X68" s="49">
        <v>10044</v>
      </c>
      <c r="Y68" s="49" t="s">
        <v>1222</v>
      </c>
      <c r="Z68" s="49">
        <v>10045</v>
      </c>
      <c r="AA68" s="49" t="s">
        <v>1223</v>
      </c>
      <c r="AB68" s="39"/>
      <c r="AC68" s="41"/>
      <c r="AD68" s="41"/>
      <c r="AE68" s="41"/>
    </row>
    <row r="69" s="2" customFormat="1" spans="1:31">
      <c r="A69" s="1">
        <v>102</v>
      </c>
      <c r="B69" s="30" t="s">
        <v>1191</v>
      </c>
      <c r="C69" s="3">
        <f>出怪成长!C69</f>
        <v>15</v>
      </c>
      <c r="D69" s="4" t="str">
        <f>出怪成长!D69</f>
        <v>6#30001#1|12#30002#1|15#30001,30004#1</v>
      </c>
      <c r="E69" s="4" t="s">
        <v>1241</v>
      </c>
      <c r="F69" s="48">
        <v>1</v>
      </c>
      <c r="G69" s="49" t="s">
        <v>1221</v>
      </c>
      <c r="H69" s="49">
        <f t="shared" si="12"/>
        <v>10043</v>
      </c>
      <c r="I69" s="49" t="s">
        <v>1222</v>
      </c>
      <c r="J69" s="49">
        <f t="shared" si="13"/>
        <v>10044</v>
      </c>
      <c r="K69" s="49" t="s">
        <v>1223</v>
      </c>
      <c r="L69" s="48">
        <v>2</v>
      </c>
      <c r="M69" s="49" t="s">
        <v>1221</v>
      </c>
      <c r="N69" s="49">
        <f t="shared" si="14"/>
        <v>10043</v>
      </c>
      <c r="O69" s="49" t="s">
        <v>1222</v>
      </c>
      <c r="P69" s="49">
        <f t="shared" si="15"/>
        <v>10044</v>
      </c>
      <c r="Q69" s="49" t="s">
        <v>1222</v>
      </c>
      <c r="R69" s="49">
        <f t="shared" si="16"/>
        <v>10045</v>
      </c>
      <c r="S69" s="49" t="s">
        <v>1223</v>
      </c>
      <c r="T69" s="49">
        <v>3</v>
      </c>
      <c r="U69" s="49" t="s">
        <v>1221</v>
      </c>
      <c r="V69" s="49">
        <v>10043</v>
      </c>
      <c r="W69" s="49" t="s">
        <v>1222</v>
      </c>
      <c r="X69" s="49">
        <v>10044</v>
      </c>
      <c r="Y69" s="49" t="s">
        <v>1222</v>
      </c>
      <c r="Z69" s="49">
        <v>10045</v>
      </c>
      <c r="AA69" s="49" t="s">
        <v>1223</v>
      </c>
      <c r="AB69" s="39"/>
      <c r="AC69" s="41"/>
      <c r="AD69" s="41"/>
      <c r="AE69" s="41"/>
    </row>
    <row r="70" s="2" customFormat="1" spans="1:31">
      <c r="A70" s="1">
        <v>103</v>
      </c>
      <c r="B70" s="30" t="s">
        <v>1192</v>
      </c>
      <c r="C70" s="3">
        <f>出怪成长!C70</f>
        <v>15</v>
      </c>
      <c r="D70" s="4" t="str">
        <f>出怪成长!D70</f>
        <v>6#30001#1|12#30002#1|15#30001,30004#1</v>
      </c>
      <c r="E70" s="4" t="s">
        <v>1242</v>
      </c>
      <c r="F70" s="48">
        <v>1</v>
      </c>
      <c r="G70" s="49" t="s">
        <v>1221</v>
      </c>
      <c r="H70" s="49">
        <f t="shared" si="12"/>
        <v>10043</v>
      </c>
      <c r="I70" s="49" t="s">
        <v>1222</v>
      </c>
      <c r="J70" s="49">
        <f t="shared" si="13"/>
        <v>10044</v>
      </c>
      <c r="K70" s="49" t="s">
        <v>1223</v>
      </c>
      <c r="L70" s="48">
        <v>2</v>
      </c>
      <c r="M70" s="49" t="s">
        <v>1221</v>
      </c>
      <c r="N70" s="49">
        <f t="shared" si="14"/>
        <v>10043</v>
      </c>
      <c r="O70" s="49" t="s">
        <v>1222</v>
      </c>
      <c r="P70" s="49">
        <f t="shared" si="15"/>
        <v>10044</v>
      </c>
      <c r="Q70" s="49" t="s">
        <v>1222</v>
      </c>
      <c r="R70" s="49">
        <f t="shared" si="16"/>
        <v>10045</v>
      </c>
      <c r="S70" s="49" t="s">
        <v>1223</v>
      </c>
      <c r="T70" s="48">
        <v>3</v>
      </c>
      <c r="U70" s="49" t="s">
        <v>1221</v>
      </c>
      <c r="V70" s="49">
        <v>10043</v>
      </c>
      <c r="W70" s="49" t="s">
        <v>1222</v>
      </c>
      <c r="X70" s="49">
        <v>10044</v>
      </c>
      <c r="Y70" s="49" t="s">
        <v>1222</v>
      </c>
      <c r="Z70" s="49">
        <v>10045</v>
      </c>
      <c r="AA70" s="49" t="s">
        <v>1223</v>
      </c>
      <c r="AB70" s="39"/>
      <c r="AC70" s="41"/>
      <c r="AD70" s="41"/>
      <c r="AE70" s="41"/>
    </row>
    <row r="71" s="2" customFormat="1" spans="1:31">
      <c r="A71" s="1">
        <v>104</v>
      </c>
      <c r="B71" s="30" t="s">
        <v>1193</v>
      </c>
      <c r="C71" s="3">
        <f>出怪成长!C71</f>
        <v>15</v>
      </c>
      <c r="D71" s="4" t="str">
        <f>出怪成长!D71</f>
        <v>6#30001#1|12#30002#1|15#30001,30004#1</v>
      </c>
      <c r="E71" s="4" t="s">
        <v>1243</v>
      </c>
      <c r="F71" s="48">
        <v>1</v>
      </c>
      <c r="G71" s="49" t="s">
        <v>1221</v>
      </c>
      <c r="H71" s="49">
        <f t="shared" si="12"/>
        <v>10043</v>
      </c>
      <c r="I71" s="49" t="s">
        <v>1222</v>
      </c>
      <c r="J71" s="49">
        <f t="shared" si="13"/>
        <v>10044</v>
      </c>
      <c r="K71" s="49" t="s">
        <v>1223</v>
      </c>
      <c r="L71" s="48">
        <v>2</v>
      </c>
      <c r="M71" s="49" t="s">
        <v>1221</v>
      </c>
      <c r="N71" s="49">
        <f t="shared" si="14"/>
        <v>10043</v>
      </c>
      <c r="O71" s="49" t="s">
        <v>1222</v>
      </c>
      <c r="P71" s="49">
        <f t="shared" si="15"/>
        <v>10044</v>
      </c>
      <c r="Q71" s="49" t="s">
        <v>1222</v>
      </c>
      <c r="R71" s="49">
        <f t="shared" si="16"/>
        <v>10045</v>
      </c>
      <c r="S71" s="49" t="s">
        <v>1223</v>
      </c>
      <c r="T71" s="49">
        <v>3</v>
      </c>
      <c r="U71" s="49" t="s">
        <v>1221</v>
      </c>
      <c r="V71" s="49">
        <v>10043</v>
      </c>
      <c r="W71" s="49" t="s">
        <v>1222</v>
      </c>
      <c r="X71" s="49">
        <v>10044</v>
      </c>
      <c r="Y71" s="49" t="s">
        <v>1222</v>
      </c>
      <c r="Z71" s="49">
        <v>10045</v>
      </c>
      <c r="AA71" s="49" t="s">
        <v>1223</v>
      </c>
      <c r="AB71" s="39"/>
      <c r="AC71" s="41"/>
      <c r="AD71" s="41"/>
      <c r="AE71" s="41"/>
    </row>
    <row r="72" s="2" customFormat="1" spans="1:31">
      <c r="A72" s="1">
        <v>105</v>
      </c>
      <c r="B72" s="30" t="s">
        <v>1194</v>
      </c>
      <c r="C72" s="3">
        <f>出怪成长!C72</f>
        <v>15</v>
      </c>
      <c r="D72" s="4" t="str">
        <f>出怪成长!D72</f>
        <v>6#30001#1|12#30002#1|15#30001,30004#1</v>
      </c>
      <c r="E72" s="4" t="s">
        <v>1244</v>
      </c>
      <c r="F72" s="48">
        <v>1</v>
      </c>
      <c r="G72" s="49" t="s">
        <v>1221</v>
      </c>
      <c r="H72" s="49">
        <f t="shared" si="12"/>
        <v>10043</v>
      </c>
      <c r="I72" s="49" t="s">
        <v>1222</v>
      </c>
      <c r="J72" s="49">
        <f t="shared" si="13"/>
        <v>10044</v>
      </c>
      <c r="K72" s="49" t="s">
        <v>1223</v>
      </c>
      <c r="L72" s="48">
        <v>2</v>
      </c>
      <c r="M72" s="49" t="s">
        <v>1221</v>
      </c>
      <c r="N72" s="49">
        <f t="shared" si="14"/>
        <v>10043</v>
      </c>
      <c r="O72" s="49" t="s">
        <v>1222</v>
      </c>
      <c r="P72" s="49">
        <f t="shared" si="15"/>
        <v>10044</v>
      </c>
      <c r="Q72" s="49" t="s">
        <v>1222</v>
      </c>
      <c r="R72" s="49">
        <f t="shared" si="16"/>
        <v>10045</v>
      </c>
      <c r="S72" s="49" t="s">
        <v>1223</v>
      </c>
      <c r="T72" s="48">
        <v>3</v>
      </c>
      <c r="U72" s="49" t="s">
        <v>1221</v>
      </c>
      <c r="V72" s="49">
        <v>10043</v>
      </c>
      <c r="W72" s="49" t="s">
        <v>1222</v>
      </c>
      <c r="X72" s="49">
        <v>10044</v>
      </c>
      <c r="Y72" s="49" t="s">
        <v>1222</v>
      </c>
      <c r="Z72" s="49">
        <v>10045</v>
      </c>
      <c r="AA72" s="49" t="s">
        <v>1223</v>
      </c>
      <c r="AB72" s="39"/>
      <c r="AC72" s="41"/>
      <c r="AD72" s="41"/>
      <c r="AE72" s="41"/>
    </row>
    <row r="73" s="2" customFormat="1" spans="1:31">
      <c r="A73" s="1">
        <v>106</v>
      </c>
      <c r="B73" s="30" t="s">
        <v>1195</v>
      </c>
      <c r="C73" s="3">
        <f>出怪成长!C73</f>
        <v>15</v>
      </c>
      <c r="D73" s="4" t="str">
        <f>出怪成长!D73</f>
        <v>6#30001#1|12#30002#1|15#30001,30004#1</v>
      </c>
      <c r="E73" s="4" t="s">
        <v>1245</v>
      </c>
      <c r="F73" s="48">
        <v>1</v>
      </c>
      <c r="G73" s="49" t="s">
        <v>1221</v>
      </c>
      <c r="H73" s="49">
        <f t="shared" si="12"/>
        <v>10043</v>
      </c>
      <c r="I73" s="49" t="s">
        <v>1222</v>
      </c>
      <c r="J73" s="49">
        <f t="shared" si="13"/>
        <v>10044</v>
      </c>
      <c r="K73" s="49" t="s">
        <v>1223</v>
      </c>
      <c r="L73" s="48">
        <v>2</v>
      </c>
      <c r="M73" s="49" t="s">
        <v>1221</v>
      </c>
      <c r="N73" s="49">
        <f t="shared" si="14"/>
        <v>10043</v>
      </c>
      <c r="O73" s="49" t="s">
        <v>1222</v>
      </c>
      <c r="P73" s="49">
        <f t="shared" si="15"/>
        <v>10044</v>
      </c>
      <c r="Q73" s="49" t="s">
        <v>1222</v>
      </c>
      <c r="R73" s="49">
        <f t="shared" si="16"/>
        <v>10045</v>
      </c>
      <c r="S73" s="49" t="s">
        <v>1223</v>
      </c>
      <c r="T73" s="49">
        <v>3</v>
      </c>
      <c r="U73" s="49" t="s">
        <v>1221</v>
      </c>
      <c r="V73" s="49">
        <v>10043</v>
      </c>
      <c r="W73" s="49" t="s">
        <v>1222</v>
      </c>
      <c r="X73" s="49">
        <v>10044</v>
      </c>
      <c r="Y73" s="49" t="s">
        <v>1222</v>
      </c>
      <c r="Z73" s="49">
        <v>10045</v>
      </c>
      <c r="AA73" s="49" t="s">
        <v>1223</v>
      </c>
      <c r="AB73" s="39"/>
      <c r="AC73" s="41"/>
      <c r="AD73" s="41"/>
      <c r="AE73" s="41"/>
    </row>
    <row r="74" s="2" customFormat="1" spans="1:31">
      <c r="A74" s="1">
        <v>111</v>
      </c>
      <c r="B74" s="30" t="s">
        <v>1196</v>
      </c>
      <c r="C74" s="3">
        <f>出怪成长!C74</f>
        <v>15</v>
      </c>
      <c r="D74" s="4" t="str">
        <f>出怪成长!D74</f>
        <v>6#30001#1|12#30002#1|15#30001,30004#1</v>
      </c>
      <c r="E74" s="4" t="s">
        <v>1246</v>
      </c>
      <c r="F74" s="48">
        <v>1</v>
      </c>
      <c r="G74" s="49" t="s">
        <v>1221</v>
      </c>
      <c r="H74" s="49">
        <f t="shared" ref="H74:H97" si="17">N73</f>
        <v>10043</v>
      </c>
      <c r="I74" s="49" t="s">
        <v>1222</v>
      </c>
      <c r="J74" s="49">
        <f t="shared" ref="J74:J97" si="18">P73</f>
        <v>10044</v>
      </c>
      <c r="K74" s="49" t="s">
        <v>1223</v>
      </c>
      <c r="L74" s="48">
        <v>2</v>
      </c>
      <c r="M74" s="49" t="s">
        <v>1221</v>
      </c>
      <c r="N74" s="49">
        <f t="shared" ref="N74:N97" si="19">V73</f>
        <v>10043</v>
      </c>
      <c r="O74" s="49" t="s">
        <v>1222</v>
      </c>
      <c r="P74" s="49">
        <f t="shared" ref="P74:P97" si="20">X73</f>
        <v>10044</v>
      </c>
      <c r="Q74" s="49" t="s">
        <v>1222</v>
      </c>
      <c r="R74" s="49">
        <f t="shared" ref="R74:R97" si="21">Z73</f>
        <v>10045</v>
      </c>
      <c r="S74" s="49" t="s">
        <v>1223</v>
      </c>
      <c r="T74" s="48">
        <v>3</v>
      </c>
      <c r="U74" s="49" t="s">
        <v>1221</v>
      </c>
      <c r="V74" s="49">
        <v>10043</v>
      </c>
      <c r="W74" s="49" t="s">
        <v>1222</v>
      </c>
      <c r="X74" s="49">
        <v>10044</v>
      </c>
      <c r="Y74" s="49" t="s">
        <v>1222</v>
      </c>
      <c r="Z74" s="49">
        <v>10045</v>
      </c>
      <c r="AA74" s="49" t="s">
        <v>1223</v>
      </c>
      <c r="AB74" s="39"/>
      <c r="AC74" s="41"/>
      <c r="AD74" s="41"/>
      <c r="AE74" s="41"/>
    </row>
    <row r="75" s="2" customFormat="1" spans="1:31">
      <c r="A75" s="1">
        <v>112</v>
      </c>
      <c r="B75" s="30" t="s">
        <v>1197</v>
      </c>
      <c r="C75" s="3">
        <f>出怪成长!C75</f>
        <v>15</v>
      </c>
      <c r="D75" s="4" t="str">
        <f>出怪成长!D75</f>
        <v>6#30001#1|12#30002#1|15#30001,30004#1</v>
      </c>
      <c r="E75" s="4" t="s">
        <v>1247</v>
      </c>
      <c r="F75" s="48">
        <v>1</v>
      </c>
      <c r="G75" s="49" t="s">
        <v>1221</v>
      </c>
      <c r="H75" s="49">
        <f t="shared" si="17"/>
        <v>10043</v>
      </c>
      <c r="I75" s="49" t="s">
        <v>1222</v>
      </c>
      <c r="J75" s="49">
        <f t="shared" si="18"/>
        <v>10044</v>
      </c>
      <c r="K75" s="49" t="s">
        <v>1223</v>
      </c>
      <c r="L75" s="48">
        <v>2</v>
      </c>
      <c r="M75" s="49" t="s">
        <v>1221</v>
      </c>
      <c r="N75" s="49">
        <f t="shared" si="19"/>
        <v>10043</v>
      </c>
      <c r="O75" s="49" t="s">
        <v>1222</v>
      </c>
      <c r="P75" s="49">
        <f t="shared" si="20"/>
        <v>10044</v>
      </c>
      <c r="Q75" s="49" t="s">
        <v>1222</v>
      </c>
      <c r="R75" s="49">
        <f t="shared" si="21"/>
        <v>10045</v>
      </c>
      <c r="S75" s="49" t="s">
        <v>1223</v>
      </c>
      <c r="T75" s="49">
        <v>3</v>
      </c>
      <c r="U75" s="49" t="s">
        <v>1221</v>
      </c>
      <c r="V75" s="49">
        <v>10043</v>
      </c>
      <c r="W75" s="49" t="s">
        <v>1222</v>
      </c>
      <c r="X75" s="49">
        <v>10044</v>
      </c>
      <c r="Y75" s="49" t="s">
        <v>1222</v>
      </c>
      <c r="Z75" s="49">
        <v>10045</v>
      </c>
      <c r="AA75" s="49" t="s">
        <v>1223</v>
      </c>
      <c r="AB75" s="39"/>
      <c r="AC75" s="41"/>
      <c r="AD75" s="41"/>
      <c r="AE75" s="41"/>
    </row>
    <row r="76" s="2" customFormat="1" spans="1:31">
      <c r="A76" s="1">
        <v>113</v>
      </c>
      <c r="B76" s="30" t="s">
        <v>1198</v>
      </c>
      <c r="C76" s="3">
        <f>出怪成长!C76</f>
        <v>15</v>
      </c>
      <c r="D76" s="4" t="str">
        <f>出怪成长!D76</f>
        <v>6#30001#1|12#30002#1|15#30001,30004#1</v>
      </c>
      <c r="E76" s="4" t="s">
        <v>1248</v>
      </c>
      <c r="F76" s="48">
        <v>1</v>
      </c>
      <c r="G76" s="49" t="s">
        <v>1221</v>
      </c>
      <c r="H76" s="49">
        <f t="shared" si="17"/>
        <v>10043</v>
      </c>
      <c r="I76" s="49" t="s">
        <v>1222</v>
      </c>
      <c r="J76" s="49">
        <f t="shared" si="18"/>
        <v>10044</v>
      </c>
      <c r="K76" s="49" t="s">
        <v>1223</v>
      </c>
      <c r="L76" s="48">
        <v>2</v>
      </c>
      <c r="M76" s="49" t="s">
        <v>1221</v>
      </c>
      <c r="N76" s="49">
        <f t="shared" si="19"/>
        <v>10043</v>
      </c>
      <c r="O76" s="49" t="s">
        <v>1222</v>
      </c>
      <c r="P76" s="49">
        <f t="shared" si="20"/>
        <v>10044</v>
      </c>
      <c r="Q76" s="49" t="s">
        <v>1222</v>
      </c>
      <c r="R76" s="49">
        <f t="shared" si="21"/>
        <v>10045</v>
      </c>
      <c r="S76" s="49" t="s">
        <v>1223</v>
      </c>
      <c r="T76" s="48">
        <v>3</v>
      </c>
      <c r="U76" s="49" t="s">
        <v>1221</v>
      </c>
      <c r="V76" s="49">
        <v>10043</v>
      </c>
      <c r="W76" s="49" t="s">
        <v>1222</v>
      </c>
      <c r="X76" s="49">
        <v>10044</v>
      </c>
      <c r="Y76" s="49" t="s">
        <v>1222</v>
      </c>
      <c r="Z76" s="49">
        <v>10045</v>
      </c>
      <c r="AA76" s="49" t="s">
        <v>1223</v>
      </c>
      <c r="AB76" s="39"/>
      <c r="AC76" s="41"/>
      <c r="AD76" s="41"/>
      <c r="AE76" s="41"/>
    </row>
    <row r="77" s="2" customFormat="1" spans="1:31">
      <c r="A77" s="1">
        <v>114</v>
      </c>
      <c r="B77" s="30" t="s">
        <v>1199</v>
      </c>
      <c r="C77" s="3">
        <f>出怪成长!C77</f>
        <v>15</v>
      </c>
      <c r="D77" s="4" t="str">
        <f>出怪成长!D77</f>
        <v>6#30001#1|12#30002#1|15#30001,30004#1</v>
      </c>
      <c r="E77" s="4" t="s">
        <v>1249</v>
      </c>
      <c r="F77" s="48">
        <v>1</v>
      </c>
      <c r="G77" s="49" t="s">
        <v>1221</v>
      </c>
      <c r="H77" s="49">
        <f t="shared" si="17"/>
        <v>10043</v>
      </c>
      <c r="I77" s="49" t="s">
        <v>1222</v>
      </c>
      <c r="J77" s="49">
        <f t="shared" si="18"/>
        <v>10044</v>
      </c>
      <c r="K77" s="49" t="s">
        <v>1223</v>
      </c>
      <c r="L77" s="48">
        <v>2</v>
      </c>
      <c r="M77" s="49" t="s">
        <v>1221</v>
      </c>
      <c r="N77" s="49">
        <f t="shared" si="19"/>
        <v>10043</v>
      </c>
      <c r="O77" s="49" t="s">
        <v>1222</v>
      </c>
      <c r="P77" s="49">
        <f t="shared" si="20"/>
        <v>10044</v>
      </c>
      <c r="Q77" s="49" t="s">
        <v>1222</v>
      </c>
      <c r="R77" s="49">
        <f t="shared" si="21"/>
        <v>10045</v>
      </c>
      <c r="S77" s="49" t="s">
        <v>1223</v>
      </c>
      <c r="T77" s="49">
        <v>3</v>
      </c>
      <c r="U77" s="49" t="s">
        <v>1221</v>
      </c>
      <c r="V77" s="49">
        <v>10043</v>
      </c>
      <c r="W77" s="49" t="s">
        <v>1222</v>
      </c>
      <c r="X77" s="49">
        <v>10044</v>
      </c>
      <c r="Y77" s="49" t="s">
        <v>1222</v>
      </c>
      <c r="Z77" s="49">
        <v>10045</v>
      </c>
      <c r="AA77" s="49" t="s">
        <v>1223</v>
      </c>
      <c r="AB77" s="39"/>
      <c r="AC77" s="41"/>
      <c r="AD77" s="41"/>
      <c r="AE77" s="41"/>
    </row>
    <row r="78" s="2" customFormat="1" spans="1:31">
      <c r="A78" s="1">
        <v>115</v>
      </c>
      <c r="B78" s="30" t="s">
        <v>1200</v>
      </c>
      <c r="C78" s="3">
        <f>出怪成长!C78</f>
        <v>15</v>
      </c>
      <c r="D78" s="4" t="str">
        <f>出怪成长!D78</f>
        <v>6#30001#1|12#30002#1|15#30001,30004#1</v>
      </c>
      <c r="E78" s="4" t="s">
        <v>1250</v>
      </c>
      <c r="F78" s="48">
        <v>1</v>
      </c>
      <c r="G78" s="49" t="s">
        <v>1221</v>
      </c>
      <c r="H78" s="49">
        <f t="shared" si="17"/>
        <v>10043</v>
      </c>
      <c r="I78" s="49" t="s">
        <v>1222</v>
      </c>
      <c r="J78" s="49">
        <f t="shared" si="18"/>
        <v>10044</v>
      </c>
      <c r="K78" s="49" t="s">
        <v>1223</v>
      </c>
      <c r="L78" s="48">
        <v>2</v>
      </c>
      <c r="M78" s="49" t="s">
        <v>1221</v>
      </c>
      <c r="N78" s="49">
        <f t="shared" si="19"/>
        <v>10043</v>
      </c>
      <c r="O78" s="49" t="s">
        <v>1222</v>
      </c>
      <c r="P78" s="49">
        <f t="shared" si="20"/>
        <v>10044</v>
      </c>
      <c r="Q78" s="49" t="s">
        <v>1222</v>
      </c>
      <c r="R78" s="49">
        <f t="shared" si="21"/>
        <v>10045</v>
      </c>
      <c r="S78" s="49" t="s">
        <v>1223</v>
      </c>
      <c r="T78" s="48">
        <v>3</v>
      </c>
      <c r="U78" s="49" t="s">
        <v>1221</v>
      </c>
      <c r="V78" s="49">
        <v>10043</v>
      </c>
      <c r="W78" s="49" t="s">
        <v>1222</v>
      </c>
      <c r="X78" s="49">
        <v>10044</v>
      </c>
      <c r="Y78" s="49" t="s">
        <v>1222</v>
      </c>
      <c r="Z78" s="49">
        <v>10045</v>
      </c>
      <c r="AA78" s="49" t="s">
        <v>1223</v>
      </c>
      <c r="AB78" s="39"/>
      <c r="AC78" s="41"/>
      <c r="AD78" s="41"/>
      <c r="AE78" s="41"/>
    </row>
    <row r="79" s="2" customFormat="1" spans="1:31">
      <c r="A79" s="1">
        <v>116</v>
      </c>
      <c r="B79" s="30" t="s">
        <v>1201</v>
      </c>
      <c r="C79" s="3">
        <f>出怪成长!C79</f>
        <v>15</v>
      </c>
      <c r="D79" s="4" t="str">
        <f>出怪成长!D79</f>
        <v>6#30001#1|12#30002#1|15#30001,30004#1</v>
      </c>
      <c r="E79" s="4" t="s">
        <v>1251</v>
      </c>
      <c r="F79" s="48">
        <v>1</v>
      </c>
      <c r="G79" s="49" t="s">
        <v>1221</v>
      </c>
      <c r="H79" s="49">
        <f t="shared" si="17"/>
        <v>10043</v>
      </c>
      <c r="I79" s="49" t="s">
        <v>1222</v>
      </c>
      <c r="J79" s="49">
        <f t="shared" si="18"/>
        <v>10044</v>
      </c>
      <c r="K79" s="49" t="s">
        <v>1223</v>
      </c>
      <c r="L79" s="48">
        <v>2</v>
      </c>
      <c r="M79" s="49" t="s">
        <v>1221</v>
      </c>
      <c r="N79" s="49">
        <f t="shared" si="19"/>
        <v>10043</v>
      </c>
      <c r="O79" s="49" t="s">
        <v>1222</v>
      </c>
      <c r="P79" s="49">
        <f t="shared" si="20"/>
        <v>10044</v>
      </c>
      <c r="Q79" s="49" t="s">
        <v>1222</v>
      </c>
      <c r="R79" s="49">
        <f t="shared" si="21"/>
        <v>10045</v>
      </c>
      <c r="S79" s="49" t="s">
        <v>1223</v>
      </c>
      <c r="T79" s="49">
        <v>3</v>
      </c>
      <c r="U79" s="49" t="s">
        <v>1221</v>
      </c>
      <c r="V79" s="49">
        <v>10043</v>
      </c>
      <c r="W79" s="49" t="s">
        <v>1222</v>
      </c>
      <c r="X79" s="49">
        <v>10044</v>
      </c>
      <c r="Y79" s="49" t="s">
        <v>1222</v>
      </c>
      <c r="Z79" s="49">
        <v>10045</v>
      </c>
      <c r="AA79" s="49" t="s">
        <v>1223</v>
      </c>
      <c r="AB79" s="39"/>
      <c r="AC79" s="41"/>
      <c r="AD79" s="41"/>
      <c r="AE79" s="41"/>
    </row>
    <row r="80" s="2" customFormat="1" spans="1:31">
      <c r="A80" s="1">
        <v>121</v>
      </c>
      <c r="B80" s="30" t="s">
        <v>1202</v>
      </c>
      <c r="C80" s="3">
        <f>出怪成长!C80</f>
        <v>15</v>
      </c>
      <c r="D80" s="4" t="str">
        <f>出怪成长!D80</f>
        <v>6#30001#1|12#30002#1|15#30001,30004#1</v>
      </c>
      <c r="E80" s="4" t="s">
        <v>1240</v>
      </c>
      <c r="F80" s="48">
        <v>1</v>
      </c>
      <c r="G80" s="49" t="s">
        <v>1221</v>
      </c>
      <c r="H80" s="49">
        <f t="shared" si="17"/>
        <v>10043</v>
      </c>
      <c r="I80" s="49" t="s">
        <v>1222</v>
      </c>
      <c r="J80" s="49">
        <f t="shared" si="18"/>
        <v>10044</v>
      </c>
      <c r="K80" s="49" t="s">
        <v>1223</v>
      </c>
      <c r="L80" s="48">
        <v>2</v>
      </c>
      <c r="M80" s="49" t="s">
        <v>1221</v>
      </c>
      <c r="N80" s="49">
        <f t="shared" si="19"/>
        <v>10043</v>
      </c>
      <c r="O80" s="49" t="s">
        <v>1222</v>
      </c>
      <c r="P80" s="49">
        <f t="shared" si="20"/>
        <v>10044</v>
      </c>
      <c r="Q80" s="49" t="s">
        <v>1222</v>
      </c>
      <c r="R80" s="49">
        <f t="shared" si="21"/>
        <v>10045</v>
      </c>
      <c r="S80" s="49" t="s">
        <v>1223</v>
      </c>
      <c r="T80" s="48">
        <v>3</v>
      </c>
      <c r="U80" s="49" t="s">
        <v>1221</v>
      </c>
      <c r="V80" s="49">
        <v>10043</v>
      </c>
      <c r="W80" s="49" t="s">
        <v>1222</v>
      </c>
      <c r="X80" s="49">
        <v>10044</v>
      </c>
      <c r="Y80" s="49" t="s">
        <v>1222</v>
      </c>
      <c r="Z80" s="49">
        <v>10045</v>
      </c>
      <c r="AA80" s="49" t="s">
        <v>1223</v>
      </c>
      <c r="AB80" s="39"/>
      <c r="AC80" s="41"/>
      <c r="AD80" s="41"/>
      <c r="AE80" s="41"/>
    </row>
    <row r="81" s="2" customFormat="1" spans="1:31">
      <c r="A81" s="1">
        <v>122</v>
      </c>
      <c r="B81" s="30" t="s">
        <v>1203</v>
      </c>
      <c r="C81" s="3">
        <f>出怪成长!C81</f>
        <v>15</v>
      </c>
      <c r="D81" s="4" t="str">
        <f>出怪成长!D81</f>
        <v>6#30001#1|12#30002#1|15#30001,30004#1</v>
      </c>
      <c r="E81" s="4" t="s">
        <v>1252</v>
      </c>
      <c r="F81" s="48">
        <v>1</v>
      </c>
      <c r="G81" s="49" t="s">
        <v>1221</v>
      </c>
      <c r="H81" s="49">
        <f t="shared" si="17"/>
        <v>10043</v>
      </c>
      <c r="I81" s="49" t="s">
        <v>1222</v>
      </c>
      <c r="J81" s="49">
        <f t="shared" si="18"/>
        <v>10044</v>
      </c>
      <c r="K81" s="49" t="s">
        <v>1223</v>
      </c>
      <c r="L81" s="48">
        <v>2</v>
      </c>
      <c r="M81" s="49" t="s">
        <v>1221</v>
      </c>
      <c r="N81" s="49">
        <f t="shared" si="19"/>
        <v>10043</v>
      </c>
      <c r="O81" s="49" t="s">
        <v>1222</v>
      </c>
      <c r="P81" s="49">
        <f t="shared" si="20"/>
        <v>10044</v>
      </c>
      <c r="Q81" s="49" t="s">
        <v>1222</v>
      </c>
      <c r="R81" s="49">
        <f t="shared" si="21"/>
        <v>10045</v>
      </c>
      <c r="S81" s="49" t="s">
        <v>1223</v>
      </c>
      <c r="T81" s="49">
        <v>3</v>
      </c>
      <c r="U81" s="49" t="s">
        <v>1221</v>
      </c>
      <c r="V81" s="49">
        <v>10043</v>
      </c>
      <c r="W81" s="49" t="s">
        <v>1222</v>
      </c>
      <c r="X81" s="49">
        <v>10044</v>
      </c>
      <c r="Y81" s="49" t="s">
        <v>1222</v>
      </c>
      <c r="Z81" s="49">
        <v>10045</v>
      </c>
      <c r="AA81" s="49" t="s">
        <v>1223</v>
      </c>
      <c r="AB81" s="39"/>
      <c r="AC81" s="41"/>
      <c r="AD81" s="41"/>
      <c r="AE81" s="41"/>
    </row>
    <row r="82" s="2" customFormat="1" spans="1:31">
      <c r="A82" s="1">
        <v>123</v>
      </c>
      <c r="B82" s="30" t="s">
        <v>1204</v>
      </c>
      <c r="C82" s="3">
        <f>出怪成长!C82</f>
        <v>15</v>
      </c>
      <c r="D82" s="4" t="str">
        <f>出怪成长!D82</f>
        <v>6#30001#1|12#30002#1|15#30001,30004#1</v>
      </c>
      <c r="E82" s="4" t="s">
        <v>1253</v>
      </c>
      <c r="F82" s="48">
        <v>1</v>
      </c>
      <c r="G82" s="49" t="s">
        <v>1221</v>
      </c>
      <c r="H82" s="49">
        <f t="shared" si="17"/>
        <v>10043</v>
      </c>
      <c r="I82" s="49" t="s">
        <v>1222</v>
      </c>
      <c r="J82" s="49">
        <f t="shared" si="18"/>
        <v>10044</v>
      </c>
      <c r="K82" s="49" t="s">
        <v>1223</v>
      </c>
      <c r="L82" s="48">
        <v>2</v>
      </c>
      <c r="M82" s="49" t="s">
        <v>1221</v>
      </c>
      <c r="N82" s="49">
        <f t="shared" si="19"/>
        <v>10043</v>
      </c>
      <c r="O82" s="49" t="s">
        <v>1222</v>
      </c>
      <c r="P82" s="49">
        <f t="shared" si="20"/>
        <v>10044</v>
      </c>
      <c r="Q82" s="49" t="s">
        <v>1222</v>
      </c>
      <c r="R82" s="49">
        <f t="shared" si="21"/>
        <v>10045</v>
      </c>
      <c r="S82" s="49" t="s">
        <v>1223</v>
      </c>
      <c r="T82" s="48">
        <v>3</v>
      </c>
      <c r="U82" s="49" t="s">
        <v>1221</v>
      </c>
      <c r="V82" s="49">
        <v>10043</v>
      </c>
      <c r="W82" s="49" t="s">
        <v>1222</v>
      </c>
      <c r="X82" s="49">
        <v>10044</v>
      </c>
      <c r="Y82" s="49" t="s">
        <v>1222</v>
      </c>
      <c r="Z82" s="49">
        <v>10045</v>
      </c>
      <c r="AA82" s="49" t="s">
        <v>1223</v>
      </c>
      <c r="AB82" s="39"/>
      <c r="AC82" s="41"/>
      <c r="AD82" s="41"/>
      <c r="AE82" s="41"/>
    </row>
    <row r="83" s="2" customFormat="1" spans="1:31">
      <c r="A83" s="1">
        <v>124</v>
      </c>
      <c r="B83" s="30" t="s">
        <v>1205</v>
      </c>
      <c r="C83" s="3">
        <f>出怪成长!C83</f>
        <v>15</v>
      </c>
      <c r="D83" s="4" t="str">
        <f>出怪成长!D83</f>
        <v>6#30001#1|12#30002#1|15#30001,30004#1</v>
      </c>
      <c r="E83" s="4" t="s">
        <v>1254</v>
      </c>
      <c r="F83" s="48">
        <v>1</v>
      </c>
      <c r="G83" s="49" t="s">
        <v>1221</v>
      </c>
      <c r="H83" s="49">
        <f t="shared" si="17"/>
        <v>10043</v>
      </c>
      <c r="I83" s="49" t="s">
        <v>1222</v>
      </c>
      <c r="J83" s="49">
        <f t="shared" si="18"/>
        <v>10044</v>
      </c>
      <c r="K83" s="49" t="s">
        <v>1223</v>
      </c>
      <c r="L83" s="48">
        <v>2</v>
      </c>
      <c r="M83" s="49" t="s">
        <v>1221</v>
      </c>
      <c r="N83" s="49">
        <f t="shared" si="19"/>
        <v>10043</v>
      </c>
      <c r="O83" s="49" t="s">
        <v>1222</v>
      </c>
      <c r="P83" s="49">
        <f t="shared" si="20"/>
        <v>10044</v>
      </c>
      <c r="Q83" s="49" t="s">
        <v>1222</v>
      </c>
      <c r="R83" s="49">
        <f t="shared" si="21"/>
        <v>10045</v>
      </c>
      <c r="S83" s="49" t="s">
        <v>1223</v>
      </c>
      <c r="T83" s="49">
        <v>3</v>
      </c>
      <c r="U83" s="49" t="s">
        <v>1221</v>
      </c>
      <c r="V83" s="49">
        <v>10043</v>
      </c>
      <c r="W83" s="49" t="s">
        <v>1222</v>
      </c>
      <c r="X83" s="49">
        <v>10044</v>
      </c>
      <c r="Y83" s="49" t="s">
        <v>1222</v>
      </c>
      <c r="Z83" s="49">
        <v>10045</v>
      </c>
      <c r="AA83" s="49" t="s">
        <v>1223</v>
      </c>
      <c r="AB83" s="39"/>
      <c r="AC83" s="41"/>
      <c r="AD83" s="41"/>
      <c r="AE83" s="41"/>
    </row>
    <row r="84" s="2" customFormat="1" spans="1:31">
      <c r="A84" s="1">
        <v>125</v>
      </c>
      <c r="B84" s="30" t="s">
        <v>1206</v>
      </c>
      <c r="C84" s="3">
        <f>出怪成长!C84</f>
        <v>15</v>
      </c>
      <c r="D84" s="4" t="str">
        <f>出怪成长!D84</f>
        <v>6#30001#1|12#30002#1|15#30001,30004#1</v>
      </c>
      <c r="E84" s="4" t="s">
        <v>1255</v>
      </c>
      <c r="F84" s="48">
        <v>1</v>
      </c>
      <c r="G84" s="49" t="s">
        <v>1221</v>
      </c>
      <c r="H84" s="49">
        <f t="shared" si="17"/>
        <v>10043</v>
      </c>
      <c r="I84" s="49" t="s">
        <v>1222</v>
      </c>
      <c r="J84" s="49">
        <f t="shared" si="18"/>
        <v>10044</v>
      </c>
      <c r="K84" s="49" t="s">
        <v>1223</v>
      </c>
      <c r="L84" s="48">
        <v>2</v>
      </c>
      <c r="M84" s="49" t="s">
        <v>1221</v>
      </c>
      <c r="N84" s="49">
        <f t="shared" si="19"/>
        <v>10043</v>
      </c>
      <c r="O84" s="49" t="s">
        <v>1222</v>
      </c>
      <c r="P84" s="49">
        <f t="shared" si="20"/>
        <v>10044</v>
      </c>
      <c r="Q84" s="49" t="s">
        <v>1222</v>
      </c>
      <c r="R84" s="49">
        <f t="shared" si="21"/>
        <v>10045</v>
      </c>
      <c r="S84" s="49" t="s">
        <v>1223</v>
      </c>
      <c r="T84" s="48">
        <v>3</v>
      </c>
      <c r="U84" s="49" t="s">
        <v>1221</v>
      </c>
      <c r="V84" s="49">
        <v>10043</v>
      </c>
      <c r="W84" s="49" t="s">
        <v>1222</v>
      </c>
      <c r="X84" s="49">
        <v>10044</v>
      </c>
      <c r="Y84" s="49" t="s">
        <v>1222</v>
      </c>
      <c r="Z84" s="49">
        <v>10045</v>
      </c>
      <c r="AA84" s="49" t="s">
        <v>1223</v>
      </c>
      <c r="AB84" s="39"/>
      <c r="AC84" s="41"/>
      <c r="AD84" s="41"/>
      <c r="AE84" s="41"/>
    </row>
    <row r="85" s="2" customFormat="1" spans="1:31">
      <c r="A85" s="1">
        <v>126</v>
      </c>
      <c r="B85" s="30" t="s">
        <v>1207</v>
      </c>
      <c r="C85" s="3">
        <f>出怪成长!C85</f>
        <v>15</v>
      </c>
      <c r="D85" s="4" t="str">
        <f>出怪成长!D85</f>
        <v>6#30001#1|12#30002#1|15#30001,30004#1</v>
      </c>
      <c r="E85" s="4" t="s">
        <v>1256</v>
      </c>
      <c r="F85" s="48">
        <v>1</v>
      </c>
      <c r="G85" s="49" t="s">
        <v>1221</v>
      </c>
      <c r="H85" s="49">
        <f t="shared" si="17"/>
        <v>10043</v>
      </c>
      <c r="I85" s="49" t="s">
        <v>1222</v>
      </c>
      <c r="J85" s="49">
        <f t="shared" si="18"/>
        <v>10044</v>
      </c>
      <c r="K85" s="49" t="s">
        <v>1223</v>
      </c>
      <c r="L85" s="48">
        <v>2</v>
      </c>
      <c r="M85" s="49" t="s">
        <v>1221</v>
      </c>
      <c r="N85" s="49">
        <f t="shared" si="19"/>
        <v>10043</v>
      </c>
      <c r="O85" s="49" t="s">
        <v>1222</v>
      </c>
      <c r="P85" s="49">
        <f t="shared" si="20"/>
        <v>10044</v>
      </c>
      <c r="Q85" s="49" t="s">
        <v>1222</v>
      </c>
      <c r="R85" s="49">
        <f t="shared" si="21"/>
        <v>10045</v>
      </c>
      <c r="S85" s="49" t="s">
        <v>1223</v>
      </c>
      <c r="T85" s="49">
        <v>3</v>
      </c>
      <c r="U85" s="49" t="s">
        <v>1221</v>
      </c>
      <c r="V85" s="49">
        <v>10043</v>
      </c>
      <c r="W85" s="49" t="s">
        <v>1222</v>
      </c>
      <c r="X85" s="49">
        <v>10044</v>
      </c>
      <c r="Y85" s="49" t="s">
        <v>1222</v>
      </c>
      <c r="Z85" s="49">
        <v>10045</v>
      </c>
      <c r="AA85" s="49" t="s">
        <v>1223</v>
      </c>
      <c r="AB85" s="39"/>
      <c r="AC85" s="41"/>
      <c r="AD85" s="41"/>
      <c r="AE85" s="41"/>
    </row>
    <row r="86" s="2" customFormat="1" spans="1:31">
      <c r="A86" s="1">
        <v>131</v>
      </c>
      <c r="B86" s="30" t="s">
        <v>1208</v>
      </c>
      <c r="C86" s="3">
        <f>出怪成长!C86</f>
        <v>15</v>
      </c>
      <c r="D86" s="4" t="str">
        <f>出怪成长!D86</f>
        <v>6#30001#1|12#30002#1|15#30001,30004#1</v>
      </c>
      <c r="E86" s="4" t="s">
        <v>1257</v>
      </c>
      <c r="F86" s="48">
        <v>1</v>
      </c>
      <c r="G86" s="49" t="s">
        <v>1221</v>
      </c>
      <c r="H86" s="49">
        <f t="shared" si="17"/>
        <v>10043</v>
      </c>
      <c r="I86" s="49" t="s">
        <v>1222</v>
      </c>
      <c r="J86" s="49">
        <f t="shared" si="18"/>
        <v>10044</v>
      </c>
      <c r="K86" s="49" t="s">
        <v>1223</v>
      </c>
      <c r="L86" s="48">
        <v>2</v>
      </c>
      <c r="M86" s="49" t="s">
        <v>1221</v>
      </c>
      <c r="N86" s="49">
        <f t="shared" si="19"/>
        <v>10043</v>
      </c>
      <c r="O86" s="49" t="s">
        <v>1222</v>
      </c>
      <c r="P86" s="49">
        <f t="shared" si="20"/>
        <v>10044</v>
      </c>
      <c r="Q86" s="49" t="s">
        <v>1222</v>
      </c>
      <c r="R86" s="49">
        <f t="shared" si="21"/>
        <v>10045</v>
      </c>
      <c r="S86" s="49" t="s">
        <v>1223</v>
      </c>
      <c r="T86" s="48">
        <v>3</v>
      </c>
      <c r="U86" s="49" t="s">
        <v>1221</v>
      </c>
      <c r="V86" s="49">
        <v>10043</v>
      </c>
      <c r="W86" s="49" t="s">
        <v>1222</v>
      </c>
      <c r="X86" s="49">
        <v>10044</v>
      </c>
      <c r="Y86" s="49" t="s">
        <v>1222</v>
      </c>
      <c r="Z86" s="49">
        <v>10045</v>
      </c>
      <c r="AA86" s="49" t="s">
        <v>1223</v>
      </c>
      <c r="AB86" s="39"/>
      <c r="AC86" s="41"/>
      <c r="AD86" s="41"/>
      <c r="AE86" s="41"/>
    </row>
    <row r="87" s="2" customFormat="1" spans="1:31">
      <c r="A87" s="1">
        <v>132</v>
      </c>
      <c r="B87" s="30" t="s">
        <v>1209</v>
      </c>
      <c r="C87" s="3">
        <f>出怪成长!C87</f>
        <v>15</v>
      </c>
      <c r="D87" s="4" t="str">
        <f>出怪成长!D87</f>
        <v>6#30001#1|12#30002#1|15#30001,30004#1</v>
      </c>
      <c r="E87" s="4" t="s">
        <v>1258</v>
      </c>
      <c r="F87" s="48">
        <v>1</v>
      </c>
      <c r="G87" s="49" t="s">
        <v>1221</v>
      </c>
      <c r="H87" s="49">
        <f t="shared" si="17"/>
        <v>10043</v>
      </c>
      <c r="I87" s="49" t="s">
        <v>1222</v>
      </c>
      <c r="J87" s="49">
        <f t="shared" si="18"/>
        <v>10044</v>
      </c>
      <c r="K87" s="49" t="s">
        <v>1223</v>
      </c>
      <c r="L87" s="48">
        <v>2</v>
      </c>
      <c r="M87" s="49" t="s">
        <v>1221</v>
      </c>
      <c r="N87" s="49">
        <f t="shared" si="19"/>
        <v>10043</v>
      </c>
      <c r="O87" s="49" t="s">
        <v>1222</v>
      </c>
      <c r="P87" s="49">
        <f t="shared" si="20"/>
        <v>10044</v>
      </c>
      <c r="Q87" s="49" t="s">
        <v>1222</v>
      </c>
      <c r="R87" s="49">
        <f t="shared" si="21"/>
        <v>10045</v>
      </c>
      <c r="S87" s="49" t="s">
        <v>1223</v>
      </c>
      <c r="T87" s="49">
        <v>3</v>
      </c>
      <c r="U87" s="49" t="s">
        <v>1221</v>
      </c>
      <c r="V87" s="49">
        <v>10043</v>
      </c>
      <c r="W87" s="49" t="s">
        <v>1222</v>
      </c>
      <c r="X87" s="49">
        <v>10044</v>
      </c>
      <c r="Y87" s="49" t="s">
        <v>1222</v>
      </c>
      <c r="Z87" s="49">
        <v>10045</v>
      </c>
      <c r="AA87" s="49" t="s">
        <v>1223</v>
      </c>
      <c r="AB87" s="39"/>
      <c r="AC87" s="41"/>
      <c r="AD87" s="41"/>
      <c r="AE87" s="41"/>
    </row>
    <row r="88" s="2" customFormat="1" spans="1:31">
      <c r="A88" s="1">
        <v>133</v>
      </c>
      <c r="B88" s="30" t="s">
        <v>1210</v>
      </c>
      <c r="C88" s="3">
        <f>出怪成长!C88</f>
        <v>15</v>
      </c>
      <c r="D88" s="4" t="str">
        <f>出怪成长!D88</f>
        <v>6#30001#1|12#30002#1|15#30001,30004#1</v>
      </c>
      <c r="E88" s="4" t="s">
        <v>1259</v>
      </c>
      <c r="F88" s="48">
        <v>1</v>
      </c>
      <c r="G88" s="49" t="s">
        <v>1221</v>
      </c>
      <c r="H88" s="49">
        <f t="shared" si="17"/>
        <v>10043</v>
      </c>
      <c r="I88" s="49" t="s">
        <v>1222</v>
      </c>
      <c r="J88" s="49">
        <f t="shared" si="18"/>
        <v>10044</v>
      </c>
      <c r="K88" s="49" t="s">
        <v>1223</v>
      </c>
      <c r="L88" s="48">
        <v>2</v>
      </c>
      <c r="M88" s="49" t="s">
        <v>1221</v>
      </c>
      <c r="N88" s="49">
        <f t="shared" si="19"/>
        <v>10043</v>
      </c>
      <c r="O88" s="49" t="s">
        <v>1222</v>
      </c>
      <c r="P88" s="49">
        <f t="shared" si="20"/>
        <v>10044</v>
      </c>
      <c r="Q88" s="49" t="s">
        <v>1222</v>
      </c>
      <c r="R88" s="49">
        <f t="shared" si="21"/>
        <v>10045</v>
      </c>
      <c r="S88" s="49" t="s">
        <v>1223</v>
      </c>
      <c r="T88" s="48">
        <v>3</v>
      </c>
      <c r="U88" s="49" t="s">
        <v>1221</v>
      </c>
      <c r="V88" s="49">
        <v>10043</v>
      </c>
      <c r="W88" s="49" t="s">
        <v>1222</v>
      </c>
      <c r="X88" s="49">
        <v>10044</v>
      </c>
      <c r="Y88" s="49" t="s">
        <v>1222</v>
      </c>
      <c r="Z88" s="49">
        <v>10045</v>
      </c>
      <c r="AA88" s="49" t="s">
        <v>1223</v>
      </c>
      <c r="AB88" s="39"/>
      <c r="AC88" s="41"/>
      <c r="AD88" s="41"/>
      <c r="AE88" s="41"/>
    </row>
    <row r="89" s="2" customFormat="1" spans="1:31">
      <c r="A89" s="1">
        <v>134</v>
      </c>
      <c r="B89" s="30" t="s">
        <v>1211</v>
      </c>
      <c r="C89" s="3">
        <f>出怪成长!C89</f>
        <v>15</v>
      </c>
      <c r="D89" s="4" t="str">
        <f>出怪成长!D89</f>
        <v>6#30001#1|12#30002#1|15#30001,30004#1</v>
      </c>
      <c r="E89" s="4" t="s">
        <v>1260</v>
      </c>
      <c r="F89" s="48">
        <v>1</v>
      </c>
      <c r="G89" s="49" t="s">
        <v>1221</v>
      </c>
      <c r="H89" s="49">
        <f t="shared" si="17"/>
        <v>10043</v>
      </c>
      <c r="I89" s="49" t="s">
        <v>1222</v>
      </c>
      <c r="J89" s="49">
        <f t="shared" si="18"/>
        <v>10044</v>
      </c>
      <c r="K89" s="49" t="s">
        <v>1223</v>
      </c>
      <c r="L89" s="48">
        <v>2</v>
      </c>
      <c r="M89" s="49" t="s">
        <v>1221</v>
      </c>
      <c r="N89" s="49">
        <f t="shared" si="19"/>
        <v>10043</v>
      </c>
      <c r="O89" s="49" t="s">
        <v>1222</v>
      </c>
      <c r="P89" s="49">
        <f t="shared" si="20"/>
        <v>10044</v>
      </c>
      <c r="Q89" s="49" t="s">
        <v>1222</v>
      </c>
      <c r="R89" s="49">
        <f t="shared" si="21"/>
        <v>10045</v>
      </c>
      <c r="S89" s="49" t="s">
        <v>1223</v>
      </c>
      <c r="T89" s="49">
        <v>3</v>
      </c>
      <c r="U89" s="49" t="s">
        <v>1221</v>
      </c>
      <c r="V89" s="49">
        <v>10043</v>
      </c>
      <c r="W89" s="49" t="s">
        <v>1222</v>
      </c>
      <c r="X89" s="49">
        <v>10044</v>
      </c>
      <c r="Y89" s="49" t="s">
        <v>1222</v>
      </c>
      <c r="Z89" s="49">
        <v>10045</v>
      </c>
      <c r="AA89" s="49" t="s">
        <v>1223</v>
      </c>
      <c r="AB89" s="39"/>
      <c r="AC89" s="41"/>
      <c r="AD89" s="41"/>
      <c r="AE89" s="41"/>
    </row>
    <row r="90" s="2" customFormat="1" spans="1:31">
      <c r="A90" s="1">
        <v>135</v>
      </c>
      <c r="B90" s="30" t="s">
        <v>1212</v>
      </c>
      <c r="C90" s="3">
        <f>出怪成长!C90</f>
        <v>15</v>
      </c>
      <c r="D90" s="4" t="str">
        <f>出怪成长!D90</f>
        <v>6#30001#1|12#30002#1|15#30001,30004#1</v>
      </c>
      <c r="E90" s="4" t="s">
        <v>1261</v>
      </c>
      <c r="F90" s="48">
        <v>1</v>
      </c>
      <c r="G90" s="49" t="s">
        <v>1221</v>
      </c>
      <c r="H90" s="49">
        <f t="shared" si="17"/>
        <v>10043</v>
      </c>
      <c r="I90" s="49" t="s">
        <v>1222</v>
      </c>
      <c r="J90" s="49">
        <f t="shared" si="18"/>
        <v>10044</v>
      </c>
      <c r="K90" s="49" t="s">
        <v>1223</v>
      </c>
      <c r="L90" s="48">
        <v>2</v>
      </c>
      <c r="M90" s="49" t="s">
        <v>1221</v>
      </c>
      <c r="N90" s="49">
        <f t="shared" si="19"/>
        <v>10043</v>
      </c>
      <c r="O90" s="49" t="s">
        <v>1222</v>
      </c>
      <c r="P90" s="49">
        <f t="shared" si="20"/>
        <v>10044</v>
      </c>
      <c r="Q90" s="49" t="s">
        <v>1222</v>
      </c>
      <c r="R90" s="49">
        <f t="shared" si="21"/>
        <v>10045</v>
      </c>
      <c r="S90" s="49" t="s">
        <v>1223</v>
      </c>
      <c r="T90" s="48">
        <v>3</v>
      </c>
      <c r="U90" s="49" t="s">
        <v>1221</v>
      </c>
      <c r="V90" s="49">
        <v>10043</v>
      </c>
      <c r="W90" s="49" t="s">
        <v>1222</v>
      </c>
      <c r="X90" s="49">
        <v>10044</v>
      </c>
      <c r="Y90" s="49" t="s">
        <v>1222</v>
      </c>
      <c r="Z90" s="49">
        <v>10045</v>
      </c>
      <c r="AA90" s="49" t="s">
        <v>1223</v>
      </c>
      <c r="AB90" s="39"/>
      <c r="AC90" s="41"/>
      <c r="AD90" s="41"/>
      <c r="AE90" s="41"/>
    </row>
    <row r="91" s="2" customFormat="1" spans="1:31">
      <c r="A91" s="1">
        <v>136</v>
      </c>
      <c r="B91" s="30" t="s">
        <v>1213</v>
      </c>
      <c r="C91" s="3">
        <f>出怪成长!C91</f>
        <v>15</v>
      </c>
      <c r="D91" s="4" t="str">
        <f>出怪成长!D91</f>
        <v>6#30001#1|12#30002#1|15#30001,30004#1</v>
      </c>
      <c r="E91" s="4" t="s">
        <v>1262</v>
      </c>
      <c r="F91" s="48">
        <v>1</v>
      </c>
      <c r="G91" s="49" t="s">
        <v>1221</v>
      </c>
      <c r="H91" s="49">
        <f t="shared" si="17"/>
        <v>10043</v>
      </c>
      <c r="I91" s="49" t="s">
        <v>1222</v>
      </c>
      <c r="J91" s="49">
        <f t="shared" si="18"/>
        <v>10044</v>
      </c>
      <c r="K91" s="49" t="s">
        <v>1223</v>
      </c>
      <c r="L91" s="48">
        <v>2</v>
      </c>
      <c r="M91" s="49" t="s">
        <v>1221</v>
      </c>
      <c r="N91" s="49">
        <f t="shared" si="19"/>
        <v>10043</v>
      </c>
      <c r="O91" s="49" t="s">
        <v>1222</v>
      </c>
      <c r="P91" s="49">
        <f t="shared" si="20"/>
        <v>10044</v>
      </c>
      <c r="Q91" s="49" t="s">
        <v>1222</v>
      </c>
      <c r="R91" s="49">
        <f t="shared" si="21"/>
        <v>10045</v>
      </c>
      <c r="S91" s="49" t="s">
        <v>1223</v>
      </c>
      <c r="T91" s="49">
        <v>3</v>
      </c>
      <c r="U91" s="49" t="s">
        <v>1221</v>
      </c>
      <c r="V91" s="49">
        <v>10043</v>
      </c>
      <c r="W91" s="49" t="s">
        <v>1222</v>
      </c>
      <c r="X91" s="49">
        <v>10044</v>
      </c>
      <c r="Y91" s="49" t="s">
        <v>1222</v>
      </c>
      <c r="Z91" s="49">
        <v>10045</v>
      </c>
      <c r="AA91" s="49" t="s">
        <v>1223</v>
      </c>
      <c r="AB91" s="39"/>
      <c r="AC91" s="41"/>
      <c r="AD91" s="41"/>
      <c r="AE91" s="41"/>
    </row>
    <row r="92" s="2" customFormat="1" spans="1:31">
      <c r="A92" s="1">
        <v>141</v>
      </c>
      <c r="B92" s="30" t="s">
        <v>1214</v>
      </c>
      <c r="C92" s="3">
        <f>出怪成长!C92</f>
        <v>15</v>
      </c>
      <c r="D92" s="4" t="str">
        <f>出怪成长!D92</f>
        <v>6#30001#1|12#30002#1|15#30001,30004#1</v>
      </c>
      <c r="E92" s="4" t="s">
        <v>1263</v>
      </c>
      <c r="F92" s="48">
        <v>1</v>
      </c>
      <c r="G92" s="49" t="s">
        <v>1221</v>
      </c>
      <c r="H92" s="49">
        <f t="shared" si="17"/>
        <v>10043</v>
      </c>
      <c r="I92" s="49" t="s">
        <v>1222</v>
      </c>
      <c r="J92" s="49">
        <f t="shared" si="18"/>
        <v>10044</v>
      </c>
      <c r="K92" s="49" t="s">
        <v>1223</v>
      </c>
      <c r="L92" s="48">
        <v>2</v>
      </c>
      <c r="M92" s="49" t="s">
        <v>1221</v>
      </c>
      <c r="N92" s="49">
        <f t="shared" si="19"/>
        <v>10043</v>
      </c>
      <c r="O92" s="49" t="s">
        <v>1222</v>
      </c>
      <c r="P92" s="49">
        <f t="shared" si="20"/>
        <v>10044</v>
      </c>
      <c r="Q92" s="49" t="s">
        <v>1222</v>
      </c>
      <c r="R92" s="49">
        <f t="shared" si="21"/>
        <v>10045</v>
      </c>
      <c r="S92" s="49" t="s">
        <v>1223</v>
      </c>
      <c r="T92" s="48">
        <v>3</v>
      </c>
      <c r="U92" s="49" t="s">
        <v>1221</v>
      </c>
      <c r="V92" s="49">
        <v>10043</v>
      </c>
      <c r="W92" s="49" t="s">
        <v>1222</v>
      </c>
      <c r="X92" s="49">
        <v>10044</v>
      </c>
      <c r="Y92" s="49" t="s">
        <v>1222</v>
      </c>
      <c r="Z92" s="49">
        <v>10045</v>
      </c>
      <c r="AA92" s="49" t="s">
        <v>1223</v>
      </c>
      <c r="AB92" s="39"/>
      <c r="AC92" s="41"/>
      <c r="AD92" s="41"/>
      <c r="AE92" s="41"/>
    </row>
    <row r="93" s="2" customFormat="1" spans="1:31">
      <c r="A93" s="1">
        <v>142</v>
      </c>
      <c r="B93" s="30" t="s">
        <v>1215</v>
      </c>
      <c r="C93" s="3">
        <f>出怪成长!C93</f>
        <v>15</v>
      </c>
      <c r="D93" s="4" t="str">
        <f>出怪成长!D93</f>
        <v>6#30001#1|12#30002#1|15#30001,30004#1</v>
      </c>
      <c r="E93" s="4" t="s">
        <v>1264</v>
      </c>
      <c r="F93" s="48">
        <v>1</v>
      </c>
      <c r="G93" s="49" t="s">
        <v>1221</v>
      </c>
      <c r="H93" s="49">
        <f t="shared" si="17"/>
        <v>10043</v>
      </c>
      <c r="I93" s="49" t="s">
        <v>1222</v>
      </c>
      <c r="J93" s="49">
        <f t="shared" si="18"/>
        <v>10044</v>
      </c>
      <c r="K93" s="49" t="s">
        <v>1223</v>
      </c>
      <c r="L93" s="48">
        <v>2</v>
      </c>
      <c r="M93" s="49" t="s">
        <v>1221</v>
      </c>
      <c r="N93" s="49">
        <f t="shared" si="19"/>
        <v>10043</v>
      </c>
      <c r="O93" s="49" t="s">
        <v>1222</v>
      </c>
      <c r="P93" s="49">
        <f t="shared" si="20"/>
        <v>10044</v>
      </c>
      <c r="Q93" s="49" t="s">
        <v>1222</v>
      </c>
      <c r="R93" s="49">
        <f t="shared" si="21"/>
        <v>10045</v>
      </c>
      <c r="S93" s="49" t="s">
        <v>1223</v>
      </c>
      <c r="T93" s="49">
        <v>3</v>
      </c>
      <c r="U93" s="49" t="s">
        <v>1221</v>
      </c>
      <c r="V93" s="49">
        <v>10043</v>
      </c>
      <c r="W93" s="49" t="s">
        <v>1222</v>
      </c>
      <c r="X93" s="49">
        <v>10044</v>
      </c>
      <c r="Y93" s="49" t="s">
        <v>1222</v>
      </c>
      <c r="Z93" s="49">
        <v>10045</v>
      </c>
      <c r="AA93" s="49" t="s">
        <v>1223</v>
      </c>
      <c r="AB93" s="39"/>
      <c r="AC93" s="41"/>
      <c r="AD93" s="41"/>
      <c r="AE93" s="41"/>
    </row>
    <row r="94" s="2" customFormat="1" spans="1:31">
      <c r="A94" s="1">
        <v>143</v>
      </c>
      <c r="B94" s="30" t="s">
        <v>1216</v>
      </c>
      <c r="C94" s="3">
        <f>出怪成长!C94</f>
        <v>15</v>
      </c>
      <c r="D94" s="4" t="str">
        <f>出怪成长!D94</f>
        <v>6#30001#1|12#30002#1|15#30001,30004#1</v>
      </c>
      <c r="E94" s="4" t="s">
        <v>1265</v>
      </c>
      <c r="F94" s="48">
        <v>1</v>
      </c>
      <c r="G94" s="49" t="s">
        <v>1221</v>
      </c>
      <c r="H94" s="49">
        <f t="shared" si="17"/>
        <v>10043</v>
      </c>
      <c r="I94" s="49" t="s">
        <v>1222</v>
      </c>
      <c r="J94" s="49">
        <f t="shared" si="18"/>
        <v>10044</v>
      </c>
      <c r="K94" s="49" t="s">
        <v>1223</v>
      </c>
      <c r="L94" s="48">
        <v>2</v>
      </c>
      <c r="M94" s="49" t="s">
        <v>1221</v>
      </c>
      <c r="N94" s="49">
        <f t="shared" si="19"/>
        <v>10043</v>
      </c>
      <c r="O94" s="49" t="s">
        <v>1222</v>
      </c>
      <c r="P94" s="49">
        <f t="shared" si="20"/>
        <v>10044</v>
      </c>
      <c r="Q94" s="49" t="s">
        <v>1222</v>
      </c>
      <c r="R94" s="49">
        <f t="shared" si="21"/>
        <v>10045</v>
      </c>
      <c r="S94" s="49" t="s">
        <v>1223</v>
      </c>
      <c r="T94" s="48">
        <v>3</v>
      </c>
      <c r="U94" s="49" t="s">
        <v>1221</v>
      </c>
      <c r="V94" s="49">
        <v>10043</v>
      </c>
      <c r="W94" s="49" t="s">
        <v>1222</v>
      </c>
      <c r="X94" s="49">
        <v>10044</v>
      </c>
      <c r="Y94" s="49" t="s">
        <v>1222</v>
      </c>
      <c r="Z94" s="49">
        <v>10045</v>
      </c>
      <c r="AA94" s="49" t="s">
        <v>1223</v>
      </c>
      <c r="AB94" s="39"/>
      <c r="AC94" s="41"/>
      <c r="AD94" s="41"/>
      <c r="AE94" s="41"/>
    </row>
    <row r="95" s="2" customFormat="1" spans="1:31">
      <c r="A95" s="1">
        <v>144</v>
      </c>
      <c r="B95" s="30" t="s">
        <v>1217</v>
      </c>
      <c r="C95" s="3">
        <f>出怪成长!C95</f>
        <v>15</v>
      </c>
      <c r="D95" s="4" t="str">
        <f>出怪成长!D95</f>
        <v>6#30001#1|12#30002#1|15#30001,30004#1</v>
      </c>
      <c r="E95" s="4" t="s">
        <v>1266</v>
      </c>
      <c r="F95" s="48">
        <v>1</v>
      </c>
      <c r="G95" s="49" t="s">
        <v>1221</v>
      </c>
      <c r="H95" s="49">
        <f t="shared" si="17"/>
        <v>10043</v>
      </c>
      <c r="I95" s="49" t="s">
        <v>1222</v>
      </c>
      <c r="J95" s="49">
        <f t="shared" si="18"/>
        <v>10044</v>
      </c>
      <c r="K95" s="49" t="s">
        <v>1223</v>
      </c>
      <c r="L95" s="48">
        <v>2</v>
      </c>
      <c r="M95" s="49" t="s">
        <v>1221</v>
      </c>
      <c r="N95" s="49">
        <f t="shared" si="19"/>
        <v>10043</v>
      </c>
      <c r="O95" s="49" t="s">
        <v>1222</v>
      </c>
      <c r="P95" s="49">
        <f t="shared" si="20"/>
        <v>10044</v>
      </c>
      <c r="Q95" s="49" t="s">
        <v>1222</v>
      </c>
      <c r="R95" s="49">
        <f t="shared" si="21"/>
        <v>10045</v>
      </c>
      <c r="S95" s="49" t="s">
        <v>1223</v>
      </c>
      <c r="T95" s="49">
        <v>3</v>
      </c>
      <c r="U95" s="49" t="s">
        <v>1221</v>
      </c>
      <c r="V95" s="49">
        <v>10043</v>
      </c>
      <c r="W95" s="49" t="s">
        <v>1222</v>
      </c>
      <c r="X95" s="49">
        <v>10044</v>
      </c>
      <c r="Y95" s="49" t="s">
        <v>1222</v>
      </c>
      <c r="Z95" s="49">
        <v>10045</v>
      </c>
      <c r="AA95" s="49" t="s">
        <v>1223</v>
      </c>
      <c r="AB95" s="39"/>
      <c r="AC95" s="41"/>
      <c r="AD95" s="41"/>
      <c r="AE95" s="41"/>
    </row>
    <row r="96" s="2" customFormat="1" spans="1:31">
      <c r="A96" s="1">
        <v>145</v>
      </c>
      <c r="B96" s="30" t="s">
        <v>1218</v>
      </c>
      <c r="C96" s="3">
        <f>出怪成长!C96</f>
        <v>15</v>
      </c>
      <c r="D96" s="4" t="str">
        <f>出怪成长!D96</f>
        <v>6#30001#1|12#30002#1|15#30001,30004#1</v>
      </c>
      <c r="E96" s="4" t="s">
        <v>1267</v>
      </c>
      <c r="F96" s="48">
        <v>1</v>
      </c>
      <c r="G96" s="49" t="s">
        <v>1221</v>
      </c>
      <c r="H96" s="49">
        <f t="shared" si="17"/>
        <v>10043</v>
      </c>
      <c r="I96" s="49" t="s">
        <v>1222</v>
      </c>
      <c r="J96" s="49">
        <f t="shared" si="18"/>
        <v>10044</v>
      </c>
      <c r="K96" s="49" t="s">
        <v>1223</v>
      </c>
      <c r="L96" s="48">
        <v>2</v>
      </c>
      <c r="M96" s="49" t="s">
        <v>1221</v>
      </c>
      <c r="N96" s="49">
        <f t="shared" si="19"/>
        <v>10043</v>
      </c>
      <c r="O96" s="49" t="s">
        <v>1222</v>
      </c>
      <c r="P96" s="49">
        <f t="shared" si="20"/>
        <v>10044</v>
      </c>
      <c r="Q96" s="49" t="s">
        <v>1222</v>
      </c>
      <c r="R96" s="49">
        <f t="shared" si="21"/>
        <v>10045</v>
      </c>
      <c r="S96" s="49" t="s">
        <v>1223</v>
      </c>
      <c r="T96" s="48">
        <v>3</v>
      </c>
      <c r="U96" s="49" t="s">
        <v>1221</v>
      </c>
      <c r="V96" s="49">
        <v>10043</v>
      </c>
      <c r="W96" s="49" t="s">
        <v>1222</v>
      </c>
      <c r="X96" s="49">
        <v>10044</v>
      </c>
      <c r="Y96" s="49" t="s">
        <v>1222</v>
      </c>
      <c r="Z96" s="49">
        <v>10045</v>
      </c>
      <c r="AA96" s="49" t="s">
        <v>1223</v>
      </c>
      <c r="AB96" s="39"/>
      <c r="AC96" s="41"/>
      <c r="AD96" s="41"/>
      <c r="AE96" s="41"/>
    </row>
    <row r="97" s="2" customFormat="1" spans="1:31">
      <c r="A97" s="1">
        <v>146</v>
      </c>
      <c r="B97" s="30" t="s">
        <v>1219</v>
      </c>
      <c r="C97" s="3">
        <f>出怪成长!C97</f>
        <v>15</v>
      </c>
      <c r="D97" s="4" t="str">
        <f>出怪成长!D97</f>
        <v>6#30001#1|12#30002#1|15#30001,30004#1</v>
      </c>
      <c r="E97" s="4" t="s">
        <v>1268</v>
      </c>
      <c r="F97" s="48">
        <v>1</v>
      </c>
      <c r="G97" s="49" t="s">
        <v>1221</v>
      </c>
      <c r="H97" s="49">
        <f t="shared" si="17"/>
        <v>10043</v>
      </c>
      <c r="I97" s="49" t="s">
        <v>1222</v>
      </c>
      <c r="J97" s="49">
        <f t="shared" si="18"/>
        <v>10044</v>
      </c>
      <c r="K97" s="49" t="s">
        <v>1223</v>
      </c>
      <c r="L97" s="48">
        <v>2</v>
      </c>
      <c r="M97" s="49" t="s">
        <v>1221</v>
      </c>
      <c r="N97" s="49">
        <f t="shared" si="19"/>
        <v>10043</v>
      </c>
      <c r="O97" s="49" t="s">
        <v>1222</v>
      </c>
      <c r="P97" s="49">
        <f t="shared" si="20"/>
        <v>10044</v>
      </c>
      <c r="Q97" s="49" t="s">
        <v>1222</v>
      </c>
      <c r="R97" s="49">
        <f t="shared" si="21"/>
        <v>10045</v>
      </c>
      <c r="S97" s="49" t="s">
        <v>1223</v>
      </c>
      <c r="T97" s="49">
        <v>3</v>
      </c>
      <c r="U97" s="49" t="s">
        <v>1221</v>
      </c>
      <c r="V97" s="49">
        <v>10043</v>
      </c>
      <c r="W97" s="49" t="s">
        <v>1222</v>
      </c>
      <c r="X97" s="49">
        <v>10044</v>
      </c>
      <c r="Y97" s="49" t="s">
        <v>1222</v>
      </c>
      <c r="Z97" s="49">
        <v>10045</v>
      </c>
      <c r="AA97" s="49" t="s">
        <v>1223</v>
      </c>
      <c r="AB97" s="39"/>
      <c r="AC97" s="41"/>
      <c r="AD97" s="41"/>
      <c r="AE97" s="41"/>
    </row>
    <row r="98" s="2" customFormat="1" spans="1:31">
      <c r="A98" s="1"/>
      <c r="B98" s="1"/>
      <c r="C98" s="3"/>
      <c r="D98" s="4"/>
      <c r="E98" s="4"/>
      <c r="F98" s="48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39"/>
      <c r="AC98" s="41"/>
      <c r="AD98" s="41"/>
      <c r="AE98" s="41"/>
    </row>
    <row r="99" s="2" customFormat="1" spans="1:31">
      <c r="A99" s="1"/>
      <c r="B99" s="1"/>
      <c r="C99" s="3"/>
      <c r="D99" s="4"/>
      <c r="E99" s="4"/>
      <c r="F99" s="48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39"/>
      <c r="AC99" s="41"/>
      <c r="AD99" s="41"/>
      <c r="AE99" s="41"/>
    </row>
    <row r="100" s="2" customFormat="1" spans="1:31">
      <c r="A100" s="1"/>
      <c r="B100" s="1"/>
      <c r="C100" s="3"/>
      <c r="D100" s="4"/>
      <c r="E100" s="4"/>
      <c r="F100" s="48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39"/>
      <c r="AC100" s="41"/>
      <c r="AD100" s="41"/>
      <c r="AE100" s="41"/>
    </row>
    <row r="101" s="2" customFormat="1" spans="1:31">
      <c r="A101" s="1"/>
      <c r="B101" s="1"/>
      <c r="C101" s="3"/>
      <c r="D101" s="4"/>
      <c r="E101" s="4"/>
      <c r="F101" s="48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39"/>
      <c r="AC101" s="41"/>
      <c r="AD101" s="41"/>
      <c r="AE101" s="41"/>
    </row>
    <row r="102" s="2" customFormat="1" spans="1:31">
      <c r="A102" s="1"/>
      <c r="B102" s="1"/>
      <c r="C102" s="3"/>
      <c r="D102" s="4"/>
      <c r="E102" s="4"/>
      <c r="F102" s="48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39"/>
      <c r="AC102" s="41"/>
      <c r="AD102" s="41"/>
      <c r="AE102" s="41"/>
    </row>
    <row r="103" s="2" customFormat="1" spans="1:31">
      <c r="A103" s="1"/>
      <c r="B103" s="1"/>
      <c r="C103" s="3"/>
      <c r="D103" s="4"/>
      <c r="E103" s="4"/>
      <c r="F103" s="48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39"/>
      <c r="AC103" s="41"/>
      <c r="AD103" s="41"/>
      <c r="AE103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4" sqref="A4"/>
    </sheetView>
  </sheetViews>
  <sheetFormatPr defaultColWidth="9" defaultRowHeight="14.25"/>
  <cols>
    <col min="1" max="2" width="6.375" style="1" customWidth="1"/>
    <col min="3" max="3" width="6.375" style="3" customWidth="1"/>
    <col min="4" max="4" width="34.875" style="4" customWidth="1"/>
    <col min="5" max="5" width="57" style="4" customWidth="1"/>
    <col min="6" max="6" width="22.25" style="4" customWidth="1"/>
    <col min="7" max="7" width="3.125" style="38" customWidth="1"/>
    <col min="8" max="8" width="3.125" style="2" customWidth="1"/>
    <col min="9" max="9" width="3.125" style="38" customWidth="1"/>
    <col min="10" max="10" width="3.125" style="2" customWidth="1"/>
    <col min="11" max="11" width="3.125" style="38" customWidth="1"/>
    <col min="12" max="12" width="3.125" style="2" customWidth="1"/>
    <col min="13" max="13" width="3.125" style="38" customWidth="1"/>
    <col min="14" max="14" width="3.125" style="2" customWidth="1"/>
    <col min="15" max="15" width="3.125" style="38" customWidth="1"/>
    <col min="16" max="16" width="3.125" style="2" customWidth="1"/>
    <col min="17" max="17" width="3.125" style="38" customWidth="1"/>
    <col min="18" max="30" width="3.125" style="2" customWidth="1"/>
    <col min="31" max="31" width="6.875" style="2" customWidth="1"/>
    <col min="32" max="34" width="3.125" style="2" customWidth="1"/>
    <col min="35" max="35" width="4.625" style="2" customWidth="1"/>
    <col min="36" max="36" width="2.875" style="2" customWidth="1"/>
    <col min="37" max="37" width="9" style="2" customWidth="1"/>
    <col min="38" max="39" width="3.125" style="2" customWidth="1"/>
    <col min="40" max="40" width="2.5" style="2" customWidth="1"/>
    <col min="41" max="41" width="3" style="2" customWidth="1"/>
    <col min="42" max="42" width="2.875" style="2" customWidth="1"/>
    <col min="43" max="43" width="6.25" style="2" customWidth="1"/>
    <col min="44" max="44" width="3.375" style="2" customWidth="1"/>
    <col min="45" max="45" width="6.625" style="2" customWidth="1"/>
    <col min="46" max="47" width="3.375" style="2" customWidth="1"/>
    <col min="48" max="48" width="3.75" style="2" customWidth="1"/>
    <col min="49" max="16384" width="9" style="2"/>
  </cols>
  <sheetData>
    <row r="1" s="1" customFormat="1" spans="1:47">
      <c r="A1" s="1" t="s">
        <v>64</v>
      </c>
      <c r="B1" s="1" t="s">
        <v>1220</v>
      </c>
      <c r="C1" s="3" t="s">
        <v>97</v>
      </c>
      <c r="D1" s="24" t="s">
        <v>98</v>
      </c>
      <c r="E1" s="24" t="s">
        <v>100</v>
      </c>
      <c r="F1" s="24" t="s">
        <v>101</v>
      </c>
      <c r="G1" s="34"/>
      <c r="I1" s="34"/>
      <c r="K1" s="34">
        <v>0.1</v>
      </c>
      <c r="M1" s="34"/>
      <c r="O1" s="34"/>
      <c r="Q1" s="34">
        <v>0.2</v>
      </c>
      <c r="W1" s="1">
        <v>0.3</v>
      </c>
      <c r="AC1" s="1" t="s">
        <v>1269</v>
      </c>
      <c r="AE1" s="1" t="s">
        <v>1270</v>
      </c>
      <c r="AG1" s="1" t="s">
        <v>1271</v>
      </c>
      <c r="AI1" s="1">
        <v>1.2</v>
      </c>
    </row>
    <row r="2" spans="1:47">
      <c r="A2" s="1">
        <v>11</v>
      </c>
      <c r="B2" s="30" t="s">
        <v>1124</v>
      </c>
      <c r="C2" s="3">
        <v>3</v>
      </c>
      <c r="D2" s="4" t="s">
        <v>1272</v>
      </c>
      <c r="E2" s="4" t="str">
        <f>部队设定!E2</f>
        <v>1:10001,10002|2:10001,10002,10003</v>
      </c>
      <c r="F2" s="4" t="str">
        <f>G2&amp;H2&amp;I2&amp;J2&amp;K2&amp;L2&amp;M2&amp;N2&amp;O2&amp;P2&amp;Q2</f>
        <v>2#1#0.4|3#2#0.8</v>
      </c>
      <c r="G2" s="38">
        <v>2</v>
      </c>
      <c r="H2" s="2" t="s">
        <v>1116</v>
      </c>
      <c r="I2" s="38">
        <v>1</v>
      </c>
      <c r="J2" s="2" t="s">
        <v>1116</v>
      </c>
      <c r="K2" s="39">
        <v>0.4</v>
      </c>
      <c r="L2" s="2" t="s">
        <v>1223</v>
      </c>
      <c r="M2" s="38">
        <f>C2</f>
        <v>3</v>
      </c>
      <c r="N2" s="2" t="s">
        <v>1116</v>
      </c>
      <c r="O2" s="38">
        <v>2</v>
      </c>
      <c r="P2" s="2" t="s">
        <v>1116</v>
      </c>
      <c r="Q2" s="39">
        <v>0.8</v>
      </c>
      <c r="AC2" s="1">
        <f>C2-3</f>
        <v>0</v>
      </c>
      <c r="AD2" s="1" t="s">
        <v>1116</v>
      </c>
      <c r="AE2" s="1">
        <v>20001</v>
      </c>
      <c r="AF2" s="1" t="s">
        <v>1116</v>
      </c>
      <c r="AG2" s="1">
        <v>1</v>
      </c>
      <c r="AH2" s="2" t="s">
        <v>1223</v>
      </c>
      <c r="AI2" s="2">
        <f>C2</f>
        <v>3</v>
      </c>
      <c r="AJ2" s="1" t="s">
        <v>1116</v>
      </c>
      <c r="AK2" s="1">
        <v>20004</v>
      </c>
      <c r="AL2" s="1" t="s">
        <v>1116</v>
      </c>
      <c r="AM2" s="2">
        <v>1</v>
      </c>
    </row>
    <row r="3" spans="1:47">
      <c r="A3" s="1">
        <v>12</v>
      </c>
      <c r="B3" s="30" t="s">
        <v>1125</v>
      </c>
      <c r="C3" s="3">
        <v>7</v>
      </c>
      <c r="D3" s="4" t="str">
        <f>AC3&amp;AD3&amp;AE3&amp;AF3&amp;AG3&amp;AH3&amp;AI3&amp;AJ3&amp;AK3&amp;AL3&amp;AM3&amp;AN3&amp;AO3&amp;AP3&amp;AQ3&amp;AR3&amp;AS3&amp;AT3&amp;AU3</f>
        <v>2#20001#1|5#20002#1|7#30001,30002#1</v>
      </c>
      <c r="E3" s="4" t="str">
        <f>部队设定!E3</f>
        <v>1:10001,10002|2:10004,10005,10006|3:10004,10005,10006</v>
      </c>
      <c r="F3" s="4" t="str">
        <f>G3&amp;H3&amp;I3&amp;J3&amp;K3&amp;L3&amp;M3&amp;N3&amp;O3&amp;P3&amp;Q3&amp;R3&amp;S3&amp;T3&amp;U3&amp;V3&amp;W3</f>
        <v>2#1#0.4|5#2#0.8|7#3#1</v>
      </c>
      <c r="G3" s="38">
        <f>M3-3</f>
        <v>2</v>
      </c>
      <c r="H3" s="2" t="s">
        <v>1116</v>
      </c>
      <c r="I3" s="38">
        <v>1</v>
      </c>
      <c r="J3" s="2" t="s">
        <v>1116</v>
      </c>
      <c r="K3" s="39">
        <f>K2</f>
        <v>0.4</v>
      </c>
      <c r="L3" s="2" t="s">
        <v>1223</v>
      </c>
      <c r="M3" s="38">
        <f>C3-2</f>
        <v>5</v>
      </c>
      <c r="N3" s="2" t="s">
        <v>1116</v>
      </c>
      <c r="O3" s="38">
        <v>2</v>
      </c>
      <c r="P3" s="2" t="s">
        <v>1116</v>
      </c>
      <c r="Q3" s="39">
        <f>Q2</f>
        <v>0.8</v>
      </c>
      <c r="R3" s="2" t="s">
        <v>1223</v>
      </c>
      <c r="S3" s="38">
        <f>C3</f>
        <v>7</v>
      </c>
      <c r="T3" s="2" t="s">
        <v>1116</v>
      </c>
      <c r="U3" s="38">
        <v>3</v>
      </c>
      <c r="V3" s="2" t="s">
        <v>1116</v>
      </c>
      <c r="W3" s="40">
        <v>1</v>
      </c>
      <c r="X3" s="41"/>
      <c r="Y3" s="41"/>
      <c r="Z3" s="41"/>
      <c r="AA3" s="41"/>
      <c r="AC3" s="1">
        <f>INT(C3/2.5)</f>
        <v>2</v>
      </c>
      <c r="AD3" s="1" t="s">
        <v>1116</v>
      </c>
      <c r="AE3" s="1">
        <v>20001</v>
      </c>
      <c r="AF3" s="1" t="s">
        <v>1116</v>
      </c>
      <c r="AG3" s="1">
        <v>1</v>
      </c>
      <c r="AH3" s="2" t="s">
        <v>1223</v>
      </c>
      <c r="AI3" s="2">
        <f>INT(C3/$AI$1)</f>
        <v>5</v>
      </c>
      <c r="AJ3" s="1" t="s">
        <v>1116</v>
      </c>
      <c r="AK3" s="1">
        <v>20002</v>
      </c>
      <c r="AL3" s="1" t="s">
        <v>1116</v>
      </c>
      <c r="AM3" s="2">
        <v>1</v>
      </c>
      <c r="AN3" s="2" t="s">
        <v>1223</v>
      </c>
      <c r="AO3" s="2">
        <f>C3</f>
        <v>7</v>
      </c>
      <c r="AP3" s="1" t="s">
        <v>1116</v>
      </c>
      <c r="AQ3" s="1">
        <v>30001</v>
      </c>
      <c r="AR3" s="1" t="s">
        <v>1222</v>
      </c>
      <c r="AS3" s="1">
        <v>30002</v>
      </c>
      <c r="AT3" s="1" t="s">
        <v>1116</v>
      </c>
      <c r="AU3" s="2">
        <v>1</v>
      </c>
    </row>
    <row r="4" spans="1:47">
      <c r="A4" s="1">
        <v>13</v>
      </c>
      <c r="B4" s="30" t="s">
        <v>1126</v>
      </c>
      <c r="C4" s="3">
        <v>8</v>
      </c>
      <c r="D4" s="4" t="str">
        <f t="shared" ref="D4:D35" si="0">AC4&amp;AD4&amp;AE4&amp;AF4&amp;AG4&amp;AH4&amp;AI4&amp;AJ4&amp;AK4&amp;AL4&amp;AM4&amp;AN4&amp;AO4&amp;AP4&amp;AQ4&amp;AR4&amp;AS4&amp;AT4&amp;AU4</f>
        <v>3#20003#1|6#20004#1|8#30001,30002#1</v>
      </c>
      <c r="E4" s="4" t="str">
        <f>部队设定!E4</f>
        <v>1:10004,10005|2:10004,10005,10006|3:10004,10005,10006</v>
      </c>
      <c r="F4" s="4" t="str">
        <f t="shared" ref="F4:F25" si="1">G4&amp;H4&amp;I4&amp;J4&amp;K4&amp;L4&amp;M4&amp;N4&amp;O4&amp;P4&amp;Q4&amp;R4&amp;S4&amp;T4&amp;U4&amp;V4&amp;W4</f>
        <v>3#1#0.4|6#2#0.8|8#3#1</v>
      </c>
      <c r="G4" s="38">
        <f t="shared" ref="G4:G35" si="2">M4-3</f>
        <v>3</v>
      </c>
      <c r="H4" s="2" t="s">
        <v>1116</v>
      </c>
      <c r="I4" s="38">
        <v>1</v>
      </c>
      <c r="J4" s="2" t="s">
        <v>1116</v>
      </c>
      <c r="K4" s="39">
        <f>K3</f>
        <v>0.4</v>
      </c>
      <c r="L4" s="2" t="s">
        <v>1223</v>
      </c>
      <c r="M4" s="38">
        <f t="shared" ref="M4:M25" si="3">C4-2</f>
        <v>6</v>
      </c>
      <c r="N4" s="2" t="s">
        <v>1116</v>
      </c>
      <c r="O4" s="38">
        <v>2</v>
      </c>
      <c r="P4" s="2" t="s">
        <v>1116</v>
      </c>
      <c r="Q4" s="39">
        <f>Q3</f>
        <v>0.8</v>
      </c>
      <c r="R4" s="2" t="s">
        <v>1223</v>
      </c>
      <c r="S4" s="38">
        <f t="shared" ref="S4:S25" si="4">C4</f>
        <v>8</v>
      </c>
      <c r="T4" s="2" t="s">
        <v>1116</v>
      </c>
      <c r="U4" s="38">
        <v>3</v>
      </c>
      <c r="V4" s="2" t="s">
        <v>1116</v>
      </c>
      <c r="W4" s="40">
        <v>1</v>
      </c>
      <c r="X4" s="41"/>
      <c r="Y4" s="41"/>
      <c r="Z4" s="41"/>
      <c r="AA4" s="41"/>
      <c r="AC4" s="1">
        <f>INT(C4/2.5)</f>
        <v>3</v>
      </c>
      <c r="AD4" s="1" t="s">
        <v>1116</v>
      </c>
      <c r="AE4" s="1">
        <v>20003</v>
      </c>
      <c r="AF4" s="1" t="s">
        <v>1116</v>
      </c>
      <c r="AG4" s="1">
        <v>1</v>
      </c>
      <c r="AH4" s="2" t="s">
        <v>1223</v>
      </c>
      <c r="AI4" s="2">
        <f t="shared" ref="AI4:AI35" si="5">INT(C4/$AI$1)</f>
        <v>6</v>
      </c>
      <c r="AJ4" s="1" t="s">
        <v>1116</v>
      </c>
      <c r="AK4" s="1">
        <v>20004</v>
      </c>
      <c r="AL4" s="1" t="s">
        <v>1116</v>
      </c>
      <c r="AM4" s="2">
        <v>1</v>
      </c>
      <c r="AN4" s="2" t="s">
        <v>1223</v>
      </c>
      <c r="AO4" s="2">
        <f>C4</f>
        <v>8</v>
      </c>
      <c r="AP4" s="1" t="s">
        <v>1116</v>
      </c>
      <c r="AQ4" s="1">
        <v>30001</v>
      </c>
      <c r="AR4" s="1" t="s">
        <v>1222</v>
      </c>
      <c r="AS4" s="1">
        <v>30002</v>
      </c>
      <c r="AT4" s="1" t="s">
        <v>1116</v>
      </c>
      <c r="AU4" s="2">
        <v>1</v>
      </c>
    </row>
    <row r="5" spans="1:47">
      <c r="A5" s="1">
        <v>14</v>
      </c>
      <c r="B5" s="30" t="s">
        <v>1127</v>
      </c>
      <c r="C5" s="3">
        <v>9</v>
      </c>
      <c r="D5" s="4" t="str">
        <f t="shared" si="0"/>
        <v>3#30001#1|7#30002#1|9#30003,30004#1</v>
      </c>
      <c r="E5" s="4" t="str">
        <f>部队设定!E5</f>
        <v>1:10004,10005|2:10004,10005,10006|3:10006,10007,10010</v>
      </c>
      <c r="F5" s="4" t="str">
        <f t="shared" si="1"/>
        <v>4#1#0.5|7#2#1|9#3#1.3</v>
      </c>
      <c r="G5" s="38">
        <f t="shared" si="2"/>
        <v>4</v>
      </c>
      <c r="H5" s="2" t="s">
        <v>1116</v>
      </c>
      <c r="I5" s="38">
        <v>1</v>
      </c>
      <c r="J5" s="2" t="s">
        <v>1116</v>
      </c>
      <c r="K5" s="39">
        <f>K2+$K$1</f>
        <v>0.5</v>
      </c>
      <c r="L5" s="2" t="s">
        <v>1223</v>
      </c>
      <c r="M5" s="38">
        <f t="shared" si="3"/>
        <v>7</v>
      </c>
      <c r="N5" s="2" t="s">
        <v>1116</v>
      </c>
      <c r="O5" s="38">
        <v>2</v>
      </c>
      <c r="P5" s="2" t="s">
        <v>1116</v>
      </c>
      <c r="Q5" s="39">
        <f>Q2+$Q$1</f>
        <v>1</v>
      </c>
      <c r="R5" s="2" t="s">
        <v>1223</v>
      </c>
      <c r="S5" s="38">
        <f t="shared" si="4"/>
        <v>9</v>
      </c>
      <c r="T5" s="2" t="s">
        <v>1116</v>
      </c>
      <c r="U5" s="38">
        <v>3</v>
      </c>
      <c r="V5" s="2" t="s">
        <v>1116</v>
      </c>
      <c r="W5" s="40">
        <f>W3+$W$1</f>
        <v>1.3</v>
      </c>
      <c r="X5" s="41"/>
      <c r="Y5" s="41"/>
      <c r="Z5" s="41"/>
      <c r="AA5" s="41"/>
      <c r="AC5" s="1">
        <f t="shared" ref="AC5:AC36" si="6">INT(C5/2.5)</f>
        <v>3</v>
      </c>
      <c r="AD5" s="1" t="s">
        <v>1116</v>
      </c>
      <c r="AE5" s="1">
        <v>30001</v>
      </c>
      <c r="AF5" s="1" t="s">
        <v>1116</v>
      </c>
      <c r="AG5" s="1">
        <v>1</v>
      </c>
      <c r="AH5" s="2" t="s">
        <v>1223</v>
      </c>
      <c r="AI5" s="2">
        <f t="shared" si="5"/>
        <v>7</v>
      </c>
      <c r="AJ5" s="1" t="s">
        <v>1116</v>
      </c>
      <c r="AK5" s="1">
        <v>30002</v>
      </c>
      <c r="AL5" s="1" t="s">
        <v>1116</v>
      </c>
      <c r="AM5" s="2">
        <v>1</v>
      </c>
      <c r="AN5" s="2" t="s">
        <v>1223</v>
      </c>
      <c r="AO5" s="2">
        <f t="shared" ref="AO5:AO36" si="7">C5</f>
        <v>9</v>
      </c>
      <c r="AP5" s="1" t="s">
        <v>1116</v>
      </c>
      <c r="AQ5" s="1">
        <v>30003</v>
      </c>
      <c r="AR5" s="1" t="s">
        <v>1222</v>
      </c>
      <c r="AS5" s="1">
        <v>30004</v>
      </c>
      <c r="AT5" s="1" t="s">
        <v>1116</v>
      </c>
      <c r="AU5" s="2">
        <v>1</v>
      </c>
    </row>
    <row r="6" spans="1:47">
      <c r="A6" s="1">
        <v>15</v>
      </c>
      <c r="B6" s="30" t="s">
        <v>1128</v>
      </c>
      <c r="C6" s="3">
        <v>8</v>
      </c>
      <c r="D6" s="4" t="str">
        <f t="shared" si="0"/>
        <v>3#30001#1|6#30002#1|8#30003,30004#1</v>
      </c>
      <c r="E6" s="4" t="str">
        <f>部队设定!E6</f>
        <v>1:10004,10005|2:10006,10007,10010|3:10006,10008,10010</v>
      </c>
      <c r="F6" s="4" t="str">
        <f t="shared" si="1"/>
        <v>3#1#0.5|6#2#1|8#3#1.3</v>
      </c>
      <c r="G6" s="38">
        <f t="shared" si="2"/>
        <v>3</v>
      </c>
      <c r="H6" s="2" t="s">
        <v>1116</v>
      </c>
      <c r="I6" s="38">
        <v>1</v>
      </c>
      <c r="J6" s="2" t="s">
        <v>1116</v>
      </c>
      <c r="K6" s="39">
        <f>K5</f>
        <v>0.5</v>
      </c>
      <c r="L6" s="2" t="s">
        <v>1223</v>
      </c>
      <c r="M6" s="38">
        <f t="shared" si="3"/>
        <v>6</v>
      </c>
      <c r="N6" s="2" t="s">
        <v>1116</v>
      </c>
      <c r="O6" s="38">
        <v>2</v>
      </c>
      <c r="P6" s="2" t="s">
        <v>1116</v>
      </c>
      <c r="Q6" s="39">
        <f t="shared" ref="Q5:Q36" si="8">Q5</f>
        <v>1</v>
      </c>
      <c r="R6" s="2" t="s">
        <v>1223</v>
      </c>
      <c r="S6" s="38">
        <f t="shared" si="4"/>
        <v>8</v>
      </c>
      <c r="T6" s="2" t="s">
        <v>1116</v>
      </c>
      <c r="U6" s="38">
        <v>3</v>
      </c>
      <c r="V6" s="2" t="s">
        <v>1116</v>
      </c>
      <c r="W6" s="40">
        <f t="shared" ref="W6:W8" si="9">W5</f>
        <v>1.3</v>
      </c>
      <c r="X6" s="41"/>
      <c r="Y6" s="41"/>
      <c r="Z6" s="41"/>
      <c r="AA6" s="41"/>
      <c r="AC6" s="1">
        <f t="shared" si="6"/>
        <v>3</v>
      </c>
      <c r="AD6" s="1" t="s">
        <v>1116</v>
      </c>
      <c r="AE6" s="1">
        <v>30001</v>
      </c>
      <c r="AF6" s="1" t="s">
        <v>1116</v>
      </c>
      <c r="AG6" s="1">
        <v>1</v>
      </c>
      <c r="AH6" s="2" t="s">
        <v>1223</v>
      </c>
      <c r="AI6" s="2">
        <f t="shared" si="5"/>
        <v>6</v>
      </c>
      <c r="AJ6" s="1" t="s">
        <v>1116</v>
      </c>
      <c r="AK6" s="1">
        <v>30002</v>
      </c>
      <c r="AL6" s="1" t="s">
        <v>1116</v>
      </c>
      <c r="AM6" s="2">
        <v>1</v>
      </c>
      <c r="AN6" s="2" t="s">
        <v>1223</v>
      </c>
      <c r="AO6" s="2">
        <f t="shared" si="7"/>
        <v>8</v>
      </c>
      <c r="AP6" s="1" t="s">
        <v>1116</v>
      </c>
      <c r="AQ6" s="1">
        <v>30003</v>
      </c>
      <c r="AR6" s="1" t="s">
        <v>1222</v>
      </c>
      <c r="AS6" s="1">
        <v>30004</v>
      </c>
      <c r="AT6" s="1" t="s">
        <v>1116</v>
      </c>
      <c r="AU6" s="2">
        <v>1</v>
      </c>
    </row>
    <row r="7" spans="1:47">
      <c r="A7" s="1">
        <v>16</v>
      </c>
      <c r="B7" s="30" t="s">
        <v>1129</v>
      </c>
      <c r="C7" s="3">
        <v>9</v>
      </c>
      <c r="D7" s="4" t="str">
        <f t="shared" si="0"/>
        <v>3#30001#1|7#30002#1|9#30001,30004#1</v>
      </c>
      <c r="E7" s="4" t="str">
        <f>部队设定!E7</f>
        <v>1:10006,10007|2:10006,10008,10010|3:10006,10007,10010</v>
      </c>
      <c r="F7" s="4" t="str">
        <f t="shared" si="1"/>
        <v>4#1#0.8|7#2#1.2|9#3#1.4</v>
      </c>
      <c r="G7" s="38">
        <f t="shared" si="2"/>
        <v>4</v>
      </c>
      <c r="H7" s="2" t="s">
        <v>1116</v>
      </c>
      <c r="I7" s="38">
        <v>1</v>
      </c>
      <c r="J7" s="2" t="s">
        <v>1116</v>
      </c>
      <c r="K7" s="41">
        <v>0.8</v>
      </c>
      <c r="L7" s="2" t="s">
        <v>1223</v>
      </c>
      <c r="M7" s="38">
        <f t="shared" si="3"/>
        <v>7</v>
      </c>
      <c r="N7" s="2" t="s">
        <v>1116</v>
      </c>
      <c r="O7" s="38">
        <v>2</v>
      </c>
      <c r="P7" s="2" t="s">
        <v>1116</v>
      </c>
      <c r="Q7" s="38">
        <v>1.2</v>
      </c>
      <c r="R7" s="2" t="s">
        <v>1223</v>
      </c>
      <c r="S7" s="38">
        <f t="shared" si="4"/>
        <v>9</v>
      </c>
      <c r="T7" s="2" t="s">
        <v>1116</v>
      </c>
      <c r="U7" s="38">
        <v>3</v>
      </c>
      <c r="V7" s="2" t="s">
        <v>1116</v>
      </c>
      <c r="W7" s="38">
        <v>1.4</v>
      </c>
      <c r="X7" s="41"/>
      <c r="Y7" s="41"/>
      <c r="Z7" s="41"/>
      <c r="AA7" s="41"/>
      <c r="AC7" s="1">
        <f t="shared" si="6"/>
        <v>3</v>
      </c>
      <c r="AD7" s="1" t="s">
        <v>1116</v>
      </c>
      <c r="AE7" s="1">
        <v>30001</v>
      </c>
      <c r="AF7" s="1" t="s">
        <v>1116</v>
      </c>
      <c r="AG7" s="1">
        <v>1</v>
      </c>
      <c r="AH7" s="2" t="s">
        <v>1223</v>
      </c>
      <c r="AI7" s="2">
        <f t="shared" si="5"/>
        <v>7</v>
      </c>
      <c r="AJ7" s="1" t="s">
        <v>1116</v>
      </c>
      <c r="AK7" s="1">
        <v>30002</v>
      </c>
      <c r="AL7" s="1" t="s">
        <v>1116</v>
      </c>
      <c r="AM7" s="2">
        <v>1</v>
      </c>
      <c r="AN7" s="2" t="s">
        <v>1223</v>
      </c>
      <c r="AO7" s="2">
        <f t="shared" si="7"/>
        <v>9</v>
      </c>
      <c r="AP7" s="1" t="s">
        <v>1116</v>
      </c>
      <c r="AQ7" s="1">
        <v>30001</v>
      </c>
      <c r="AR7" s="1" t="s">
        <v>1222</v>
      </c>
      <c r="AS7" s="1">
        <v>30004</v>
      </c>
      <c r="AT7" s="1" t="s">
        <v>1116</v>
      </c>
      <c r="AU7" s="2">
        <v>1</v>
      </c>
    </row>
    <row r="8" spans="1:47">
      <c r="A8" s="1">
        <v>17</v>
      </c>
      <c r="B8" s="30" t="s">
        <v>1130</v>
      </c>
      <c r="C8" s="3">
        <v>9</v>
      </c>
      <c r="D8" s="4" t="str">
        <f t="shared" si="0"/>
        <v>3#30001#1|7#30002#1|9#30001,30004#1</v>
      </c>
      <c r="E8" s="4" t="str">
        <f>部队设定!E8</f>
        <v>1:10006,10008|2:10006,10007,10010|3:10006,10010,10009</v>
      </c>
      <c r="F8" s="4" t="str">
        <f t="shared" si="1"/>
        <v>4#1#0.8|7#2#1.2|9#3#1.4</v>
      </c>
      <c r="G8" s="38">
        <f t="shared" si="2"/>
        <v>4</v>
      </c>
      <c r="H8" s="2" t="s">
        <v>1116</v>
      </c>
      <c r="I8" s="38">
        <v>1</v>
      </c>
      <c r="J8" s="2" t="s">
        <v>1116</v>
      </c>
      <c r="K8" s="38">
        <f t="shared" ref="K5:K36" si="10">K7</f>
        <v>0.8</v>
      </c>
      <c r="L8" s="2" t="s">
        <v>1223</v>
      </c>
      <c r="M8" s="38">
        <f t="shared" si="3"/>
        <v>7</v>
      </c>
      <c r="N8" s="2" t="s">
        <v>1116</v>
      </c>
      <c r="O8" s="38">
        <v>2</v>
      </c>
      <c r="P8" s="2" t="s">
        <v>1116</v>
      </c>
      <c r="Q8" s="38">
        <f t="shared" si="8"/>
        <v>1.2</v>
      </c>
      <c r="R8" s="2" t="s">
        <v>1223</v>
      </c>
      <c r="S8" s="38">
        <f t="shared" si="4"/>
        <v>9</v>
      </c>
      <c r="T8" s="2" t="s">
        <v>1116</v>
      </c>
      <c r="U8" s="38">
        <v>3</v>
      </c>
      <c r="V8" s="2" t="s">
        <v>1116</v>
      </c>
      <c r="W8" s="38">
        <f t="shared" si="9"/>
        <v>1.4</v>
      </c>
      <c r="X8" s="41"/>
      <c r="Y8" s="41"/>
      <c r="Z8" s="41"/>
      <c r="AA8" s="41"/>
      <c r="AC8" s="1">
        <f t="shared" si="6"/>
        <v>3</v>
      </c>
      <c r="AD8" s="1" t="s">
        <v>1116</v>
      </c>
      <c r="AE8" s="1">
        <v>30001</v>
      </c>
      <c r="AF8" s="1" t="s">
        <v>1116</v>
      </c>
      <c r="AG8" s="1">
        <v>1</v>
      </c>
      <c r="AH8" s="2" t="s">
        <v>1223</v>
      </c>
      <c r="AI8" s="2">
        <f t="shared" si="5"/>
        <v>7</v>
      </c>
      <c r="AJ8" s="1" t="s">
        <v>1116</v>
      </c>
      <c r="AK8" s="1">
        <v>30002</v>
      </c>
      <c r="AL8" s="1" t="s">
        <v>1116</v>
      </c>
      <c r="AM8" s="2">
        <v>1</v>
      </c>
      <c r="AN8" s="2" t="s">
        <v>1223</v>
      </c>
      <c r="AO8" s="2">
        <f t="shared" si="7"/>
        <v>9</v>
      </c>
      <c r="AP8" s="1" t="s">
        <v>1116</v>
      </c>
      <c r="AQ8" s="1">
        <v>30001</v>
      </c>
      <c r="AR8" s="1" t="s">
        <v>1222</v>
      </c>
      <c r="AS8" s="1">
        <v>30004</v>
      </c>
      <c r="AT8" s="1" t="s">
        <v>1116</v>
      </c>
      <c r="AU8" s="2">
        <v>1</v>
      </c>
    </row>
    <row r="9" spans="1:47">
      <c r="A9" s="1">
        <v>18</v>
      </c>
      <c r="B9" s="30" t="s">
        <v>1131</v>
      </c>
      <c r="C9" s="3">
        <v>10</v>
      </c>
      <c r="D9" s="4" t="str">
        <f t="shared" si="0"/>
        <v>4#30001#1|8#30002#1|10#30001,30004#1</v>
      </c>
      <c r="E9" s="4" t="str">
        <f>部队设定!E9</f>
        <v>1:10006,10007|2:10006,10010,10009|3:10020,10021,10023</v>
      </c>
      <c r="F9" s="4" t="str">
        <f t="shared" si="1"/>
        <v>5#1#0.9|8#2#1.4|10#3#1.7</v>
      </c>
      <c r="G9" s="38">
        <f t="shared" si="2"/>
        <v>5</v>
      </c>
      <c r="H9" s="2" t="s">
        <v>1116</v>
      </c>
      <c r="I9" s="38">
        <v>1</v>
      </c>
      <c r="J9" s="2" t="s">
        <v>1116</v>
      </c>
      <c r="K9" s="41">
        <f>K7+$K$1</f>
        <v>0.9</v>
      </c>
      <c r="L9" s="2" t="s">
        <v>1223</v>
      </c>
      <c r="M9" s="38">
        <f t="shared" si="3"/>
        <v>8</v>
      </c>
      <c r="N9" s="2" t="s">
        <v>1116</v>
      </c>
      <c r="O9" s="38">
        <v>2</v>
      </c>
      <c r="P9" s="2" t="s">
        <v>1116</v>
      </c>
      <c r="Q9" s="41">
        <f>Q7+$Q$1</f>
        <v>1.4</v>
      </c>
      <c r="R9" s="2" t="s">
        <v>1223</v>
      </c>
      <c r="S9" s="38">
        <f t="shared" si="4"/>
        <v>10</v>
      </c>
      <c r="T9" s="2" t="s">
        <v>1116</v>
      </c>
      <c r="U9" s="38">
        <v>3</v>
      </c>
      <c r="V9" s="2" t="s">
        <v>1116</v>
      </c>
      <c r="W9" s="41">
        <f>W7+$W$1</f>
        <v>1.7</v>
      </c>
      <c r="X9" s="41"/>
      <c r="Y9" s="41"/>
      <c r="Z9" s="41"/>
      <c r="AA9" s="41"/>
      <c r="AC9" s="1">
        <f t="shared" si="6"/>
        <v>4</v>
      </c>
      <c r="AD9" s="1" t="s">
        <v>1116</v>
      </c>
      <c r="AE9" s="1">
        <v>30001</v>
      </c>
      <c r="AF9" s="1" t="s">
        <v>1116</v>
      </c>
      <c r="AG9" s="1">
        <v>1</v>
      </c>
      <c r="AH9" s="2" t="s">
        <v>1223</v>
      </c>
      <c r="AI9" s="2">
        <f t="shared" si="5"/>
        <v>8</v>
      </c>
      <c r="AJ9" s="1" t="s">
        <v>1116</v>
      </c>
      <c r="AK9" s="1">
        <v>30002</v>
      </c>
      <c r="AL9" s="1" t="s">
        <v>1116</v>
      </c>
      <c r="AM9" s="2">
        <v>1</v>
      </c>
      <c r="AN9" s="2" t="s">
        <v>1223</v>
      </c>
      <c r="AO9" s="2">
        <f t="shared" si="7"/>
        <v>10</v>
      </c>
      <c r="AP9" s="1" t="s">
        <v>1116</v>
      </c>
      <c r="AQ9" s="1">
        <v>30001</v>
      </c>
      <c r="AR9" s="1" t="s">
        <v>1222</v>
      </c>
      <c r="AS9" s="1">
        <v>30004</v>
      </c>
      <c r="AT9" s="1" t="s">
        <v>1116</v>
      </c>
      <c r="AU9" s="2">
        <v>1</v>
      </c>
    </row>
    <row r="10" spans="1:47">
      <c r="A10" s="1">
        <v>21</v>
      </c>
      <c r="B10" s="30" t="s">
        <v>1132</v>
      </c>
      <c r="C10" s="3">
        <v>8</v>
      </c>
      <c r="D10" s="4" t="str">
        <f t="shared" si="0"/>
        <v>3#30001#1|6#30002#1|8#30001,30004#1</v>
      </c>
      <c r="E10" s="4" t="str">
        <f>部队设定!E10</f>
        <v>1:10006,10010|2:10020,10021,10023|3:10020,10021,10023</v>
      </c>
      <c r="F10" s="4" t="str">
        <f t="shared" si="1"/>
        <v>3#1#0.9|6#2#1.4|8#3#1.7</v>
      </c>
      <c r="G10" s="38">
        <f t="shared" si="2"/>
        <v>3</v>
      </c>
      <c r="H10" s="2" t="s">
        <v>1116</v>
      </c>
      <c r="I10" s="38">
        <v>1</v>
      </c>
      <c r="J10" s="2" t="s">
        <v>1116</v>
      </c>
      <c r="K10" s="38">
        <f>K9</f>
        <v>0.9</v>
      </c>
      <c r="L10" s="2" t="s">
        <v>1223</v>
      </c>
      <c r="M10" s="38">
        <f t="shared" si="3"/>
        <v>6</v>
      </c>
      <c r="N10" s="2" t="s">
        <v>1116</v>
      </c>
      <c r="O10" s="38">
        <v>2</v>
      </c>
      <c r="P10" s="2" t="s">
        <v>1116</v>
      </c>
      <c r="Q10" s="38">
        <f>Q9</f>
        <v>1.4</v>
      </c>
      <c r="R10" s="2" t="s">
        <v>1223</v>
      </c>
      <c r="S10" s="38">
        <f t="shared" si="4"/>
        <v>8</v>
      </c>
      <c r="T10" s="2" t="s">
        <v>1116</v>
      </c>
      <c r="U10" s="38">
        <v>3</v>
      </c>
      <c r="V10" s="2" t="s">
        <v>1116</v>
      </c>
      <c r="W10" s="38">
        <f t="shared" ref="W10:W12" si="11">W9</f>
        <v>1.7</v>
      </c>
      <c r="X10" s="41"/>
      <c r="Y10" s="41"/>
      <c r="Z10" s="41"/>
      <c r="AA10" s="41"/>
      <c r="AC10" s="1">
        <f t="shared" si="6"/>
        <v>3</v>
      </c>
      <c r="AD10" s="1" t="s">
        <v>1116</v>
      </c>
      <c r="AE10" s="1">
        <v>30001</v>
      </c>
      <c r="AF10" s="1" t="s">
        <v>1116</v>
      </c>
      <c r="AG10" s="1">
        <v>1</v>
      </c>
      <c r="AH10" s="2" t="s">
        <v>1223</v>
      </c>
      <c r="AI10" s="2">
        <f t="shared" si="5"/>
        <v>6</v>
      </c>
      <c r="AJ10" s="1" t="s">
        <v>1116</v>
      </c>
      <c r="AK10" s="1">
        <v>30002</v>
      </c>
      <c r="AL10" s="1" t="s">
        <v>1116</v>
      </c>
      <c r="AM10" s="2">
        <v>1</v>
      </c>
      <c r="AN10" s="2" t="s">
        <v>1223</v>
      </c>
      <c r="AO10" s="2">
        <f t="shared" si="7"/>
        <v>8</v>
      </c>
      <c r="AP10" s="1" t="s">
        <v>1116</v>
      </c>
      <c r="AQ10" s="1">
        <v>30001</v>
      </c>
      <c r="AR10" s="1" t="s">
        <v>1222</v>
      </c>
      <c r="AS10" s="1">
        <v>30004</v>
      </c>
      <c r="AT10" s="1" t="s">
        <v>1116</v>
      </c>
      <c r="AU10" s="2">
        <v>1</v>
      </c>
    </row>
    <row r="11" spans="1:47">
      <c r="A11" s="1">
        <v>22</v>
      </c>
      <c r="B11" s="30" t="s">
        <v>1133</v>
      </c>
      <c r="C11" s="3">
        <v>8</v>
      </c>
      <c r="D11" s="4" t="str">
        <f t="shared" si="0"/>
        <v>3#30001#1|6#30002#1|8#30001,30004#1</v>
      </c>
      <c r="E11" s="4" t="str">
        <f>部队设定!E11</f>
        <v>1:10020,10021|2:10020,10021,10023|3:10020,10021,10023</v>
      </c>
      <c r="F11" s="4" t="str">
        <f t="shared" si="1"/>
        <v>3#1#0.9|6#2#1.4|8#3#1.7</v>
      </c>
      <c r="G11" s="38">
        <f t="shared" si="2"/>
        <v>3</v>
      </c>
      <c r="H11" s="2" t="s">
        <v>1116</v>
      </c>
      <c r="I11" s="38">
        <v>1</v>
      </c>
      <c r="J11" s="2" t="s">
        <v>1116</v>
      </c>
      <c r="K11" s="38">
        <f t="shared" si="10"/>
        <v>0.9</v>
      </c>
      <c r="L11" s="2" t="s">
        <v>1223</v>
      </c>
      <c r="M11" s="38">
        <f t="shared" si="3"/>
        <v>6</v>
      </c>
      <c r="N11" s="2" t="s">
        <v>1116</v>
      </c>
      <c r="O11" s="38">
        <v>2</v>
      </c>
      <c r="P11" s="2" t="s">
        <v>1116</v>
      </c>
      <c r="Q11" s="38">
        <f t="shared" si="8"/>
        <v>1.4</v>
      </c>
      <c r="R11" s="2" t="s">
        <v>1223</v>
      </c>
      <c r="S11" s="38">
        <f t="shared" si="4"/>
        <v>8</v>
      </c>
      <c r="T11" s="2" t="s">
        <v>1116</v>
      </c>
      <c r="U11" s="38">
        <v>3</v>
      </c>
      <c r="V11" s="2" t="s">
        <v>1116</v>
      </c>
      <c r="W11" s="38">
        <f t="shared" si="11"/>
        <v>1.7</v>
      </c>
      <c r="X11" s="41"/>
      <c r="Y11" s="41"/>
      <c r="Z11" s="41"/>
      <c r="AA11" s="41"/>
      <c r="AC11" s="1">
        <f t="shared" si="6"/>
        <v>3</v>
      </c>
      <c r="AD11" s="1" t="s">
        <v>1116</v>
      </c>
      <c r="AE11" s="1">
        <v>30001</v>
      </c>
      <c r="AF11" s="1" t="s">
        <v>1116</v>
      </c>
      <c r="AG11" s="1">
        <v>1</v>
      </c>
      <c r="AH11" s="2" t="s">
        <v>1223</v>
      </c>
      <c r="AI11" s="2">
        <f t="shared" si="5"/>
        <v>6</v>
      </c>
      <c r="AJ11" s="1" t="s">
        <v>1116</v>
      </c>
      <c r="AK11" s="1">
        <v>30002</v>
      </c>
      <c r="AL11" s="1" t="s">
        <v>1116</v>
      </c>
      <c r="AM11" s="2">
        <v>1</v>
      </c>
      <c r="AN11" s="2" t="s">
        <v>1223</v>
      </c>
      <c r="AO11" s="2">
        <f t="shared" si="7"/>
        <v>8</v>
      </c>
      <c r="AP11" s="1" t="s">
        <v>1116</v>
      </c>
      <c r="AQ11" s="1">
        <v>30001</v>
      </c>
      <c r="AR11" s="1" t="s">
        <v>1222</v>
      </c>
      <c r="AS11" s="1">
        <v>30004</v>
      </c>
      <c r="AT11" s="1" t="s">
        <v>1116</v>
      </c>
      <c r="AU11" s="2">
        <v>1</v>
      </c>
    </row>
    <row r="12" spans="1:47">
      <c r="A12" s="1">
        <v>23</v>
      </c>
      <c r="B12" s="30" t="s">
        <v>1134</v>
      </c>
      <c r="C12" s="3">
        <v>9</v>
      </c>
      <c r="D12" s="4" t="str">
        <f t="shared" si="0"/>
        <v>3#30001#1|7#30002#1|9#30001,30004#1</v>
      </c>
      <c r="E12" s="4" t="str">
        <f>部队设定!E12</f>
        <v>1:10020,10021|2:10020,10021,10023|3:10020,10021,10023</v>
      </c>
      <c r="F12" s="4" t="str">
        <f t="shared" si="1"/>
        <v>4#1#0.9|7#2#1.4|9#3#1.7</v>
      </c>
      <c r="G12" s="38">
        <f t="shared" si="2"/>
        <v>4</v>
      </c>
      <c r="H12" s="2" t="s">
        <v>1116</v>
      </c>
      <c r="I12" s="38">
        <v>1</v>
      </c>
      <c r="J12" s="2" t="s">
        <v>1116</v>
      </c>
      <c r="K12" s="38">
        <f t="shared" si="10"/>
        <v>0.9</v>
      </c>
      <c r="L12" s="2" t="s">
        <v>1223</v>
      </c>
      <c r="M12" s="38">
        <f t="shared" si="3"/>
        <v>7</v>
      </c>
      <c r="N12" s="2" t="s">
        <v>1116</v>
      </c>
      <c r="O12" s="38">
        <v>2</v>
      </c>
      <c r="P12" s="2" t="s">
        <v>1116</v>
      </c>
      <c r="Q12" s="38">
        <f t="shared" si="8"/>
        <v>1.4</v>
      </c>
      <c r="R12" s="2" t="s">
        <v>1223</v>
      </c>
      <c r="S12" s="38">
        <f t="shared" si="4"/>
        <v>9</v>
      </c>
      <c r="T12" s="2" t="s">
        <v>1116</v>
      </c>
      <c r="U12" s="38">
        <v>3</v>
      </c>
      <c r="V12" s="2" t="s">
        <v>1116</v>
      </c>
      <c r="W12" s="38">
        <f t="shared" si="11"/>
        <v>1.7</v>
      </c>
      <c r="X12" s="41"/>
      <c r="Y12" s="41"/>
      <c r="Z12" s="41"/>
      <c r="AA12" s="41"/>
      <c r="AC12" s="1">
        <f t="shared" si="6"/>
        <v>3</v>
      </c>
      <c r="AD12" s="1" t="s">
        <v>1116</v>
      </c>
      <c r="AE12" s="1">
        <v>30001</v>
      </c>
      <c r="AF12" s="1" t="s">
        <v>1116</v>
      </c>
      <c r="AG12" s="1">
        <v>1</v>
      </c>
      <c r="AH12" s="2" t="s">
        <v>1223</v>
      </c>
      <c r="AI12" s="2">
        <f t="shared" si="5"/>
        <v>7</v>
      </c>
      <c r="AJ12" s="1" t="s">
        <v>1116</v>
      </c>
      <c r="AK12" s="1">
        <v>30002</v>
      </c>
      <c r="AL12" s="1" t="s">
        <v>1116</v>
      </c>
      <c r="AM12" s="2">
        <v>1</v>
      </c>
      <c r="AN12" s="2" t="s">
        <v>1223</v>
      </c>
      <c r="AO12" s="2">
        <f t="shared" si="7"/>
        <v>9</v>
      </c>
      <c r="AP12" s="1" t="s">
        <v>1116</v>
      </c>
      <c r="AQ12" s="1">
        <v>30001</v>
      </c>
      <c r="AR12" s="1" t="s">
        <v>1222</v>
      </c>
      <c r="AS12" s="1">
        <v>30004</v>
      </c>
      <c r="AT12" s="1" t="s">
        <v>1116</v>
      </c>
      <c r="AU12" s="2">
        <v>1</v>
      </c>
    </row>
    <row r="13" spans="1:47">
      <c r="A13" s="1">
        <v>24</v>
      </c>
      <c r="B13" s="30" t="s">
        <v>1135</v>
      </c>
      <c r="C13" s="3">
        <v>10</v>
      </c>
      <c r="D13" s="4" t="str">
        <f t="shared" si="0"/>
        <v>4#30001#1|8#30002#1|10#30001,30004#1</v>
      </c>
      <c r="E13" s="4" t="str">
        <f>部队设定!E13</f>
        <v>1:10020,10021|2:10020,10021,10023|3:10025,10026,10028</v>
      </c>
      <c r="F13" s="4" t="str">
        <f t="shared" si="1"/>
        <v>5#1#1|8#2#1.6|10#3#2</v>
      </c>
      <c r="G13" s="38">
        <f t="shared" si="2"/>
        <v>5</v>
      </c>
      <c r="H13" s="2" t="s">
        <v>1116</v>
      </c>
      <c r="I13" s="38">
        <v>1</v>
      </c>
      <c r="J13" s="2" t="s">
        <v>1116</v>
      </c>
      <c r="K13" s="41">
        <f>K10+$K$1</f>
        <v>1</v>
      </c>
      <c r="L13" s="2" t="s">
        <v>1223</v>
      </c>
      <c r="M13" s="38">
        <f t="shared" si="3"/>
        <v>8</v>
      </c>
      <c r="N13" s="2" t="s">
        <v>1116</v>
      </c>
      <c r="O13" s="38">
        <v>2</v>
      </c>
      <c r="P13" s="2" t="s">
        <v>1116</v>
      </c>
      <c r="Q13" s="41">
        <f>Q9+$Q$1</f>
        <v>1.6</v>
      </c>
      <c r="R13" s="2" t="s">
        <v>1223</v>
      </c>
      <c r="S13" s="38">
        <f t="shared" si="4"/>
        <v>10</v>
      </c>
      <c r="T13" s="2" t="s">
        <v>1116</v>
      </c>
      <c r="U13" s="38">
        <v>3</v>
      </c>
      <c r="V13" s="2" t="s">
        <v>1116</v>
      </c>
      <c r="W13" s="41">
        <f>W9+$W$1</f>
        <v>2</v>
      </c>
      <c r="X13" s="41"/>
      <c r="Y13" s="41"/>
      <c r="Z13" s="41"/>
      <c r="AA13" s="41"/>
      <c r="AC13" s="1">
        <f t="shared" si="6"/>
        <v>4</v>
      </c>
      <c r="AD13" s="1" t="s">
        <v>1116</v>
      </c>
      <c r="AE13" s="1">
        <v>30001</v>
      </c>
      <c r="AF13" s="1" t="s">
        <v>1116</v>
      </c>
      <c r="AG13" s="1">
        <v>1</v>
      </c>
      <c r="AH13" s="2" t="s">
        <v>1223</v>
      </c>
      <c r="AI13" s="2">
        <f t="shared" si="5"/>
        <v>8</v>
      </c>
      <c r="AJ13" s="1" t="s">
        <v>1116</v>
      </c>
      <c r="AK13" s="1">
        <v>30002</v>
      </c>
      <c r="AL13" s="1" t="s">
        <v>1116</v>
      </c>
      <c r="AM13" s="2">
        <v>1</v>
      </c>
      <c r="AN13" s="2" t="s">
        <v>1223</v>
      </c>
      <c r="AO13" s="2">
        <f t="shared" si="7"/>
        <v>10</v>
      </c>
      <c r="AP13" s="1" t="s">
        <v>1116</v>
      </c>
      <c r="AQ13" s="1">
        <v>30001</v>
      </c>
      <c r="AR13" s="1" t="s">
        <v>1222</v>
      </c>
      <c r="AS13" s="1">
        <v>30004</v>
      </c>
      <c r="AT13" s="1" t="s">
        <v>1116</v>
      </c>
      <c r="AU13" s="2">
        <v>1</v>
      </c>
    </row>
    <row r="14" spans="1:47">
      <c r="A14" s="1">
        <v>25</v>
      </c>
      <c r="B14" s="30" t="s">
        <v>1136</v>
      </c>
      <c r="C14" s="3">
        <v>9</v>
      </c>
      <c r="D14" s="4" t="str">
        <f t="shared" si="0"/>
        <v>3#30001#1|7#30002#1|9#30001,30004#1</v>
      </c>
      <c r="E14" s="4" t="str">
        <f>部队设定!E14</f>
        <v>1:10020,10021|2:10025,10026,10028|3:10025,10026,10028</v>
      </c>
      <c r="F14" s="4" t="str">
        <f t="shared" si="1"/>
        <v>4#1#1|7#2#1.6|9#3#2</v>
      </c>
      <c r="G14" s="38">
        <f t="shared" si="2"/>
        <v>4</v>
      </c>
      <c r="H14" s="2" t="s">
        <v>1116</v>
      </c>
      <c r="I14" s="38">
        <v>1</v>
      </c>
      <c r="J14" s="2" t="s">
        <v>1116</v>
      </c>
      <c r="K14" s="38">
        <f t="shared" si="10"/>
        <v>1</v>
      </c>
      <c r="L14" s="2" t="s">
        <v>1223</v>
      </c>
      <c r="M14" s="38">
        <f t="shared" si="3"/>
        <v>7</v>
      </c>
      <c r="N14" s="2" t="s">
        <v>1116</v>
      </c>
      <c r="O14" s="38">
        <v>2</v>
      </c>
      <c r="P14" s="2" t="s">
        <v>1116</v>
      </c>
      <c r="Q14" s="38">
        <f t="shared" si="8"/>
        <v>1.6</v>
      </c>
      <c r="R14" s="2" t="s">
        <v>1223</v>
      </c>
      <c r="S14" s="38">
        <f t="shared" si="4"/>
        <v>9</v>
      </c>
      <c r="T14" s="2" t="s">
        <v>1116</v>
      </c>
      <c r="U14" s="38">
        <v>3</v>
      </c>
      <c r="V14" s="2" t="s">
        <v>1116</v>
      </c>
      <c r="W14" s="38">
        <f t="shared" ref="W14:W16" si="12">W13</f>
        <v>2</v>
      </c>
      <c r="X14" s="41"/>
      <c r="Y14" s="41"/>
      <c r="Z14" s="41"/>
      <c r="AA14" s="41"/>
      <c r="AC14" s="1">
        <f t="shared" si="6"/>
        <v>3</v>
      </c>
      <c r="AD14" s="1" t="s">
        <v>1116</v>
      </c>
      <c r="AE14" s="1">
        <v>30001</v>
      </c>
      <c r="AF14" s="1" t="s">
        <v>1116</v>
      </c>
      <c r="AG14" s="1">
        <v>1</v>
      </c>
      <c r="AH14" s="2" t="s">
        <v>1223</v>
      </c>
      <c r="AI14" s="2">
        <f t="shared" si="5"/>
        <v>7</v>
      </c>
      <c r="AJ14" s="1" t="s">
        <v>1116</v>
      </c>
      <c r="AK14" s="1">
        <v>30002</v>
      </c>
      <c r="AL14" s="1" t="s">
        <v>1116</v>
      </c>
      <c r="AM14" s="2">
        <v>1</v>
      </c>
      <c r="AN14" s="2" t="s">
        <v>1223</v>
      </c>
      <c r="AO14" s="2">
        <f t="shared" si="7"/>
        <v>9</v>
      </c>
      <c r="AP14" s="1" t="s">
        <v>1116</v>
      </c>
      <c r="AQ14" s="1">
        <v>30001</v>
      </c>
      <c r="AR14" s="1" t="s">
        <v>1222</v>
      </c>
      <c r="AS14" s="1">
        <v>30004</v>
      </c>
      <c r="AT14" s="1" t="s">
        <v>1116</v>
      </c>
      <c r="AU14" s="2">
        <v>1</v>
      </c>
    </row>
    <row r="15" spans="1:47">
      <c r="A15" s="1">
        <v>26</v>
      </c>
      <c r="B15" s="30" t="s">
        <v>1137</v>
      </c>
      <c r="C15" s="3">
        <v>9</v>
      </c>
      <c r="D15" s="4" t="str">
        <f t="shared" si="0"/>
        <v>3#30001#1|7#30002#1|9#30001,30004#1</v>
      </c>
      <c r="E15" s="4" t="str">
        <f>部队设定!E15</f>
        <v>1:10025,10026|2:10025,10026,10028|3:10025,10026,10028</v>
      </c>
      <c r="F15" s="4" t="str">
        <f t="shared" si="1"/>
        <v>4#1#1|7#2#1.6|9#3#2</v>
      </c>
      <c r="G15" s="38">
        <f t="shared" si="2"/>
        <v>4</v>
      </c>
      <c r="H15" s="2" t="s">
        <v>1116</v>
      </c>
      <c r="I15" s="38">
        <v>1</v>
      </c>
      <c r="J15" s="2" t="s">
        <v>1116</v>
      </c>
      <c r="K15" s="38">
        <f t="shared" si="10"/>
        <v>1</v>
      </c>
      <c r="L15" s="2" t="s">
        <v>1223</v>
      </c>
      <c r="M15" s="38">
        <f t="shared" si="3"/>
        <v>7</v>
      </c>
      <c r="N15" s="2" t="s">
        <v>1116</v>
      </c>
      <c r="O15" s="38">
        <v>2</v>
      </c>
      <c r="P15" s="2" t="s">
        <v>1116</v>
      </c>
      <c r="Q15" s="38">
        <f t="shared" si="8"/>
        <v>1.6</v>
      </c>
      <c r="R15" s="2" t="s">
        <v>1223</v>
      </c>
      <c r="S15" s="38">
        <f t="shared" si="4"/>
        <v>9</v>
      </c>
      <c r="T15" s="2" t="s">
        <v>1116</v>
      </c>
      <c r="U15" s="38">
        <v>3</v>
      </c>
      <c r="V15" s="2" t="s">
        <v>1116</v>
      </c>
      <c r="W15" s="38">
        <f t="shared" si="12"/>
        <v>2</v>
      </c>
      <c r="X15" s="41"/>
      <c r="Y15" s="41"/>
      <c r="Z15" s="41"/>
      <c r="AA15" s="41"/>
      <c r="AC15" s="1">
        <f t="shared" si="6"/>
        <v>3</v>
      </c>
      <c r="AD15" s="1" t="s">
        <v>1116</v>
      </c>
      <c r="AE15" s="1">
        <v>30001</v>
      </c>
      <c r="AF15" s="1" t="s">
        <v>1116</v>
      </c>
      <c r="AG15" s="1">
        <v>1</v>
      </c>
      <c r="AH15" s="2" t="s">
        <v>1223</v>
      </c>
      <c r="AI15" s="2">
        <f t="shared" si="5"/>
        <v>7</v>
      </c>
      <c r="AJ15" s="1" t="s">
        <v>1116</v>
      </c>
      <c r="AK15" s="1">
        <v>30002</v>
      </c>
      <c r="AL15" s="1" t="s">
        <v>1116</v>
      </c>
      <c r="AM15" s="2">
        <v>1</v>
      </c>
      <c r="AN15" s="2" t="s">
        <v>1223</v>
      </c>
      <c r="AO15" s="2">
        <f t="shared" si="7"/>
        <v>9</v>
      </c>
      <c r="AP15" s="1" t="s">
        <v>1116</v>
      </c>
      <c r="AQ15" s="1">
        <v>30001</v>
      </c>
      <c r="AR15" s="1" t="s">
        <v>1222</v>
      </c>
      <c r="AS15" s="1">
        <v>30004</v>
      </c>
      <c r="AT15" s="1" t="s">
        <v>1116</v>
      </c>
      <c r="AU15" s="2">
        <v>1</v>
      </c>
    </row>
    <row r="16" spans="1:47">
      <c r="A16" s="1">
        <v>27</v>
      </c>
      <c r="B16" s="30" t="s">
        <v>1138</v>
      </c>
      <c r="C16" s="3">
        <v>9</v>
      </c>
      <c r="D16" s="4" t="str">
        <f t="shared" si="0"/>
        <v>3#30001#1|7#30002#1|9#30001,30004#1</v>
      </c>
      <c r="E16" s="4" t="str">
        <f>部队设定!E16</f>
        <v>1:10025,10026|2:10025,10026,10028|3:10030,10031,10032</v>
      </c>
      <c r="F16" s="4" t="str">
        <f t="shared" si="1"/>
        <v>4#1#1|7#2#1.6|9#3#2</v>
      </c>
      <c r="G16" s="38">
        <f t="shared" si="2"/>
        <v>4</v>
      </c>
      <c r="H16" s="2" t="s">
        <v>1116</v>
      </c>
      <c r="I16" s="38">
        <v>1</v>
      </c>
      <c r="J16" s="2" t="s">
        <v>1116</v>
      </c>
      <c r="K16" s="38">
        <f t="shared" si="10"/>
        <v>1</v>
      </c>
      <c r="L16" s="2" t="s">
        <v>1223</v>
      </c>
      <c r="M16" s="38">
        <f t="shared" si="3"/>
        <v>7</v>
      </c>
      <c r="N16" s="2" t="s">
        <v>1116</v>
      </c>
      <c r="O16" s="38">
        <v>2</v>
      </c>
      <c r="P16" s="2" t="s">
        <v>1116</v>
      </c>
      <c r="Q16" s="38">
        <f t="shared" si="8"/>
        <v>1.6</v>
      </c>
      <c r="R16" s="2" t="s">
        <v>1223</v>
      </c>
      <c r="S16" s="38">
        <f t="shared" si="4"/>
        <v>9</v>
      </c>
      <c r="T16" s="2" t="s">
        <v>1116</v>
      </c>
      <c r="U16" s="38">
        <v>3</v>
      </c>
      <c r="V16" s="2" t="s">
        <v>1116</v>
      </c>
      <c r="W16" s="38">
        <f t="shared" si="12"/>
        <v>2</v>
      </c>
      <c r="X16" s="41"/>
      <c r="Y16" s="41"/>
      <c r="Z16" s="41"/>
      <c r="AA16" s="41"/>
      <c r="AC16" s="1">
        <f t="shared" si="6"/>
        <v>3</v>
      </c>
      <c r="AD16" s="1" t="s">
        <v>1116</v>
      </c>
      <c r="AE16" s="1">
        <v>30001</v>
      </c>
      <c r="AF16" s="1" t="s">
        <v>1116</v>
      </c>
      <c r="AG16" s="1">
        <v>1</v>
      </c>
      <c r="AH16" s="2" t="s">
        <v>1223</v>
      </c>
      <c r="AI16" s="2">
        <f t="shared" si="5"/>
        <v>7</v>
      </c>
      <c r="AJ16" s="1" t="s">
        <v>1116</v>
      </c>
      <c r="AK16" s="1">
        <v>30002</v>
      </c>
      <c r="AL16" s="1" t="s">
        <v>1116</v>
      </c>
      <c r="AM16" s="2">
        <v>1</v>
      </c>
      <c r="AN16" s="2" t="s">
        <v>1223</v>
      </c>
      <c r="AO16" s="2">
        <f t="shared" si="7"/>
        <v>9</v>
      </c>
      <c r="AP16" s="1" t="s">
        <v>1116</v>
      </c>
      <c r="AQ16" s="1">
        <v>30001</v>
      </c>
      <c r="AR16" s="1" t="s">
        <v>1222</v>
      </c>
      <c r="AS16" s="1">
        <v>30004</v>
      </c>
      <c r="AT16" s="1" t="s">
        <v>1116</v>
      </c>
      <c r="AU16" s="2">
        <v>1</v>
      </c>
    </row>
    <row r="17" spans="1:47">
      <c r="A17" s="1">
        <v>28</v>
      </c>
      <c r="B17" s="30" t="s">
        <v>1139</v>
      </c>
      <c r="C17" s="3">
        <v>10</v>
      </c>
      <c r="D17" s="4" t="str">
        <f t="shared" si="0"/>
        <v>4#30001#1|8#30002#1|10#30001,30004#1</v>
      </c>
      <c r="E17" s="4" t="str">
        <f>部队设定!E17</f>
        <v>1:10025,10026|2:10030,10031,10032|3:10031,10028,10034</v>
      </c>
      <c r="F17" s="4" t="str">
        <f t="shared" si="1"/>
        <v>5#1#1.1|8#2#1.8|10#3#2.3</v>
      </c>
      <c r="G17" s="38">
        <f t="shared" si="2"/>
        <v>5</v>
      </c>
      <c r="H17" s="2" t="s">
        <v>1116</v>
      </c>
      <c r="I17" s="38">
        <v>1</v>
      </c>
      <c r="J17" s="2" t="s">
        <v>1116</v>
      </c>
      <c r="K17" s="41">
        <f>K14+$K$1</f>
        <v>1.1</v>
      </c>
      <c r="L17" s="2" t="s">
        <v>1223</v>
      </c>
      <c r="M17" s="38">
        <f t="shared" si="3"/>
        <v>8</v>
      </c>
      <c r="N17" s="2" t="s">
        <v>1116</v>
      </c>
      <c r="O17" s="38">
        <v>2</v>
      </c>
      <c r="P17" s="2" t="s">
        <v>1116</v>
      </c>
      <c r="Q17" s="41">
        <f>Q13+$Q$1</f>
        <v>1.8</v>
      </c>
      <c r="R17" s="2" t="s">
        <v>1223</v>
      </c>
      <c r="S17" s="38">
        <f t="shared" si="4"/>
        <v>10</v>
      </c>
      <c r="T17" s="2" t="s">
        <v>1116</v>
      </c>
      <c r="U17" s="38">
        <v>3</v>
      </c>
      <c r="V17" s="2" t="s">
        <v>1116</v>
      </c>
      <c r="W17" s="41">
        <f>W13+W1</f>
        <v>2.3</v>
      </c>
      <c r="X17" s="41"/>
      <c r="Y17" s="41"/>
      <c r="Z17" s="41"/>
      <c r="AA17" s="41"/>
      <c r="AC17" s="1">
        <f t="shared" si="6"/>
        <v>4</v>
      </c>
      <c r="AD17" s="1" t="s">
        <v>1116</v>
      </c>
      <c r="AE17" s="1">
        <v>30001</v>
      </c>
      <c r="AF17" s="1" t="s">
        <v>1116</v>
      </c>
      <c r="AG17" s="1">
        <v>1</v>
      </c>
      <c r="AH17" s="2" t="s">
        <v>1223</v>
      </c>
      <c r="AI17" s="2">
        <f t="shared" si="5"/>
        <v>8</v>
      </c>
      <c r="AJ17" s="1" t="s">
        <v>1116</v>
      </c>
      <c r="AK17" s="1">
        <v>30002</v>
      </c>
      <c r="AL17" s="1" t="s">
        <v>1116</v>
      </c>
      <c r="AM17" s="2">
        <v>1</v>
      </c>
      <c r="AN17" s="2" t="s">
        <v>1223</v>
      </c>
      <c r="AO17" s="2">
        <f t="shared" si="7"/>
        <v>10</v>
      </c>
      <c r="AP17" s="1" t="s">
        <v>1116</v>
      </c>
      <c r="AQ17" s="1">
        <v>30001</v>
      </c>
      <c r="AR17" s="1" t="s">
        <v>1222</v>
      </c>
      <c r="AS17" s="1">
        <v>30004</v>
      </c>
      <c r="AT17" s="1" t="s">
        <v>1116</v>
      </c>
      <c r="AU17" s="2">
        <v>1</v>
      </c>
    </row>
    <row r="18" spans="1:47">
      <c r="A18" s="42">
        <v>31</v>
      </c>
      <c r="B18" s="43" t="s">
        <v>1140</v>
      </c>
      <c r="C18" s="44">
        <v>8</v>
      </c>
      <c r="D18" s="45" t="str">
        <f t="shared" si="0"/>
        <v>3#30001#1|6#30002#1|8#30001,30004#1</v>
      </c>
      <c r="E18" s="45" t="str">
        <f>部队设定!E18</f>
        <v>1:10030,10031|2:10031,10028,10034|3:10031,10028,10027</v>
      </c>
      <c r="F18" s="45" t="str">
        <f t="shared" si="1"/>
        <v>3#1#1.1|6#2#1.8|8#3#2.3</v>
      </c>
      <c r="G18" s="46">
        <f t="shared" si="2"/>
        <v>3</v>
      </c>
      <c r="H18" s="47" t="s">
        <v>1116</v>
      </c>
      <c r="I18" s="46">
        <v>1</v>
      </c>
      <c r="J18" s="47" t="s">
        <v>1116</v>
      </c>
      <c r="K18" s="46">
        <f t="shared" si="10"/>
        <v>1.1</v>
      </c>
      <c r="L18" s="47" t="s">
        <v>1223</v>
      </c>
      <c r="M18" s="46">
        <f t="shared" ref="M18:M49" si="13">C18-2</f>
        <v>6</v>
      </c>
      <c r="N18" s="47" t="s">
        <v>1116</v>
      </c>
      <c r="O18" s="46">
        <v>2</v>
      </c>
      <c r="P18" s="47" t="s">
        <v>1116</v>
      </c>
      <c r="Q18" s="46">
        <f t="shared" si="8"/>
        <v>1.8</v>
      </c>
      <c r="R18" s="47" t="s">
        <v>1223</v>
      </c>
      <c r="S18" s="46">
        <f t="shared" ref="S18:S49" si="14">C18</f>
        <v>8</v>
      </c>
      <c r="T18" s="47" t="s">
        <v>1116</v>
      </c>
      <c r="U18" s="46">
        <v>3</v>
      </c>
      <c r="V18" s="47" t="s">
        <v>1116</v>
      </c>
      <c r="W18" s="38">
        <f t="shared" ref="W18:W20" si="15">W17</f>
        <v>2.3</v>
      </c>
      <c r="X18" s="41"/>
      <c r="Y18" s="41"/>
      <c r="Z18" s="41"/>
      <c r="AA18" s="41"/>
      <c r="AC18" s="1">
        <f t="shared" si="6"/>
        <v>3</v>
      </c>
      <c r="AD18" s="1" t="s">
        <v>1116</v>
      </c>
      <c r="AE18" s="1">
        <v>30001</v>
      </c>
      <c r="AF18" s="1" t="s">
        <v>1116</v>
      </c>
      <c r="AG18" s="1">
        <v>1</v>
      </c>
      <c r="AH18" s="2" t="s">
        <v>1223</v>
      </c>
      <c r="AI18" s="2">
        <f t="shared" si="5"/>
        <v>6</v>
      </c>
      <c r="AJ18" s="1" t="s">
        <v>1116</v>
      </c>
      <c r="AK18" s="1">
        <v>30002</v>
      </c>
      <c r="AL18" s="1" t="s">
        <v>1116</v>
      </c>
      <c r="AM18" s="2">
        <v>1</v>
      </c>
      <c r="AN18" s="2" t="s">
        <v>1223</v>
      </c>
      <c r="AO18" s="2">
        <f t="shared" si="7"/>
        <v>8</v>
      </c>
      <c r="AP18" s="1" t="s">
        <v>1116</v>
      </c>
      <c r="AQ18" s="1">
        <v>30001</v>
      </c>
      <c r="AR18" s="1" t="s">
        <v>1222</v>
      </c>
      <c r="AS18" s="1">
        <v>30004</v>
      </c>
      <c r="AT18" s="1" t="s">
        <v>1116</v>
      </c>
      <c r="AU18" s="2">
        <v>1</v>
      </c>
    </row>
    <row r="19" spans="1:47">
      <c r="A19" s="1">
        <v>32</v>
      </c>
      <c r="B19" s="30" t="s">
        <v>1141</v>
      </c>
      <c r="C19" s="3">
        <v>8</v>
      </c>
      <c r="D19" s="4" t="str">
        <f t="shared" si="0"/>
        <v>3#30001#1|6#30002#1|8#30001,30004#1</v>
      </c>
      <c r="E19" s="4" t="str">
        <f>部队设定!E19</f>
        <v>1:10031,10028|2:10031,10028,10027|3:10031,10028,10027</v>
      </c>
      <c r="F19" s="4" t="str">
        <f t="shared" si="1"/>
        <v>3#1#1.1|6#2#1.8|8#3#2.3</v>
      </c>
      <c r="G19" s="38">
        <f t="shared" si="2"/>
        <v>3</v>
      </c>
      <c r="H19" s="2" t="s">
        <v>1116</v>
      </c>
      <c r="I19" s="38">
        <v>1</v>
      </c>
      <c r="J19" s="2" t="s">
        <v>1116</v>
      </c>
      <c r="K19" s="38">
        <f t="shared" si="10"/>
        <v>1.1</v>
      </c>
      <c r="L19" s="2" t="s">
        <v>1223</v>
      </c>
      <c r="M19" s="38">
        <f t="shared" si="13"/>
        <v>6</v>
      </c>
      <c r="N19" s="2" t="s">
        <v>1116</v>
      </c>
      <c r="O19" s="38">
        <v>2</v>
      </c>
      <c r="P19" s="2" t="s">
        <v>1116</v>
      </c>
      <c r="Q19" s="38">
        <f t="shared" si="8"/>
        <v>1.8</v>
      </c>
      <c r="R19" s="2" t="s">
        <v>1223</v>
      </c>
      <c r="S19" s="38">
        <f t="shared" si="14"/>
        <v>8</v>
      </c>
      <c r="T19" s="2" t="s">
        <v>1116</v>
      </c>
      <c r="U19" s="38">
        <v>3</v>
      </c>
      <c r="V19" s="2" t="s">
        <v>1116</v>
      </c>
      <c r="W19" s="38">
        <f t="shared" si="15"/>
        <v>2.3</v>
      </c>
      <c r="X19" s="41"/>
      <c r="Y19" s="41"/>
      <c r="Z19" s="41"/>
      <c r="AA19" s="41"/>
      <c r="AC19" s="1">
        <f t="shared" si="6"/>
        <v>3</v>
      </c>
      <c r="AD19" s="1" t="s">
        <v>1116</v>
      </c>
      <c r="AE19" s="1">
        <v>30001</v>
      </c>
      <c r="AF19" s="1" t="s">
        <v>1116</v>
      </c>
      <c r="AG19" s="1">
        <v>1</v>
      </c>
      <c r="AH19" s="2" t="s">
        <v>1223</v>
      </c>
      <c r="AI19" s="2">
        <f t="shared" si="5"/>
        <v>6</v>
      </c>
      <c r="AJ19" s="1" t="s">
        <v>1116</v>
      </c>
      <c r="AK19" s="1">
        <v>30002</v>
      </c>
      <c r="AL19" s="1" t="s">
        <v>1116</v>
      </c>
      <c r="AM19" s="2">
        <v>1</v>
      </c>
      <c r="AN19" s="2" t="s">
        <v>1223</v>
      </c>
      <c r="AO19" s="2">
        <f t="shared" si="7"/>
        <v>8</v>
      </c>
      <c r="AP19" s="1" t="s">
        <v>1116</v>
      </c>
      <c r="AQ19" s="1">
        <v>30001</v>
      </c>
      <c r="AR19" s="1" t="s">
        <v>1222</v>
      </c>
      <c r="AS19" s="1">
        <v>30004</v>
      </c>
      <c r="AT19" s="1" t="s">
        <v>1116</v>
      </c>
      <c r="AU19" s="2">
        <v>1</v>
      </c>
    </row>
    <row r="20" spans="1:47">
      <c r="A20" s="1">
        <v>33</v>
      </c>
      <c r="B20" s="30" t="s">
        <v>1142</v>
      </c>
      <c r="C20" s="3">
        <v>8</v>
      </c>
      <c r="D20" s="4" t="str">
        <f t="shared" si="0"/>
        <v>3#30001#1|6#30002#1|8#30001,30004#1</v>
      </c>
      <c r="E20" s="4" t="str">
        <f>部队设定!E20</f>
        <v>1:10031,10028|2:10031,10028,10027|3:10037,10038,10029</v>
      </c>
      <c r="F20" s="4" t="str">
        <f t="shared" si="1"/>
        <v>3#1#1.1|6#2#1.8|8#3#2.3</v>
      </c>
      <c r="G20" s="38">
        <f t="shared" si="2"/>
        <v>3</v>
      </c>
      <c r="H20" s="2" t="s">
        <v>1116</v>
      </c>
      <c r="I20" s="38">
        <v>1</v>
      </c>
      <c r="J20" s="2" t="s">
        <v>1116</v>
      </c>
      <c r="K20" s="38">
        <f t="shared" si="10"/>
        <v>1.1</v>
      </c>
      <c r="L20" s="2" t="s">
        <v>1223</v>
      </c>
      <c r="M20" s="38">
        <f t="shared" si="13"/>
        <v>6</v>
      </c>
      <c r="N20" s="2" t="s">
        <v>1116</v>
      </c>
      <c r="O20" s="38">
        <v>2</v>
      </c>
      <c r="P20" s="2" t="s">
        <v>1116</v>
      </c>
      <c r="Q20" s="38">
        <f t="shared" si="8"/>
        <v>1.8</v>
      </c>
      <c r="R20" s="2" t="s">
        <v>1223</v>
      </c>
      <c r="S20" s="38">
        <f t="shared" si="14"/>
        <v>8</v>
      </c>
      <c r="T20" s="2" t="s">
        <v>1116</v>
      </c>
      <c r="U20" s="38">
        <v>3</v>
      </c>
      <c r="V20" s="2" t="s">
        <v>1116</v>
      </c>
      <c r="W20" s="38">
        <f t="shared" si="15"/>
        <v>2.3</v>
      </c>
      <c r="X20" s="41"/>
      <c r="Y20" s="41"/>
      <c r="Z20" s="41"/>
      <c r="AA20" s="41"/>
      <c r="AC20" s="1">
        <f t="shared" si="6"/>
        <v>3</v>
      </c>
      <c r="AD20" s="1" t="s">
        <v>1116</v>
      </c>
      <c r="AE20" s="1">
        <v>30001</v>
      </c>
      <c r="AF20" s="1" t="s">
        <v>1116</v>
      </c>
      <c r="AG20" s="1">
        <v>1</v>
      </c>
      <c r="AH20" s="2" t="s">
        <v>1223</v>
      </c>
      <c r="AI20" s="2">
        <f t="shared" si="5"/>
        <v>6</v>
      </c>
      <c r="AJ20" s="1" t="s">
        <v>1116</v>
      </c>
      <c r="AK20" s="1">
        <v>30002</v>
      </c>
      <c r="AL20" s="1" t="s">
        <v>1116</v>
      </c>
      <c r="AM20" s="2">
        <v>1</v>
      </c>
      <c r="AN20" s="2" t="s">
        <v>1223</v>
      </c>
      <c r="AO20" s="2">
        <f t="shared" si="7"/>
        <v>8</v>
      </c>
      <c r="AP20" s="1" t="s">
        <v>1116</v>
      </c>
      <c r="AQ20" s="1">
        <v>30001</v>
      </c>
      <c r="AR20" s="1" t="s">
        <v>1222</v>
      </c>
      <c r="AS20" s="1">
        <v>30004</v>
      </c>
      <c r="AT20" s="1" t="s">
        <v>1116</v>
      </c>
      <c r="AU20" s="2">
        <v>1</v>
      </c>
    </row>
    <row r="21" spans="1:47">
      <c r="A21" s="1">
        <v>34</v>
      </c>
      <c r="B21" s="30" t="s">
        <v>1143</v>
      </c>
      <c r="C21" s="3">
        <v>9</v>
      </c>
      <c r="D21" s="4" t="str">
        <f t="shared" si="0"/>
        <v>3#30001#1|7#30002#1|9#30001,30004#1</v>
      </c>
      <c r="E21" s="4" t="str">
        <f>部队设定!E21</f>
        <v>1:10031,10028|2:10037,10038,10029|3:10037,10038,10029</v>
      </c>
      <c r="F21" s="4" t="str">
        <f t="shared" si="1"/>
        <v>4#1#1.2|7#2#2|9#3#2.6</v>
      </c>
      <c r="G21" s="38">
        <f t="shared" si="2"/>
        <v>4</v>
      </c>
      <c r="H21" s="2" t="s">
        <v>1116</v>
      </c>
      <c r="I21" s="38">
        <v>1</v>
      </c>
      <c r="J21" s="2" t="s">
        <v>1116</v>
      </c>
      <c r="K21" s="41">
        <f>K18+$K$1</f>
        <v>1.2</v>
      </c>
      <c r="L21" s="2" t="s">
        <v>1223</v>
      </c>
      <c r="M21" s="38">
        <f t="shared" si="13"/>
        <v>7</v>
      </c>
      <c r="N21" s="2" t="s">
        <v>1116</v>
      </c>
      <c r="O21" s="38">
        <v>2</v>
      </c>
      <c r="P21" s="2" t="s">
        <v>1116</v>
      </c>
      <c r="Q21" s="41">
        <f>Q17+$Q$1</f>
        <v>2</v>
      </c>
      <c r="R21" s="2" t="s">
        <v>1223</v>
      </c>
      <c r="S21" s="38">
        <f t="shared" si="14"/>
        <v>9</v>
      </c>
      <c r="T21" s="2" t="s">
        <v>1116</v>
      </c>
      <c r="U21" s="38">
        <v>3</v>
      </c>
      <c r="V21" s="2" t="s">
        <v>1116</v>
      </c>
      <c r="W21" s="41">
        <f>W17+$W$1</f>
        <v>2.6</v>
      </c>
      <c r="X21" s="41"/>
      <c r="Y21" s="41"/>
      <c r="Z21" s="41"/>
      <c r="AA21" s="41"/>
      <c r="AC21" s="1">
        <f t="shared" si="6"/>
        <v>3</v>
      </c>
      <c r="AD21" s="1" t="s">
        <v>1116</v>
      </c>
      <c r="AE21" s="1">
        <v>30001</v>
      </c>
      <c r="AF21" s="1" t="s">
        <v>1116</v>
      </c>
      <c r="AG21" s="1">
        <v>1</v>
      </c>
      <c r="AH21" s="2" t="s">
        <v>1223</v>
      </c>
      <c r="AI21" s="2">
        <f t="shared" si="5"/>
        <v>7</v>
      </c>
      <c r="AJ21" s="1" t="s">
        <v>1116</v>
      </c>
      <c r="AK21" s="1">
        <v>30002</v>
      </c>
      <c r="AL21" s="1" t="s">
        <v>1116</v>
      </c>
      <c r="AM21" s="2">
        <v>1</v>
      </c>
      <c r="AN21" s="2" t="s">
        <v>1223</v>
      </c>
      <c r="AO21" s="2">
        <f t="shared" si="7"/>
        <v>9</v>
      </c>
      <c r="AP21" s="1" t="s">
        <v>1116</v>
      </c>
      <c r="AQ21" s="1">
        <v>30001</v>
      </c>
      <c r="AR21" s="1" t="s">
        <v>1222</v>
      </c>
      <c r="AS21" s="1">
        <v>30004</v>
      </c>
      <c r="AT21" s="1" t="s">
        <v>1116</v>
      </c>
      <c r="AU21" s="2">
        <v>1</v>
      </c>
    </row>
    <row r="22" spans="1:47">
      <c r="A22" s="1">
        <v>35</v>
      </c>
      <c r="B22" s="30" t="s">
        <v>1144</v>
      </c>
      <c r="C22" s="3">
        <v>8</v>
      </c>
      <c r="D22" s="4" t="str">
        <f t="shared" si="0"/>
        <v>3#30001#1|6#30002#1|8#30001,30004#1</v>
      </c>
      <c r="E22" s="4" t="str">
        <f>部队设定!E22</f>
        <v>1:10037,10038|2:10037,10038,10029|3:10037,10038,10036</v>
      </c>
      <c r="F22" s="4" t="str">
        <f t="shared" si="1"/>
        <v>3#1#1.2|6#2#2|8#3#2.6</v>
      </c>
      <c r="G22" s="38">
        <f t="shared" si="2"/>
        <v>3</v>
      </c>
      <c r="H22" s="2" t="s">
        <v>1116</v>
      </c>
      <c r="I22" s="38">
        <v>1</v>
      </c>
      <c r="J22" s="2" t="s">
        <v>1116</v>
      </c>
      <c r="K22" s="38">
        <f t="shared" si="10"/>
        <v>1.2</v>
      </c>
      <c r="L22" s="2" t="s">
        <v>1223</v>
      </c>
      <c r="M22" s="38">
        <f t="shared" si="13"/>
        <v>6</v>
      </c>
      <c r="N22" s="2" t="s">
        <v>1116</v>
      </c>
      <c r="O22" s="38">
        <v>2</v>
      </c>
      <c r="P22" s="2" t="s">
        <v>1116</v>
      </c>
      <c r="Q22" s="38">
        <f t="shared" si="8"/>
        <v>2</v>
      </c>
      <c r="R22" s="2" t="s">
        <v>1223</v>
      </c>
      <c r="S22" s="38">
        <f t="shared" si="14"/>
        <v>8</v>
      </c>
      <c r="T22" s="2" t="s">
        <v>1116</v>
      </c>
      <c r="U22" s="38">
        <v>3</v>
      </c>
      <c r="V22" s="2" t="s">
        <v>1116</v>
      </c>
      <c r="W22" s="38">
        <f t="shared" ref="W22:W24" si="16">W21</f>
        <v>2.6</v>
      </c>
      <c r="X22" s="41"/>
      <c r="Y22" s="41"/>
      <c r="Z22" s="41"/>
      <c r="AA22" s="41"/>
      <c r="AC22" s="1">
        <f t="shared" si="6"/>
        <v>3</v>
      </c>
      <c r="AD22" s="1" t="s">
        <v>1116</v>
      </c>
      <c r="AE22" s="1">
        <v>30001</v>
      </c>
      <c r="AF22" s="1" t="s">
        <v>1116</v>
      </c>
      <c r="AG22" s="1">
        <v>1</v>
      </c>
      <c r="AH22" s="2" t="s">
        <v>1223</v>
      </c>
      <c r="AI22" s="2">
        <f t="shared" si="5"/>
        <v>6</v>
      </c>
      <c r="AJ22" s="1" t="s">
        <v>1116</v>
      </c>
      <c r="AK22" s="1">
        <v>30002</v>
      </c>
      <c r="AL22" s="1" t="s">
        <v>1116</v>
      </c>
      <c r="AM22" s="2">
        <v>1</v>
      </c>
      <c r="AN22" s="2" t="s">
        <v>1223</v>
      </c>
      <c r="AO22" s="2">
        <f t="shared" si="7"/>
        <v>8</v>
      </c>
      <c r="AP22" s="1" t="s">
        <v>1116</v>
      </c>
      <c r="AQ22" s="1">
        <v>30001</v>
      </c>
      <c r="AR22" s="1" t="s">
        <v>1222</v>
      </c>
      <c r="AS22" s="1">
        <v>30004</v>
      </c>
      <c r="AT22" s="1" t="s">
        <v>1116</v>
      </c>
      <c r="AU22" s="2">
        <v>1</v>
      </c>
    </row>
    <row r="23" spans="1:47">
      <c r="A23" s="1">
        <v>36</v>
      </c>
      <c r="B23" s="30" t="s">
        <v>1145</v>
      </c>
      <c r="C23" s="3">
        <v>8</v>
      </c>
      <c r="D23" s="4" t="str">
        <f t="shared" si="0"/>
        <v>3#30001#1|6#30002#1|8#30001,30004#1</v>
      </c>
      <c r="E23" s="4" t="str">
        <f>部队设定!E23</f>
        <v>1:10037,10038|2:10037,10038,10036|3:10040,10041,10036</v>
      </c>
      <c r="F23" s="4" t="str">
        <f t="shared" si="1"/>
        <v>3#1#1.2|6#2#2|8#3#2.6</v>
      </c>
      <c r="G23" s="38">
        <f t="shared" si="2"/>
        <v>3</v>
      </c>
      <c r="H23" s="2" t="s">
        <v>1116</v>
      </c>
      <c r="I23" s="38">
        <v>1</v>
      </c>
      <c r="J23" s="2" t="s">
        <v>1116</v>
      </c>
      <c r="K23" s="38">
        <f t="shared" si="10"/>
        <v>1.2</v>
      </c>
      <c r="L23" s="2" t="s">
        <v>1223</v>
      </c>
      <c r="M23" s="38">
        <f t="shared" si="13"/>
        <v>6</v>
      </c>
      <c r="N23" s="2" t="s">
        <v>1116</v>
      </c>
      <c r="O23" s="38">
        <v>2</v>
      </c>
      <c r="P23" s="2" t="s">
        <v>1116</v>
      </c>
      <c r="Q23" s="38">
        <f t="shared" si="8"/>
        <v>2</v>
      </c>
      <c r="R23" s="2" t="s">
        <v>1223</v>
      </c>
      <c r="S23" s="38">
        <f t="shared" si="14"/>
        <v>8</v>
      </c>
      <c r="T23" s="2" t="s">
        <v>1116</v>
      </c>
      <c r="U23" s="38">
        <v>3</v>
      </c>
      <c r="V23" s="2" t="s">
        <v>1116</v>
      </c>
      <c r="W23" s="38">
        <f t="shared" si="16"/>
        <v>2.6</v>
      </c>
      <c r="X23" s="41"/>
      <c r="Y23" s="41"/>
      <c r="Z23" s="41"/>
      <c r="AA23" s="41"/>
      <c r="AC23" s="1">
        <f t="shared" si="6"/>
        <v>3</v>
      </c>
      <c r="AD23" s="1" t="s">
        <v>1116</v>
      </c>
      <c r="AE23" s="1">
        <v>30001</v>
      </c>
      <c r="AF23" s="1" t="s">
        <v>1116</v>
      </c>
      <c r="AG23" s="1">
        <v>1</v>
      </c>
      <c r="AH23" s="2" t="s">
        <v>1223</v>
      </c>
      <c r="AI23" s="2">
        <f t="shared" si="5"/>
        <v>6</v>
      </c>
      <c r="AJ23" s="1" t="s">
        <v>1116</v>
      </c>
      <c r="AK23" s="1">
        <v>30002</v>
      </c>
      <c r="AL23" s="1" t="s">
        <v>1116</v>
      </c>
      <c r="AM23" s="2">
        <v>1</v>
      </c>
      <c r="AN23" s="2" t="s">
        <v>1223</v>
      </c>
      <c r="AO23" s="2">
        <f t="shared" si="7"/>
        <v>8</v>
      </c>
      <c r="AP23" s="1" t="s">
        <v>1116</v>
      </c>
      <c r="AQ23" s="1">
        <v>30001</v>
      </c>
      <c r="AR23" s="1" t="s">
        <v>1222</v>
      </c>
      <c r="AS23" s="1">
        <v>30004</v>
      </c>
      <c r="AT23" s="1" t="s">
        <v>1116</v>
      </c>
      <c r="AU23" s="2">
        <v>1</v>
      </c>
    </row>
    <row r="24" spans="1:47">
      <c r="A24" s="1">
        <v>37</v>
      </c>
      <c r="B24" s="30" t="s">
        <v>1146</v>
      </c>
      <c r="C24" s="3">
        <v>9</v>
      </c>
      <c r="D24" s="4" t="str">
        <f t="shared" si="0"/>
        <v>3#30001#1|7#30002#1|9#30001,30004#1</v>
      </c>
      <c r="E24" s="4" t="str">
        <f>部队设定!E24</f>
        <v>1:10037,10038|2:10040,10041,10036|3:10040,10041,10036</v>
      </c>
      <c r="F24" s="4" t="str">
        <f t="shared" si="1"/>
        <v>4#1#1.2|7#2#2|9#3#2.6</v>
      </c>
      <c r="G24" s="38">
        <f t="shared" si="2"/>
        <v>4</v>
      </c>
      <c r="H24" s="2" t="s">
        <v>1116</v>
      </c>
      <c r="I24" s="38">
        <v>1</v>
      </c>
      <c r="J24" s="2" t="s">
        <v>1116</v>
      </c>
      <c r="K24" s="38">
        <f t="shared" si="10"/>
        <v>1.2</v>
      </c>
      <c r="L24" s="2" t="s">
        <v>1223</v>
      </c>
      <c r="M24" s="38">
        <f t="shared" si="13"/>
        <v>7</v>
      </c>
      <c r="N24" s="2" t="s">
        <v>1116</v>
      </c>
      <c r="O24" s="38">
        <v>2</v>
      </c>
      <c r="P24" s="2" t="s">
        <v>1116</v>
      </c>
      <c r="Q24" s="38">
        <f t="shared" si="8"/>
        <v>2</v>
      </c>
      <c r="R24" s="2" t="s">
        <v>1223</v>
      </c>
      <c r="S24" s="38">
        <f t="shared" si="14"/>
        <v>9</v>
      </c>
      <c r="T24" s="2" t="s">
        <v>1116</v>
      </c>
      <c r="U24" s="38">
        <v>3</v>
      </c>
      <c r="V24" s="2" t="s">
        <v>1116</v>
      </c>
      <c r="W24" s="38">
        <f t="shared" si="16"/>
        <v>2.6</v>
      </c>
      <c r="X24" s="41"/>
      <c r="Y24" s="41"/>
      <c r="Z24" s="41"/>
      <c r="AA24" s="41"/>
      <c r="AC24" s="1">
        <f t="shared" si="6"/>
        <v>3</v>
      </c>
      <c r="AD24" s="1" t="s">
        <v>1116</v>
      </c>
      <c r="AE24" s="1">
        <v>30001</v>
      </c>
      <c r="AF24" s="1" t="s">
        <v>1116</v>
      </c>
      <c r="AG24" s="1">
        <v>1</v>
      </c>
      <c r="AH24" s="2" t="s">
        <v>1223</v>
      </c>
      <c r="AI24" s="2">
        <f t="shared" si="5"/>
        <v>7</v>
      </c>
      <c r="AJ24" s="1" t="s">
        <v>1116</v>
      </c>
      <c r="AK24" s="1">
        <v>30002</v>
      </c>
      <c r="AL24" s="1" t="s">
        <v>1116</v>
      </c>
      <c r="AM24" s="2">
        <v>1</v>
      </c>
      <c r="AN24" s="2" t="s">
        <v>1223</v>
      </c>
      <c r="AO24" s="2">
        <f t="shared" si="7"/>
        <v>9</v>
      </c>
      <c r="AP24" s="1" t="s">
        <v>1116</v>
      </c>
      <c r="AQ24" s="1">
        <v>30001</v>
      </c>
      <c r="AR24" s="1" t="s">
        <v>1222</v>
      </c>
      <c r="AS24" s="1">
        <v>30004</v>
      </c>
      <c r="AT24" s="1" t="s">
        <v>1116</v>
      </c>
      <c r="AU24" s="2">
        <v>1</v>
      </c>
    </row>
    <row r="25" spans="1:47">
      <c r="A25" s="1">
        <v>38</v>
      </c>
      <c r="B25" s="30" t="s">
        <v>1147</v>
      </c>
      <c r="C25" s="3">
        <v>10</v>
      </c>
      <c r="D25" s="4" t="str">
        <f t="shared" si="0"/>
        <v>4#30001#1|8#30002#1|10#30001,30004#1</v>
      </c>
      <c r="E25" s="4" t="str">
        <f>部队设定!E25</f>
        <v>1:10040,10041|2:10040,10041,10036|3:10043,10044,10036</v>
      </c>
      <c r="F25" s="4" t="str">
        <f t="shared" si="1"/>
        <v>5#1#1.3|8#2#2.2|10#3#2.9</v>
      </c>
      <c r="G25" s="38">
        <f t="shared" si="2"/>
        <v>5</v>
      </c>
      <c r="H25" s="2" t="s">
        <v>1116</v>
      </c>
      <c r="I25" s="38">
        <v>1</v>
      </c>
      <c r="J25" s="2" t="s">
        <v>1116</v>
      </c>
      <c r="K25" s="41">
        <f>K22+$K$1</f>
        <v>1.3</v>
      </c>
      <c r="L25" s="2" t="s">
        <v>1223</v>
      </c>
      <c r="M25" s="38">
        <f t="shared" si="13"/>
        <v>8</v>
      </c>
      <c r="N25" s="2" t="s">
        <v>1116</v>
      </c>
      <c r="O25" s="38">
        <v>2</v>
      </c>
      <c r="P25" s="2" t="s">
        <v>1116</v>
      </c>
      <c r="Q25" s="41">
        <f>Q21+$Q$1</f>
        <v>2.2</v>
      </c>
      <c r="R25" s="2" t="s">
        <v>1223</v>
      </c>
      <c r="S25" s="38">
        <f t="shared" si="14"/>
        <v>10</v>
      </c>
      <c r="T25" s="2" t="s">
        <v>1116</v>
      </c>
      <c r="U25" s="38">
        <v>3</v>
      </c>
      <c r="V25" s="2" t="s">
        <v>1116</v>
      </c>
      <c r="W25" s="41">
        <f>W21+$W$1</f>
        <v>2.9</v>
      </c>
      <c r="X25" s="41"/>
      <c r="Y25" s="41"/>
      <c r="Z25" s="41"/>
      <c r="AA25" s="41"/>
      <c r="AC25" s="1">
        <f t="shared" si="6"/>
        <v>4</v>
      </c>
      <c r="AD25" s="1" t="s">
        <v>1116</v>
      </c>
      <c r="AE25" s="1">
        <v>30001</v>
      </c>
      <c r="AF25" s="1" t="s">
        <v>1116</v>
      </c>
      <c r="AG25" s="1">
        <v>1</v>
      </c>
      <c r="AH25" s="2" t="s">
        <v>1223</v>
      </c>
      <c r="AI25" s="2">
        <f t="shared" si="5"/>
        <v>8</v>
      </c>
      <c r="AJ25" s="1" t="s">
        <v>1116</v>
      </c>
      <c r="AK25" s="1">
        <v>30002</v>
      </c>
      <c r="AL25" s="1" t="s">
        <v>1116</v>
      </c>
      <c r="AM25" s="2">
        <v>1</v>
      </c>
      <c r="AN25" s="2" t="s">
        <v>1223</v>
      </c>
      <c r="AO25" s="2">
        <f t="shared" si="7"/>
        <v>10</v>
      </c>
      <c r="AP25" s="1" t="s">
        <v>1116</v>
      </c>
      <c r="AQ25" s="1">
        <v>30001</v>
      </c>
      <c r="AR25" s="1" t="s">
        <v>1222</v>
      </c>
      <c r="AS25" s="1">
        <v>30004</v>
      </c>
      <c r="AT25" s="1" t="s">
        <v>1116</v>
      </c>
      <c r="AU25" s="2">
        <v>1</v>
      </c>
    </row>
    <row r="26" spans="1:47">
      <c r="A26" s="1">
        <v>41</v>
      </c>
      <c r="B26" s="30" t="s">
        <v>1148</v>
      </c>
      <c r="C26" s="3">
        <v>15</v>
      </c>
      <c r="D26" s="4" t="str">
        <f t="shared" si="0"/>
        <v>6#30001#1|12#30002#1|15#30001,30004#1</v>
      </c>
      <c r="E26" s="4" t="str">
        <f>部队设定!E26</f>
        <v>1:10005,10002|2:10008|3:10005,10006,10007</v>
      </c>
      <c r="F26" s="4" t="s">
        <v>472</v>
      </c>
      <c r="G26" s="38">
        <f t="shared" si="2"/>
        <v>10</v>
      </c>
      <c r="H26" s="2" t="s">
        <v>1116</v>
      </c>
      <c r="I26" s="38">
        <v>1</v>
      </c>
      <c r="J26" s="2" t="s">
        <v>1116</v>
      </c>
      <c r="K26" s="38">
        <f t="shared" si="10"/>
        <v>1.3</v>
      </c>
      <c r="L26" s="2" t="s">
        <v>1223</v>
      </c>
      <c r="M26" s="38">
        <f t="shared" si="13"/>
        <v>13</v>
      </c>
      <c r="N26" s="2" t="s">
        <v>1116</v>
      </c>
      <c r="O26" s="38">
        <v>2</v>
      </c>
      <c r="P26" s="2" t="s">
        <v>1116</v>
      </c>
      <c r="Q26" s="38">
        <f t="shared" si="8"/>
        <v>2.2</v>
      </c>
      <c r="R26" s="2" t="s">
        <v>1223</v>
      </c>
      <c r="S26" s="38">
        <f t="shared" si="14"/>
        <v>15</v>
      </c>
      <c r="T26" s="2" t="s">
        <v>1116</v>
      </c>
      <c r="U26" s="38">
        <v>3</v>
      </c>
      <c r="V26" s="2" t="s">
        <v>1116</v>
      </c>
      <c r="W26" s="38">
        <f t="shared" ref="W26:W28" si="17">W25</f>
        <v>2.9</v>
      </c>
      <c r="X26" s="41"/>
      <c r="Y26" s="41"/>
      <c r="Z26" s="41"/>
      <c r="AA26" s="41"/>
      <c r="AC26" s="1">
        <f t="shared" si="6"/>
        <v>6</v>
      </c>
      <c r="AD26" s="1" t="s">
        <v>1116</v>
      </c>
      <c r="AE26" s="1">
        <v>30001</v>
      </c>
      <c r="AF26" s="1" t="s">
        <v>1116</v>
      </c>
      <c r="AG26" s="1">
        <v>1</v>
      </c>
      <c r="AH26" s="2" t="s">
        <v>1223</v>
      </c>
      <c r="AI26" s="2">
        <f t="shared" si="5"/>
        <v>12</v>
      </c>
      <c r="AJ26" s="1" t="s">
        <v>1116</v>
      </c>
      <c r="AK26" s="1">
        <v>30002</v>
      </c>
      <c r="AL26" s="1" t="s">
        <v>1116</v>
      </c>
      <c r="AM26" s="2">
        <v>1</v>
      </c>
      <c r="AN26" s="2" t="s">
        <v>1223</v>
      </c>
      <c r="AO26" s="2">
        <f t="shared" si="7"/>
        <v>15</v>
      </c>
      <c r="AP26" s="1" t="s">
        <v>1116</v>
      </c>
      <c r="AQ26" s="1">
        <v>30001</v>
      </c>
      <c r="AR26" s="1" t="s">
        <v>1222</v>
      </c>
      <c r="AS26" s="1">
        <v>30004</v>
      </c>
      <c r="AT26" s="1" t="s">
        <v>1116</v>
      </c>
      <c r="AU26" s="2">
        <v>1</v>
      </c>
    </row>
    <row r="27" spans="1:47">
      <c r="A27" s="1">
        <v>42</v>
      </c>
      <c r="B27" s="30" t="s">
        <v>1149</v>
      </c>
      <c r="C27" s="3">
        <v>15</v>
      </c>
      <c r="D27" s="4" t="str">
        <f t="shared" si="0"/>
        <v>6#30001#1|12#30002#1|15#30001,30004#1</v>
      </c>
      <c r="E27" s="4" t="str">
        <f>部队设定!E27</f>
        <v>1:10005,10002|2:10008|3:10005,10006,10007</v>
      </c>
      <c r="F27" s="4" t="s">
        <v>472</v>
      </c>
      <c r="G27" s="38">
        <f t="shared" si="2"/>
        <v>10</v>
      </c>
      <c r="H27" s="2" t="s">
        <v>1116</v>
      </c>
      <c r="I27" s="38">
        <v>1</v>
      </c>
      <c r="J27" s="2" t="s">
        <v>1116</v>
      </c>
      <c r="K27" s="38">
        <f t="shared" si="10"/>
        <v>1.3</v>
      </c>
      <c r="L27" s="2" t="s">
        <v>1223</v>
      </c>
      <c r="M27" s="38">
        <f t="shared" si="13"/>
        <v>13</v>
      </c>
      <c r="N27" s="2" t="s">
        <v>1116</v>
      </c>
      <c r="O27" s="38">
        <v>2</v>
      </c>
      <c r="P27" s="2" t="s">
        <v>1116</v>
      </c>
      <c r="Q27" s="38">
        <f t="shared" si="8"/>
        <v>2.2</v>
      </c>
      <c r="R27" s="2" t="s">
        <v>1223</v>
      </c>
      <c r="S27" s="38">
        <f t="shared" si="14"/>
        <v>15</v>
      </c>
      <c r="T27" s="2" t="s">
        <v>1116</v>
      </c>
      <c r="U27" s="38">
        <v>3</v>
      </c>
      <c r="V27" s="2" t="s">
        <v>1116</v>
      </c>
      <c r="W27" s="38">
        <f t="shared" si="17"/>
        <v>2.9</v>
      </c>
      <c r="X27" s="41"/>
      <c r="Y27" s="41"/>
      <c r="Z27" s="41"/>
      <c r="AA27" s="41"/>
      <c r="AC27" s="1">
        <f t="shared" si="6"/>
        <v>6</v>
      </c>
      <c r="AD27" s="1" t="s">
        <v>1116</v>
      </c>
      <c r="AE27" s="1">
        <v>30001</v>
      </c>
      <c r="AF27" s="1" t="s">
        <v>1116</v>
      </c>
      <c r="AG27" s="1">
        <v>1</v>
      </c>
      <c r="AH27" s="2" t="s">
        <v>1223</v>
      </c>
      <c r="AI27" s="2">
        <f t="shared" si="5"/>
        <v>12</v>
      </c>
      <c r="AJ27" s="1" t="s">
        <v>1116</v>
      </c>
      <c r="AK27" s="1">
        <v>30002</v>
      </c>
      <c r="AL27" s="1" t="s">
        <v>1116</v>
      </c>
      <c r="AM27" s="2">
        <v>1</v>
      </c>
      <c r="AN27" s="2" t="s">
        <v>1223</v>
      </c>
      <c r="AO27" s="2">
        <f t="shared" si="7"/>
        <v>15</v>
      </c>
      <c r="AP27" s="1" t="s">
        <v>1116</v>
      </c>
      <c r="AQ27" s="1">
        <v>30001</v>
      </c>
      <c r="AR27" s="1" t="s">
        <v>1222</v>
      </c>
      <c r="AS27" s="1">
        <v>30004</v>
      </c>
      <c r="AT27" s="1" t="s">
        <v>1116</v>
      </c>
      <c r="AU27" s="2">
        <v>1</v>
      </c>
    </row>
    <row r="28" spans="1:47">
      <c r="A28" s="1">
        <v>43</v>
      </c>
      <c r="B28" s="30" t="s">
        <v>1150</v>
      </c>
      <c r="C28" s="3">
        <v>15</v>
      </c>
      <c r="D28" s="4" t="str">
        <f t="shared" si="0"/>
        <v>6#30001#1|12#30002#1|15#30001,30004#1</v>
      </c>
      <c r="E28" s="4" t="str">
        <f>部队设定!E28</f>
        <v>1:10005,10002|2:10008|3:10005,10006,10007</v>
      </c>
      <c r="F28" s="4" t="s">
        <v>472</v>
      </c>
      <c r="G28" s="38">
        <f t="shared" si="2"/>
        <v>10</v>
      </c>
      <c r="H28" s="2" t="s">
        <v>1116</v>
      </c>
      <c r="I28" s="38">
        <v>1</v>
      </c>
      <c r="J28" s="2" t="s">
        <v>1116</v>
      </c>
      <c r="K28" s="38">
        <f t="shared" si="10"/>
        <v>1.3</v>
      </c>
      <c r="L28" s="2" t="s">
        <v>1223</v>
      </c>
      <c r="M28" s="38">
        <f t="shared" si="13"/>
        <v>13</v>
      </c>
      <c r="N28" s="2" t="s">
        <v>1116</v>
      </c>
      <c r="O28" s="38">
        <v>2</v>
      </c>
      <c r="P28" s="2" t="s">
        <v>1116</v>
      </c>
      <c r="Q28" s="38">
        <f t="shared" si="8"/>
        <v>2.2</v>
      </c>
      <c r="R28" s="2" t="s">
        <v>1223</v>
      </c>
      <c r="S28" s="38">
        <f t="shared" si="14"/>
        <v>15</v>
      </c>
      <c r="T28" s="2" t="s">
        <v>1116</v>
      </c>
      <c r="U28" s="38">
        <v>3</v>
      </c>
      <c r="V28" s="2" t="s">
        <v>1116</v>
      </c>
      <c r="W28" s="38">
        <f t="shared" si="17"/>
        <v>2.9</v>
      </c>
      <c r="X28" s="41"/>
      <c r="Y28" s="41"/>
      <c r="Z28" s="41"/>
      <c r="AA28" s="41"/>
      <c r="AC28" s="1">
        <f t="shared" si="6"/>
        <v>6</v>
      </c>
      <c r="AD28" s="1" t="s">
        <v>1116</v>
      </c>
      <c r="AE28" s="1">
        <v>30001</v>
      </c>
      <c r="AF28" s="1" t="s">
        <v>1116</v>
      </c>
      <c r="AG28" s="1">
        <v>1</v>
      </c>
      <c r="AH28" s="2" t="s">
        <v>1223</v>
      </c>
      <c r="AI28" s="2">
        <f t="shared" si="5"/>
        <v>12</v>
      </c>
      <c r="AJ28" s="1" t="s">
        <v>1116</v>
      </c>
      <c r="AK28" s="1">
        <v>30002</v>
      </c>
      <c r="AL28" s="1" t="s">
        <v>1116</v>
      </c>
      <c r="AM28" s="2">
        <v>1</v>
      </c>
      <c r="AN28" s="2" t="s">
        <v>1223</v>
      </c>
      <c r="AO28" s="2">
        <f t="shared" si="7"/>
        <v>15</v>
      </c>
      <c r="AP28" s="1" t="s">
        <v>1116</v>
      </c>
      <c r="AQ28" s="1">
        <v>30001</v>
      </c>
      <c r="AR28" s="1" t="s">
        <v>1222</v>
      </c>
      <c r="AS28" s="1">
        <v>30004</v>
      </c>
      <c r="AT28" s="1" t="s">
        <v>1116</v>
      </c>
      <c r="AU28" s="2">
        <v>1</v>
      </c>
    </row>
    <row r="29" spans="1:47">
      <c r="A29" s="1">
        <v>44</v>
      </c>
      <c r="B29" s="30" t="s">
        <v>1151</v>
      </c>
      <c r="C29" s="3">
        <v>15</v>
      </c>
      <c r="D29" s="4" t="str">
        <f t="shared" si="0"/>
        <v>6#30001#1|12#30002#1|15#30001,30004#1</v>
      </c>
      <c r="E29" s="4" t="str">
        <f>部队设定!E29</f>
        <v>1:10005,10002|2:10008|3:10005,10006,10007</v>
      </c>
      <c r="F29" s="4" t="s">
        <v>472</v>
      </c>
      <c r="G29" s="38">
        <f t="shared" si="2"/>
        <v>10</v>
      </c>
      <c r="H29" s="2" t="s">
        <v>1116</v>
      </c>
      <c r="I29" s="38">
        <v>1</v>
      </c>
      <c r="J29" s="2" t="s">
        <v>1116</v>
      </c>
      <c r="K29" s="41">
        <f>K26+$K$1</f>
        <v>1.4</v>
      </c>
      <c r="L29" s="2" t="s">
        <v>1223</v>
      </c>
      <c r="M29" s="38">
        <f t="shared" si="13"/>
        <v>13</v>
      </c>
      <c r="N29" s="2" t="s">
        <v>1116</v>
      </c>
      <c r="O29" s="38">
        <v>2</v>
      </c>
      <c r="P29" s="2" t="s">
        <v>1116</v>
      </c>
      <c r="Q29" s="41">
        <f>Q25+$Q$1</f>
        <v>2.4</v>
      </c>
      <c r="R29" s="2" t="s">
        <v>1223</v>
      </c>
      <c r="S29" s="38">
        <f t="shared" si="14"/>
        <v>15</v>
      </c>
      <c r="T29" s="2" t="s">
        <v>1116</v>
      </c>
      <c r="U29" s="38">
        <v>3</v>
      </c>
      <c r="V29" s="2" t="s">
        <v>1116</v>
      </c>
      <c r="W29" s="41">
        <f>W25+$W$1</f>
        <v>3.2</v>
      </c>
      <c r="X29" s="41"/>
      <c r="Y29" s="41"/>
      <c r="Z29" s="41"/>
      <c r="AA29" s="41"/>
      <c r="AC29" s="1">
        <f t="shared" si="6"/>
        <v>6</v>
      </c>
      <c r="AD29" s="1" t="s">
        <v>1116</v>
      </c>
      <c r="AE29" s="1">
        <v>30001</v>
      </c>
      <c r="AF29" s="1" t="s">
        <v>1116</v>
      </c>
      <c r="AG29" s="1">
        <v>1</v>
      </c>
      <c r="AH29" s="2" t="s">
        <v>1223</v>
      </c>
      <c r="AI29" s="2">
        <f t="shared" si="5"/>
        <v>12</v>
      </c>
      <c r="AJ29" s="1" t="s">
        <v>1116</v>
      </c>
      <c r="AK29" s="1">
        <v>30002</v>
      </c>
      <c r="AL29" s="1" t="s">
        <v>1116</v>
      </c>
      <c r="AM29" s="2">
        <v>1</v>
      </c>
      <c r="AN29" s="2" t="s">
        <v>1223</v>
      </c>
      <c r="AO29" s="2">
        <f t="shared" si="7"/>
        <v>15</v>
      </c>
      <c r="AP29" s="1" t="s">
        <v>1116</v>
      </c>
      <c r="AQ29" s="1">
        <v>30001</v>
      </c>
      <c r="AR29" s="1" t="s">
        <v>1222</v>
      </c>
      <c r="AS29" s="1">
        <v>30004</v>
      </c>
      <c r="AT29" s="1" t="s">
        <v>1116</v>
      </c>
      <c r="AU29" s="2">
        <v>1</v>
      </c>
    </row>
    <row r="30" spans="1:47">
      <c r="A30" s="1">
        <v>45</v>
      </c>
      <c r="B30" s="30" t="s">
        <v>1152</v>
      </c>
      <c r="C30" s="3">
        <v>15</v>
      </c>
      <c r="D30" s="4" t="str">
        <f t="shared" si="0"/>
        <v>6#30001#1|12#30002#1|15#30001,30004#1</v>
      </c>
      <c r="E30" s="4" t="str">
        <f>部队设定!E30</f>
        <v>1:10005,10002|2:10008|3:10005,10006,10007</v>
      </c>
      <c r="F30" s="4" t="s">
        <v>472</v>
      </c>
      <c r="G30" s="38">
        <f t="shared" si="2"/>
        <v>10</v>
      </c>
      <c r="H30" s="2" t="s">
        <v>1116</v>
      </c>
      <c r="I30" s="38">
        <v>1</v>
      </c>
      <c r="J30" s="2" t="s">
        <v>1116</v>
      </c>
      <c r="K30" s="38">
        <f t="shared" si="10"/>
        <v>1.4</v>
      </c>
      <c r="L30" s="2" t="s">
        <v>1223</v>
      </c>
      <c r="M30" s="38">
        <f t="shared" si="13"/>
        <v>13</v>
      </c>
      <c r="N30" s="2" t="s">
        <v>1116</v>
      </c>
      <c r="O30" s="38">
        <v>2</v>
      </c>
      <c r="P30" s="2" t="s">
        <v>1116</v>
      </c>
      <c r="Q30" s="38">
        <f t="shared" si="8"/>
        <v>2.4</v>
      </c>
      <c r="R30" s="2" t="s">
        <v>1223</v>
      </c>
      <c r="S30" s="38">
        <f t="shared" si="14"/>
        <v>15</v>
      </c>
      <c r="T30" s="2" t="s">
        <v>1116</v>
      </c>
      <c r="U30" s="38">
        <v>3</v>
      </c>
      <c r="V30" s="2" t="s">
        <v>1116</v>
      </c>
      <c r="W30" s="38">
        <f t="shared" ref="W30:W32" si="18">W29</f>
        <v>3.2</v>
      </c>
      <c r="X30" s="41"/>
      <c r="Y30" s="41"/>
      <c r="Z30" s="41"/>
      <c r="AA30" s="41"/>
      <c r="AC30" s="1">
        <f t="shared" si="6"/>
        <v>6</v>
      </c>
      <c r="AD30" s="1" t="s">
        <v>1116</v>
      </c>
      <c r="AE30" s="1">
        <v>30001</v>
      </c>
      <c r="AF30" s="1" t="s">
        <v>1116</v>
      </c>
      <c r="AG30" s="1">
        <v>1</v>
      </c>
      <c r="AH30" s="2" t="s">
        <v>1223</v>
      </c>
      <c r="AI30" s="2">
        <f t="shared" si="5"/>
        <v>12</v>
      </c>
      <c r="AJ30" s="1" t="s">
        <v>1116</v>
      </c>
      <c r="AK30" s="1">
        <v>30002</v>
      </c>
      <c r="AL30" s="1" t="s">
        <v>1116</v>
      </c>
      <c r="AM30" s="2">
        <v>1</v>
      </c>
      <c r="AN30" s="2" t="s">
        <v>1223</v>
      </c>
      <c r="AO30" s="2">
        <f t="shared" si="7"/>
        <v>15</v>
      </c>
      <c r="AP30" s="1" t="s">
        <v>1116</v>
      </c>
      <c r="AQ30" s="1">
        <v>30001</v>
      </c>
      <c r="AR30" s="1" t="s">
        <v>1222</v>
      </c>
      <c r="AS30" s="1">
        <v>30004</v>
      </c>
      <c r="AT30" s="1" t="s">
        <v>1116</v>
      </c>
      <c r="AU30" s="2">
        <v>1</v>
      </c>
    </row>
    <row r="31" spans="1:47">
      <c r="A31" s="1">
        <v>46</v>
      </c>
      <c r="B31" s="30" t="s">
        <v>1153</v>
      </c>
      <c r="C31" s="3">
        <v>15</v>
      </c>
      <c r="D31" s="4" t="str">
        <f t="shared" si="0"/>
        <v>6#30001#1|12#30002#1|15#30001,30004#1</v>
      </c>
      <c r="E31" s="4" t="str">
        <f>部队设定!E31</f>
        <v>1:10005,10002|2:10008|3:10005,10006,10007</v>
      </c>
      <c r="F31" s="4" t="s">
        <v>472</v>
      </c>
      <c r="G31" s="38">
        <f t="shared" si="2"/>
        <v>10</v>
      </c>
      <c r="H31" s="2" t="s">
        <v>1116</v>
      </c>
      <c r="I31" s="38">
        <v>1</v>
      </c>
      <c r="J31" s="2" t="s">
        <v>1116</v>
      </c>
      <c r="K31" s="38">
        <f t="shared" si="10"/>
        <v>1.4</v>
      </c>
      <c r="L31" s="2" t="s">
        <v>1223</v>
      </c>
      <c r="M31" s="38">
        <f t="shared" si="13"/>
        <v>13</v>
      </c>
      <c r="N31" s="2" t="s">
        <v>1116</v>
      </c>
      <c r="O31" s="38">
        <v>2</v>
      </c>
      <c r="P31" s="2" t="s">
        <v>1116</v>
      </c>
      <c r="Q31" s="38">
        <f t="shared" si="8"/>
        <v>2.4</v>
      </c>
      <c r="R31" s="2" t="s">
        <v>1223</v>
      </c>
      <c r="S31" s="38">
        <f t="shared" si="14"/>
        <v>15</v>
      </c>
      <c r="T31" s="2" t="s">
        <v>1116</v>
      </c>
      <c r="U31" s="38">
        <v>3</v>
      </c>
      <c r="V31" s="2" t="s">
        <v>1116</v>
      </c>
      <c r="W31" s="38">
        <f t="shared" si="18"/>
        <v>3.2</v>
      </c>
      <c r="X31" s="41"/>
      <c r="Y31" s="41"/>
      <c r="Z31" s="41"/>
      <c r="AA31" s="41"/>
      <c r="AC31" s="1">
        <f t="shared" si="6"/>
        <v>6</v>
      </c>
      <c r="AD31" s="1" t="s">
        <v>1116</v>
      </c>
      <c r="AE31" s="1">
        <v>30001</v>
      </c>
      <c r="AF31" s="1" t="s">
        <v>1116</v>
      </c>
      <c r="AG31" s="1">
        <v>1</v>
      </c>
      <c r="AH31" s="2" t="s">
        <v>1223</v>
      </c>
      <c r="AI31" s="2">
        <f t="shared" si="5"/>
        <v>12</v>
      </c>
      <c r="AJ31" s="1" t="s">
        <v>1116</v>
      </c>
      <c r="AK31" s="1">
        <v>30002</v>
      </c>
      <c r="AL31" s="1" t="s">
        <v>1116</v>
      </c>
      <c r="AM31" s="2">
        <v>1</v>
      </c>
      <c r="AN31" s="2" t="s">
        <v>1223</v>
      </c>
      <c r="AO31" s="2">
        <f t="shared" si="7"/>
        <v>15</v>
      </c>
      <c r="AP31" s="1" t="s">
        <v>1116</v>
      </c>
      <c r="AQ31" s="1">
        <v>30001</v>
      </c>
      <c r="AR31" s="1" t="s">
        <v>1222</v>
      </c>
      <c r="AS31" s="1">
        <v>30004</v>
      </c>
      <c r="AT31" s="1" t="s">
        <v>1116</v>
      </c>
      <c r="AU31" s="2">
        <v>1</v>
      </c>
    </row>
    <row r="32" spans="1:47">
      <c r="A32" s="1">
        <v>47</v>
      </c>
      <c r="B32" s="30" t="s">
        <v>1154</v>
      </c>
      <c r="C32" s="3">
        <v>15</v>
      </c>
      <c r="D32" s="4" t="str">
        <f t="shared" si="0"/>
        <v>6#30001#1|12#30002#1|15#30001,30004#1</v>
      </c>
      <c r="E32" s="4" t="str">
        <f>部队设定!E32</f>
        <v>1:10005,10002|2:10008|3:10005,10006,10007</v>
      </c>
      <c r="F32" s="4" t="s">
        <v>472</v>
      </c>
      <c r="G32" s="38">
        <f t="shared" si="2"/>
        <v>10</v>
      </c>
      <c r="H32" s="2" t="s">
        <v>1116</v>
      </c>
      <c r="I32" s="38">
        <v>1</v>
      </c>
      <c r="J32" s="2" t="s">
        <v>1116</v>
      </c>
      <c r="K32" s="38">
        <f t="shared" si="10"/>
        <v>1.4</v>
      </c>
      <c r="L32" s="2" t="s">
        <v>1223</v>
      </c>
      <c r="M32" s="38">
        <f t="shared" si="13"/>
        <v>13</v>
      </c>
      <c r="N32" s="2" t="s">
        <v>1116</v>
      </c>
      <c r="O32" s="38">
        <v>2</v>
      </c>
      <c r="P32" s="2" t="s">
        <v>1116</v>
      </c>
      <c r="Q32" s="38">
        <f t="shared" si="8"/>
        <v>2.4</v>
      </c>
      <c r="R32" s="2" t="s">
        <v>1223</v>
      </c>
      <c r="S32" s="38">
        <f t="shared" si="14"/>
        <v>15</v>
      </c>
      <c r="T32" s="2" t="s">
        <v>1116</v>
      </c>
      <c r="U32" s="38">
        <v>3</v>
      </c>
      <c r="V32" s="2" t="s">
        <v>1116</v>
      </c>
      <c r="W32" s="38">
        <f t="shared" si="18"/>
        <v>3.2</v>
      </c>
      <c r="X32" s="41"/>
      <c r="Y32" s="41"/>
      <c r="Z32" s="41"/>
      <c r="AA32" s="41"/>
      <c r="AC32" s="1">
        <f t="shared" si="6"/>
        <v>6</v>
      </c>
      <c r="AD32" s="1" t="s">
        <v>1116</v>
      </c>
      <c r="AE32" s="1">
        <v>30001</v>
      </c>
      <c r="AF32" s="1" t="s">
        <v>1116</v>
      </c>
      <c r="AG32" s="1">
        <v>1</v>
      </c>
      <c r="AH32" s="2" t="s">
        <v>1223</v>
      </c>
      <c r="AI32" s="2">
        <f t="shared" si="5"/>
        <v>12</v>
      </c>
      <c r="AJ32" s="1" t="s">
        <v>1116</v>
      </c>
      <c r="AK32" s="1">
        <v>30002</v>
      </c>
      <c r="AL32" s="1" t="s">
        <v>1116</v>
      </c>
      <c r="AM32" s="2">
        <v>1</v>
      </c>
      <c r="AN32" s="2" t="s">
        <v>1223</v>
      </c>
      <c r="AO32" s="2">
        <f t="shared" si="7"/>
        <v>15</v>
      </c>
      <c r="AP32" s="1" t="s">
        <v>1116</v>
      </c>
      <c r="AQ32" s="1">
        <v>30001</v>
      </c>
      <c r="AR32" s="1" t="s">
        <v>1222</v>
      </c>
      <c r="AS32" s="1">
        <v>30004</v>
      </c>
      <c r="AT32" s="1" t="s">
        <v>1116</v>
      </c>
      <c r="AU32" s="2">
        <v>1</v>
      </c>
    </row>
    <row r="33" spans="1:47">
      <c r="A33" s="1">
        <v>48</v>
      </c>
      <c r="B33" s="30" t="s">
        <v>1155</v>
      </c>
      <c r="C33" s="3">
        <v>15</v>
      </c>
      <c r="D33" s="4" t="str">
        <f t="shared" si="0"/>
        <v>6#30001#1|12#30002#1|15#30001,30004#1</v>
      </c>
      <c r="E33" s="4" t="str">
        <f>部队设定!E33</f>
        <v>1:10005,10002|2:10008|3:10005,10006,10007</v>
      </c>
      <c r="F33" s="4" t="s">
        <v>472</v>
      </c>
      <c r="G33" s="38">
        <f t="shared" si="2"/>
        <v>10</v>
      </c>
      <c r="H33" s="2" t="s">
        <v>1116</v>
      </c>
      <c r="I33" s="38">
        <v>1</v>
      </c>
      <c r="J33" s="2" t="s">
        <v>1116</v>
      </c>
      <c r="K33" s="41">
        <f>K30+$K$1</f>
        <v>1.5</v>
      </c>
      <c r="L33" s="2" t="s">
        <v>1223</v>
      </c>
      <c r="M33" s="38">
        <f t="shared" si="13"/>
        <v>13</v>
      </c>
      <c r="N33" s="2" t="s">
        <v>1116</v>
      </c>
      <c r="O33" s="38">
        <v>2</v>
      </c>
      <c r="P33" s="2" t="s">
        <v>1116</v>
      </c>
      <c r="Q33" s="41">
        <f>Q29+$Q$1</f>
        <v>2.6</v>
      </c>
      <c r="R33" s="2" t="s">
        <v>1223</v>
      </c>
      <c r="S33" s="38">
        <f t="shared" si="14"/>
        <v>15</v>
      </c>
      <c r="T33" s="2" t="s">
        <v>1116</v>
      </c>
      <c r="U33" s="38">
        <v>3</v>
      </c>
      <c r="V33" s="2" t="s">
        <v>1116</v>
      </c>
      <c r="W33" s="41">
        <f>W29+$W$1</f>
        <v>3.5</v>
      </c>
      <c r="X33" s="41"/>
      <c r="Y33" s="41"/>
      <c r="Z33" s="41"/>
      <c r="AA33" s="41"/>
      <c r="AC33" s="1">
        <f t="shared" si="6"/>
        <v>6</v>
      </c>
      <c r="AD33" s="1" t="s">
        <v>1116</v>
      </c>
      <c r="AE33" s="1">
        <v>30001</v>
      </c>
      <c r="AF33" s="1" t="s">
        <v>1116</v>
      </c>
      <c r="AG33" s="1">
        <v>1</v>
      </c>
      <c r="AH33" s="2" t="s">
        <v>1223</v>
      </c>
      <c r="AI33" s="2">
        <f t="shared" si="5"/>
        <v>12</v>
      </c>
      <c r="AJ33" s="1" t="s">
        <v>1116</v>
      </c>
      <c r="AK33" s="1">
        <v>30002</v>
      </c>
      <c r="AL33" s="1" t="s">
        <v>1116</v>
      </c>
      <c r="AM33" s="2">
        <v>1</v>
      </c>
      <c r="AN33" s="2" t="s">
        <v>1223</v>
      </c>
      <c r="AO33" s="2">
        <f t="shared" si="7"/>
        <v>15</v>
      </c>
      <c r="AP33" s="1" t="s">
        <v>1116</v>
      </c>
      <c r="AQ33" s="1">
        <v>30001</v>
      </c>
      <c r="AR33" s="1" t="s">
        <v>1222</v>
      </c>
      <c r="AS33" s="1">
        <v>30004</v>
      </c>
      <c r="AT33" s="1" t="s">
        <v>1116</v>
      </c>
      <c r="AU33" s="2">
        <v>1</v>
      </c>
    </row>
    <row r="34" spans="1:47">
      <c r="A34" s="1">
        <v>51</v>
      </c>
      <c r="B34" s="30" t="s">
        <v>1156</v>
      </c>
      <c r="C34" s="3">
        <v>15</v>
      </c>
      <c r="D34" s="4" t="str">
        <f t="shared" si="0"/>
        <v>6#30001#1|12#30002#1|15#30001,30004#1</v>
      </c>
      <c r="E34" s="4" t="str">
        <f>部队设定!E34</f>
        <v>1:10005,10002|2:10008|3:10005,10006,10007</v>
      </c>
      <c r="F34" s="4" t="s">
        <v>472</v>
      </c>
      <c r="G34" s="38">
        <f t="shared" si="2"/>
        <v>10</v>
      </c>
      <c r="H34" s="2" t="s">
        <v>1116</v>
      </c>
      <c r="I34" s="38">
        <v>1</v>
      </c>
      <c r="J34" s="2" t="s">
        <v>1116</v>
      </c>
      <c r="K34" s="38">
        <f t="shared" si="10"/>
        <v>1.5</v>
      </c>
      <c r="L34" s="2" t="s">
        <v>1223</v>
      </c>
      <c r="M34" s="38">
        <f t="shared" si="13"/>
        <v>13</v>
      </c>
      <c r="N34" s="2" t="s">
        <v>1116</v>
      </c>
      <c r="O34" s="38">
        <v>2</v>
      </c>
      <c r="P34" s="2" t="s">
        <v>1116</v>
      </c>
      <c r="Q34" s="38">
        <f t="shared" si="8"/>
        <v>2.6</v>
      </c>
      <c r="R34" s="2" t="s">
        <v>1223</v>
      </c>
      <c r="S34" s="38">
        <f t="shared" si="14"/>
        <v>15</v>
      </c>
      <c r="T34" s="2" t="s">
        <v>1116</v>
      </c>
      <c r="U34" s="38">
        <v>3</v>
      </c>
      <c r="V34" s="2" t="s">
        <v>1116</v>
      </c>
      <c r="W34" s="38">
        <f>W33</f>
        <v>3.5</v>
      </c>
      <c r="X34" s="41"/>
      <c r="Y34" s="41"/>
      <c r="Z34" s="41"/>
      <c r="AA34" s="41"/>
      <c r="AC34" s="1">
        <f t="shared" si="6"/>
        <v>6</v>
      </c>
      <c r="AD34" s="1" t="s">
        <v>1116</v>
      </c>
      <c r="AE34" s="1">
        <v>30001</v>
      </c>
      <c r="AF34" s="1" t="s">
        <v>1116</v>
      </c>
      <c r="AG34" s="1">
        <v>1</v>
      </c>
      <c r="AH34" s="2" t="s">
        <v>1223</v>
      </c>
      <c r="AI34" s="2">
        <f t="shared" si="5"/>
        <v>12</v>
      </c>
      <c r="AJ34" s="1" t="s">
        <v>1116</v>
      </c>
      <c r="AK34" s="1">
        <v>30002</v>
      </c>
      <c r="AL34" s="1" t="s">
        <v>1116</v>
      </c>
      <c r="AM34" s="2">
        <v>1</v>
      </c>
      <c r="AN34" s="2" t="s">
        <v>1223</v>
      </c>
      <c r="AO34" s="2">
        <f t="shared" si="7"/>
        <v>15</v>
      </c>
      <c r="AP34" s="1" t="s">
        <v>1116</v>
      </c>
      <c r="AQ34" s="1">
        <v>30001</v>
      </c>
      <c r="AR34" s="1" t="s">
        <v>1222</v>
      </c>
      <c r="AS34" s="1">
        <v>30004</v>
      </c>
      <c r="AT34" s="1" t="s">
        <v>1116</v>
      </c>
      <c r="AU34" s="2">
        <v>1</v>
      </c>
    </row>
    <row r="35" spans="1:47">
      <c r="A35" s="1">
        <v>52</v>
      </c>
      <c r="B35" s="30" t="s">
        <v>1157</v>
      </c>
      <c r="C35" s="3">
        <v>15</v>
      </c>
      <c r="D35" s="4" t="str">
        <f t="shared" si="0"/>
        <v>6#30001#1|12#30002#1|15#30001,30004#1</v>
      </c>
      <c r="E35" s="4" t="str">
        <f>部队设定!E35</f>
        <v>1:10005,10002|2:10008|3:10005,10006,10007</v>
      </c>
      <c r="F35" s="4" t="s">
        <v>472</v>
      </c>
      <c r="G35" s="38">
        <f t="shared" si="2"/>
        <v>10</v>
      </c>
      <c r="H35" s="2" t="s">
        <v>1116</v>
      </c>
      <c r="I35" s="38">
        <v>1</v>
      </c>
      <c r="J35" s="2" t="s">
        <v>1116</v>
      </c>
      <c r="K35" s="38">
        <f t="shared" si="10"/>
        <v>1.5</v>
      </c>
      <c r="L35" s="2" t="s">
        <v>1223</v>
      </c>
      <c r="M35" s="38">
        <f t="shared" si="13"/>
        <v>13</v>
      </c>
      <c r="N35" s="2" t="s">
        <v>1116</v>
      </c>
      <c r="O35" s="38">
        <v>2</v>
      </c>
      <c r="P35" s="2" t="s">
        <v>1116</v>
      </c>
      <c r="Q35" s="38">
        <f t="shared" si="8"/>
        <v>2.6</v>
      </c>
      <c r="R35" s="2" t="s">
        <v>1223</v>
      </c>
      <c r="S35" s="38">
        <f t="shared" si="14"/>
        <v>15</v>
      </c>
      <c r="T35" s="2" t="s">
        <v>1116</v>
      </c>
      <c r="U35" s="38">
        <v>3</v>
      </c>
      <c r="V35" s="2" t="s">
        <v>1116</v>
      </c>
      <c r="W35" s="38">
        <f>W34</f>
        <v>3.5</v>
      </c>
      <c r="X35" s="41"/>
      <c r="Y35" s="41"/>
      <c r="Z35" s="41"/>
      <c r="AA35" s="41"/>
      <c r="AC35" s="1">
        <f t="shared" si="6"/>
        <v>6</v>
      </c>
      <c r="AD35" s="1" t="s">
        <v>1116</v>
      </c>
      <c r="AE35" s="1">
        <v>30001</v>
      </c>
      <c r="AF35" s="1" t="s">
        <v>1116</v>
      </c>
      <c r="AG35" s="1">
        <v>1</v>
      </c>
      <c r="AH35" s="2" t="s">
        <v>1223</v>
      </c>
      <c r="AI35" s="2">
        <f t="shared" si="5"/>
        <v>12</v>
      </c>
      <c r="AJ35" s="1" t="s">
        <v>1116</v>
      </c>
      <c r="AK35" s="1">
        <v>30002</v>
      </c>
      <c r="AL35" s="1" t="s">
        <v>1116</v>
      </c>
      <c r="AM35" s="2">
        <v>1</v>
      </c>
      <c r="AN35" s="2" t="s">
        <v>1223</v>
      </c>
      <c r="AO35" s="2">
        <f t="shared" si="7"/>
        <v>15</v>
      </c>
      <c r="AP35" s="1" t="s">
        <v>1116</v>
      </c>
      <c r="AQ35" s="1">
        <v>30001</v>
      </c>
      <c r="AR35" s="1" t="s">
        <v>1222</v>
      </c>
      <c r="AS35" s="1">
        <v>30004</v>
      </c>
      <c r="AT35" s="1" t="s">
        <v>1116</v>
      </c>
      <c r="AU35" s="2">
        <v>1</v>
      </c>
    </row>
    <row r="36" spans="1:47">
      <c r="A36" s="1">
        <v>53</v>
      </c>
      <c r="B36" s="30" t="s">
        <v>1158</v>
      </c>
      <c r="C36" s="3">
        <v>15</v>
      </c>
      <c r="D36" s="4" t="str">
        <f t="shared" ref="D36:D67" si="19">AC36&amp;AD36&amp;AE36&amp;AF36&amp;AG36&amp;AH36&amp;AI36&amp;AJ36&amp;AK36&amp;AL36&amp;AM36&amp;AN36&amp;AO36&amp;AP36&amp;AQ36&amp;AR36&amp;AS36&amp;AT36&amp;AU36</f>
        <v>6#30001#1|12#30002#1|15#30001,30004#1</v>
      </c>
      <c r="E36" s="4" t="str">
        <f>部队设定!E36</f>
        <v>1:10005,10002|2:10008|3:10005,10006,10007</v>
      </c>
      <c r="F36" s="4" t="s">
        <v>472</v>
      </c>
      <c r="G36" s="38">
        <f t="shared" ref="G36:G67" si="20">M36-3</f>
        <v>10</v>
      </c>
      <c r="H36" s="2" t="s">
        <v>1116</v>
      </c>
      <c r="I36" s="38">
        <v>1</v>
      </c>
      <c r="J36" s="2" t="s">
        <v>1116</v>
      </c>
      <c r="K36" s="38">
        <f t="shared" si="10"/>
        <v>1.5</v>
      </c>
      <c r="L36" s="2" t="s">
        <v>1223</v>
      </c>
      <c r="M36" s="38">
        <f t="shared" si="13"/>
        <v>13</v>
      </c>
      <c r="N36" s="2" t="s">
        <v>1116</v>
      </c>
      <c r="O36" s="38">
        <v>2</v>
      </c>
      <c r="P36" s="2" t="s">
        <v>1116</v>
      </c>
      <c r="Q36" s="38">
        <f t="shared" si="8"/>
        <v>2.6</v>
      </c>
      <c r="R36" s="2" t="s">
        <v>1223</v>
      </c>
      <c r="S36" s="38">
        <f t="shared" si="14"/>
        <v>15</v>
      </c>
      <c r="T36" s="2" t="s">
        <v>1116</v>
      </c>
      <c r="U36" s="38">
        <v>3</v>
      </c>
      <c r="V36" s="2" t="s">
        <v>1116</v>
      </c>
      <c r="W36" s="38">
        <f>W35</f>
        <v>3.5</v>
      </c>
      <c r="X36" s="41"/>
      <c r="Y36" s="41"/>
      <c r="Z36" s="41"/>
      <c r="AA36" s="41"/>
      <c r="AC36" s="1">
        <f t="shared" si="6"/>
        <v>6</v>
      </c>
      <c r="AD36" s="1" t="s">
        <v>1116</v>
      </c>
      <c r="AE36" s="1">
        <v>30001</v>
      </c>
      <c r="AF36" s="1" t="s">
        <v>1116</v>
      </c>
      <c r="AG36" s="1">
        <v>1</v>
      </c>
      <c r="AH36" s="2" t="s">
        <v>1223</v>
      </c>
      <c r="AI36" s="2">
        <f t="shared" ref="AI36:AI67" si="21">INT(C36/$AI$1)</f>
        <v>12</v>
      </c>
      <c r="AJ36" s="1" t="s">
        <v>1116</v>
      </c>
      <c r="AK36" s="1">
        <v>30002</v>
      </c>
      <c r="AL36" s="1" t="s">
        <v>1116</v>
      </c>
      <c r="AM36" s="2">
        <v>1</v>
      </c>
      <c r="AN36" s="2" t="s">
        <v>1223</v>
      </c>
      <c r="AO36" s="2">
        <f t="shared" si="7"/>
        <v>15</v>
      </c>
      <c r="AP36" s="1" t="s">
        <v>1116</v>
      </c>
      <c r="AQ36" s="1">
        <v>30001</v>
      </c>
      <c r="AR36" s="1" t="s">
        <v>1222</v>
      </c>
      <c r="AS36" s="1">
        <v>30004</v>
      </c>
      <c r="AT36" s="1" t="s">
        <v>1116</v>
      </c>
      <c r="AU36" s="2">
        <v>1</v>
      </c>
    </row>
    <row r="37" spans="1:47">
      <c r="A37" s="1">
        <v>54</v>
      </c>
      <c r="B37" s="30" t="s">
        <v>1159</v>
      </c>
      <c r="C37" s="3">
        <v>15</v>
      </c>
      <c r="D37" s="4" t="str">
        <f t="shared" si="19"/>
        <v>6#30001#1|12#30002#1|15#30001,30004#1</v>
      </c>
      <c r="E37" s="4" t="str">
        <f>部队设定!E37</f>
        <v>1:10005,10002|2:10008|3:10005,10006,10007</v>
      </c>
      <c r="F37" s="4" t="s">
        <v>472</v>
      </c>
      <c r="G37" s="38">
        <f t="shared" si="20"/>
        <v>10</v>
      </c>
      <c r="H37" s="2" t="s">
        <v>1116</v>
      </c>
      <c r="I37" s="38">
        <v>1</v>
      </c>
      <c r="J37" s="2" t="s">
        <v>1116</v>
      </c>
      <c r="K37" s="38">
        <f t="shared" ref="K37:K68" si="22">K36</f>
        <v>1.5</v>
      </c>
      <c r="L37" s="2" t="s">
        <v>1223</v>
      </c>
      <c r="M37" s="38">
        <f t="shared" si="13"/>
        <v>13</v>
      </c>
      <c r="N37" s="2" t="s">
        <v>1116</v>
      </c>
      <c r="O37" s="38">
        <v>2</v>
      </c>
      <c r="P37" s="2" t="s">
        <v>1116</v>
      </c>
      <c r="Q37" s="38">
        <f t="shared" ref="Q37:Q68" si="23">Q36</f>
        <v>2.6</v>
      </c>
      <c r="R37" s="2" t="s">
        <v>1223</v>
      </c>
      <c r="S37" s="38">
        <f t="shared" si="14"/>
        <v>15</v>
      </c>
      <c r="T37" s="2" t="s">
        <v>1116</v>
      </c>
      <c r="U37" s="38">
        <v>3</v>
      </c>
      <c r="V37" s="2" t="s">
        <v>1116</v>
      </c>
      <c r="W37" s="38">
        <f t="shared" ref="W37:W68" si="24">W36</f>
        <v>3.5</v>
      </c>
      <c r="X37" s="41"/>
      <c r="Y37" s="41"/>
      <c r="Z37" s="41"/>
      <c r="AA37" s="41"/>
      <c r="AC37" s="1">
        <f t="shared" ref="AC37:AC68" si="25">INT(C37/2.5)</f>
        <v>6</v>
      </c>
      <c r="AD37" s="1" t="s">
        <v>1116</v>
      </c>
      <c r="AE37" s="1">
        <v>30001</v>
      </c>
      <c r="AF37" s="1" t="s">
        <v>1116</v>
      </c>
      <c r="AG37" s="1">
        <v>1</v>
      </c>
      <c r="AH37" s="2" t="s">
        <v>1223</v>
      </c>
      <c r="AI37" s="2">
        <f t="shared" si="21"/>
        <v>12</v>
      </c>
      <c r="AJ37" s="1" t="s">
        <v>1116</v>
      </c>
      <c r="AK37" s="1">
        <v>30002</v>
      </c>
      <c r="AL37" s="1" t="s">
        <v>1116</v>
      </c>
      <c r="AM37" s="2">
        <v>1</v>
      </c>
      <c r="AN37" s="2" t="s">
        <v>1223</v>
      </c>
      <c r="AO37" s="2">
        <f t="shared" ref="AO37:AO68" si="26">C37</f>
        <v>15</v>
      </c>
      <c r="AP37" s="1" t="s">
        <v>1116</v>
      </c>
      <c r="AQ37" s="1">
        <v>30001</v>
      </c>
      <c r="AR37" s="1" t="s">
        <v>1222</v>
      </c>
      <c r="AS37" s="1">
        <v>30004</v>
      </c>
      <c r="AT37" s="1" t="s">
        <v>1116</v>
      </c>
      <c r="AU37" s="2">
        <v>1</v>
      </c>
    </row>
    <row r="38" spans="1:47">
      <c r="A38" s="1">
        <v>55</v>
      </c>
      <c r="B38" s="30" t="s">
        <v>1160</v>
      </c>
      <c r="C38" s="3">
        <v>15</v>
      </c>
      <c r="D38" s="4" t="str">
        <f t="shared" si="19"/>
        <v>6#30001#1|12#30002#1|15#30001,30004#1</v>
      </c>
      <c r="E38" s="4" t="str">
        <f>部队设定!E38</f>
        <v>1:10005,10002|2:10008|3:10005,10006,10007</v>
      </c>
      <c r="F38" s="4" t="s">
        <v>472</v>
      </c>
      <c r="G38" s="38">
        <f t="shared" si="20"/>
        <v>10</v>
      </c>
      <c r="H38" s="2" t="s">
        <v>1116</v>
      </c>
      <c r="I38" s="38">
        <v>1</v>
      </c>
      <c r="J38" s="2" t="s">
        <v>1116</v>
      </c>
      <c r="K38" s="38">
        <f t="shared" si="22"/>
        <v>1.5</v>
      </c>
      <c r="L38" s="2" t="s">
        <v>1223</v>
      </c>
      <c r="M38" s="38">
        <f t="shared" si="13"/>
        <v>13</v>
      </c>
      <c r="N38" s="2" t="s">
        <v>1116</v>
      </c>
      <c r="O38" s="38">
        <v>2</v>
      </c>
      <c r="P38" s="2" t="s">
        <v>1116</v>
      </c>
      <c r="Q38" s="38">
        <f t="shared" si="23"/>
        <v>2.6</v>
      </c>
      <c r="R38" s="2" t="s">
        <v>1223</v>
      </c>
      <c r="S38" s="38">
        <f t="shared" si="14"/>
        <v>15</v>
      </c>
      <c r="T38" s="2" t="s">
        <v>1116</v>
      </c>
      <c r="U38" s="38">
        <v>3</v>
      </c>
      <c r="V38" s="2" t="s">
        <v>1116</v>
      </c>
      <c r="W38" s="38">
        <f t="shared" si="24"/>
        <v>3.5</v>
      </c>
      <c r="X38" s="41"/>
      <c r="Y38" s="41"/>
      <c r="Z38" s="41"/>
      <c r="AA38" s="41"/>
      <c r="AC38" s="1">
        <f t="shared" si="25"/>
        <v>6</v>
      </c>
      <c r="AD38" s="1" t="s">
        <v>1116</v>
      </c>
      <c r="AE38" s="1">
        <v>30001</v>
      </c>
      <c r="AF38" s="1" t="s">
        <v>1116</v>
      </c>
      <c r="AG38" s="1">
        <v>1</v>
      </c>
      <c r="AH38" s="2" t="s">
        <v>1223</v>
      </c>
      <c r="AI38" s="2">
        <f t="shared" si="21"/>
        <v>12</v>
      </c>
      <c r="AJ38" s="1" t="s">
        <v>1116</v>
      </c>
      <c r="AK38" s="1">
        <v>30002</v>
      </c>
      <c r="AL38" s="1" t="s">
        <v>1116</v>
      </c>
      <c r="AM38" s="2">
        <v>1</v>
      </c>
      <c r="AN38" s="2" t="s">
        <v>1223</v>
      </c>
      <c r="AO38" s="2">
        <f t="shared" si="26"/>
        <v>15</v>
      </c>
      <c r="AP38" s="1" t="s">
        <v>1116</v>
      </c>
      <c r="AQ38" s="1">
        <v>30001</v>
      </c>
      <c r="AR38" s="1" t="s">
        <v>1222</v>
      </c>
      <c r="AS38" s="1">
        <v>30004</v>
      </c>
      <c r="AT38" s="1" t="s">
        <v>1116</v>
      </c>
      <c r="AU38" s="2">
        <v>1</v>
      </c>
    </row>
    <row r="39" spans="1:47">
      <c r="A39" s="1">
        <v>56</v>
      </c>
      <c r="B39" s="30" t="s">
        <v>1161</v>
      </c>
      <c r="C39" s="3">
        <v>15</v>
      </c>
      <c r="D39" s="4" t="str">
        <f t="shared" si="19"/>
        <v>6#30001#1|12#30002#1|15#30001,30004#1</v>
      </c>
      <c r="E39" s="4" t="str">
        <f>部队设定!E39</f>
        <v>1:10005,10002|2:10008|3:10005,10006,10007</v>
      </c>
      <c r="F39" s="4" t="s">
        <v>472</v>
      </c>
      <c r="G39" s="38">
        <f t="shared" si="20"/>
        <v>10</v>
      </c>
      <c r="H39" s="2" t="s">
        <v>1116</v>
      </c>
      <c r="I39" s="38">
        <v>1</v>
      </c>
      <c r="J39" s="2" t="s">
        <v>1116</v>
      </c>
      <c r="K39" s="38">
        <f t="shared" si="22"/>
        <v>1.5</v>
      </c>
      <c r="L39" s="2" t="s">
        <v>1223</v>
      </c>
      <c r="M39" s="38">
        <f t="shared" si="13"/>
        <v>13</v>
      </c>
      <c r="N39" s="2" t="s">
        <v>1116</v>
      </c>
      <c r="O39" s="38">
        <v>2</v>
      </c>
      <c r="P39" s="2" t="s">
        <v>1116</v>
      </c>
      <c r="Q39" s="38">
        <f t="shared" si="23"/>
        <v>2.6</v>
      </c>
      <c r="R39" s="2" t="s">
        <v>1223</v>
      </c>
      <c r="S39" s="38">
        <f t="shared" si="14"/>
        <v>15</v>
      </c>
      <c r="T39" s="2" t="s">
        <v>1116</v>
      </c>
      <c r="U39" s="38">
        <v>3</v>
      </c>
      <c r="V39" s="2" t="s">
        <v>1116</v>
      </c>
      <c r="W39" s="38">
        <f t="shared" si="24"/>
        <v>3.5</v>
      </c>
      <c r="X39" s="41"/>
      <c r="Y39" s="41"/>
      <c r="Z39" s="41"/>
      <c r="AA39" s="41"/>
      <c r="AC39" s="1">
        <f t="shared" si="25"/>
        <v>6</v>
      </c>
      <c r="AD39" s="1" t="s">
        <v>1116</v>
      </c>
      <c r="AE39" s="1">
        <v>30001</v>
      </c>
      <c r="AF39" s="1" t="s">
        <v>1116</v>
      </c>
      <c r="AG39" s="1">
        <v>1</v>
      </c>
      <c r="AH39" s="2" t="s">
        <v>1223</v>
      </c>
      <c r="AI39" s="2">
        <f t="shared" si="21"/>
        <v>12</v>
      </c>
      <c r="AJ39" s="1" t="s">
        <v>1116</v>
      </c>
      <c r="AK39" s="1">
        <v>30002</v>
      </c>
      <c r="AL39" s="1" t="s">
        <v>1116</v>
      </c>
      <c r="AM39" s="2">
        <v>1</v>
      </c>
      <c r="AN39" s="2" t="s">
        <v>1223</v>
      </c>
      <c r="AO39" s="2">
        <f t="shared" si="26"/>
        <v>15</v>
      </c>
      <c r="AP39" s="1" t="s">
        <v>1116</v>
      </c>
      <c r="AQ39" s="1">
        <v>30001</v>
      </c>
      <c r="AR39" s="1" t="s">
        <v>1222</v>
      </c>
      <c r="AS39" s="1">
        <v>30004</v>
      </c>
      <c r="AT39" s="1" t="s">
        <v>1116</v>
      </c>
      <c r="AU39" s="2">
        <v>1</v>
      </c>
    </row>
    <row r="40" spans="1:47">
      <c r="A40" s="1">
        <v>57</v>
      </c>
      <c r="B40" s="30" t="s">
        <v>1162</v>
      </c>
      <c r="C40" s="3">
        <v>15</v>
      </c>
      <c r="D40" s="4" t="str">
        <f t="shared" si="19"/>
        <v>6#30001#1|12#30002#1|15#30001,30004#1</v>
      </c>
      <c r="E40" s="4" t="str">
        <f>部队设定!E40</f>
        <v>1:10005,10002|2:10008|3:10005,10006,10007</v>
      </c>
      <c r="F40" s="4" t="s">
        <v>472</v>
      </c>
      <c r="G40" s="38">
        <f t="shared" si="20"/>
        <v>10</v>
      </c>
      <c r="H40" s="2" t="s">
        <v>1116</v>
      </c>
      <c r="I40" s="38">
        <v>1</v>
      </c>
      <c r="J40" s="2" t="s">
        <v>1116</v>
      </c>
      <c r="K40" s="38">
        <f t="shared" si="22"/>
        <v>1.5</v>
      </c>
      <c r="L40" s="2" t="s">
        <v>1223</v>
      </c>
      <c r="M40" s="38">
        <f t="shared" si="13"/>
        <v>13</v>
      </c>
      <c r="N40" s="2" t="s">
        <v>1116</v>
      </c>
      <c r="O40" s="38">
        <v>2</v>
      </c>
      <c r="P40" s="2" t="s">
        <v>1116</v>
      </c>
      <c r="Q40" s="38">
        <f t="shared" si="23"/>
        <v>2.6</v>
      </c>
      <c r="R40" s="2" t="s">
        <v>1223</v>
      </c>
      <c r="S40" s="38">
        <f t="shared" si="14"/>
        <v>15</v>
      </c>
      <c r="T40" s="2" t="s">
        <v>1116</v>
      </c>
      <c r="U40" s="38">
        <v>3</v>
      </c>
      <c r="V40" s="2" t="s">
        <v>1116</v>
      </c>
      <c r="W40" s="38">
        <f t="shared" si="24"/>
        <v>3.5</v>
      </c>
      <c r="X40" s="41"/>
      <c r="Y40" s="41"/>
      <c r="Z40" s="41"/>
      <c r="AA40" s="41"/>
      <c r="AC40" s="1">
        <f t="shared" si="25"/>
        <v>6</v>
      </c>
      <c r="AD40" s="1" t="s">
        <v>1116</v>
      </c>
      <c r="AE40" s="1">
        <v>30001</v>
      </c>
      <c r="AF40" s="1" t="s">
        <v>1116</v>
      </c>
      <c r="AG40" s="1">
        <v>1</v>
      </c>
      <c r="AH40" s="2" t="s">
        <v>1223</v>
      </c>
      <c r="AI40" s="2">
        <f t="shared" si="21"/>
        <v>12</v>
      </c>
      <c r="AJ40" s="1" t="s">
        <v>1116</v>
      </c>
      <c r="AK40" s="1">
        <v>30002</v>
      </c>
      <c r="AL40" s="1" t="s">
        <v>1116</v>
      </c>
      <c r="AM40" s="2">
        <v>1</v>
      </c>
      <c r="AN40" s="2" t="s">
        <v>1223</v>
      </c>
      <c r="AO40" s="2">
        <f t="shared" si="26"/>
        <v>15</v>
      </c>
      <c r="AP40" s="1" t="s">
        <v>1116</v>
      </c>
      <c r="AQ40" s="1">
        <v>30001</v>
      </c>
      <c r="AR40" s="1" t="s">
        <v>1222</v>
      </c>
      <c r="AS40" s="1">
        <v>30004</v>
      </c>
      <c r="AT40" s="1" t="s">
        <v>1116</v>
      </c>
      <c r="AU40" s="2">
        <v>1</v>
      </c>
    </row>
    <row r="41" spans="1:47">
      <c r="A41" s="36">
        <v>58</v>
      </c>
      <c r="B41" s="37" t="s">
        <v>1163</v>
      </c>
      <c r="C41" s="3">
        <v>15</v>
      </c>
      <c r="D41" s="4" t="str">
        <f t="shared" si="19"/>
        <v>6#30001#1|12#30002#1|15#30001,30004#1</v>
      </c>
      <c r="E41" s="4" t="str">
        <f>部队设定!E41</f>
        <v>1:10005,10002|2:10008|3:10005,10006,10007</v>
      </c>
      <c r="F41" s="4" t="s">
        <v>472</v>
      </c>
      <c r="G41" s="38">
        <f t="shared" si="20"/>
        <v>10</v>
      </c>
      <c r="H41" s="2" t="s">
        <v>1116</v>
      </c>
      <c r="I41" s="38">
        <v>1</v>
      </c>
      <c r="J41" s="2" t="s">
        <v>1116</v>
      </c>
      <c r="K41" s="38">
        <f t="shared" si="22"/>
        <v>1.5</v>
      </c>
      <c r="L41" s="2" t="s">
        <v>1223</v>
      </c>
      <c r="M41" s="38">
        <f t="shared" si="13"/>
        <v>13</v>
      </c>
      <c r="N41" s="2" t="s">
        <v>1116</v>
      </c>
      <c r="O41" s="38">
        <v>2</v>
      </c>
      <c r="P41" s="2" t="s">
        <v>1116</v>
      </c>
      <c r="Q41" s="38">
        <f t="shared" si="23"/>
        <v>2.6</v>
      </c>
      <c r="R41" s="2" t="s">
        <v>1223</v>
      </c>
      <c r="S41" s="38">
        <f t="shared" si="14"/>
        <v>15</v>
      </c>
      <c r="T41" s="2" t="s">
        <v>1116</v>
      </c>
      <c r="U41" s="38">
        <v>3</v>
      </c>
      <c r="V41" s="2" t="s">
        <v>1116</v>
      </c>
      <c r="W41" s="38">
        <f t="shared" si="24"/>
        <v>3.5</v>
      </c>
      <c r="X41" s="41"/>
      <c r="Y41" s="41"/>
      <c r="Z41" s="41"/>
      <c r="AA41" s="41"/>
      <c r="AC41" s="1">
        <f t="shared" si="25"/>
        <v>6</v>
      </c>
      <c r="AD41" s="1" t="s">
        <v>1116</v>
      </c>
      <c r="AE41" s="1">
        <v>30001</v>
      </c>
      <c r="AF41" s="1" t="s">
        <v>1116</v>
      </c>
      <c r="AG41" s="1">
        <v>1</v>
      </c>
      <c r="AH41" s="2" t="s">
        <v>1223</v>
      </c>
      <c r="AI41" s="2">
        <f t="shared" si="21"/>
        <v>12</v>
      </c>
      <c r="AJ41" s="1" t="s">
        <v>1116</v>
      </c>
      <c r="AK41" s="1">
        <v>30002</v>
      </c>
      <c r="AL41" s="1" t="s">
        <v>1116</v>
      </c>
      <c r="AM41" s="2">
        <v>1</v>
      </c>
      <c r="AN41" s="2" t="s">
        <v>1223</v>
      </c>
      <c r="AO41" s="2">
        <f t="shared" si="26"/>
        <v>15</v>
      </c>
      <c r="AP41" s="1" t="s">
        <v>1116</v>
      </c>
      <c r="AQ41" s="1">
        <v>30001</v>
      </c>
      <c r="AR41" s="1" t="s">
        <v>1222</v>
      </c>
      <c r="AS41" s="1">
        <v>30004</v>
      </c>
      <c r="AT41" s="1" t="s">
        <v>1116</v>
      </c>
      <c r="AU41" s="2">
        <v>1</v>
      </c>
    </row>
    <row r="42" spans="1:47">
      <c r="A42" s="1">
        <v>61</v>
      </c>
      <c r="B42" s="30" t="s">
        <v>1164</v>
      </c>
      <c r="C42" s="3">
        <v>15</v>
      </c>
      <c r="D42" s="4" t="str">
        <f t="shared" si="19"/>
        <v>6#30001#1|12#30002#1|15#30001,30004#1</v>
      </c>
      <c r="E42" s="4" t="str">
        <f>部队设定!E42</f>
        <v>5004|1001#1005|5002#1004|1003#1006|1005</v>
      </c>
      <c r="F42" s="4" t="s">
        <v>472</v>
      </c>
      <c r="G42" s="38">
        <f t="shared" si="20"/>
        <v>10</v>
      </c>
      <c r="H42" s="2" t="s">
        <v>1116</v>
      </c>
      <c r="I42" s="38">
        <v>1</v>
      </c>
      <c r="J42" s="2" t="s">
        <v>1116</v>
      </c>
      <c r="K42" s="38">
        <f t="shared" si="22"/>
        <v>1.5</v>
      </c>
      <c r="L42" s="2" t="s">
        <v>1223</v>
      </c>
      <c r="M42" s="38">
        <f t="shared" si="13"/>
        <v>13</v>
      </c>
      <c r="N42" s="2" t="s">
        <v>1116</v>
      </c>
      <c r="O42" s="38">
        <v>2</v>
      </c>
      <c r="P42" s="2" t="s">
        <v>1116</v>
      </c>
      <c r="Q42" s="38">
        <f t="shared" si="23"/>
        <v>2.6</v>
      </c>
      <c r="R42" s="2" t="s">
        <v>1223</v>
      </c>
      <c r="S42" s="38">
        <f t="shared" si="14"/>
        <v>15</v>
      </c>
      <c r="T42" s="2" t="s">
        <v>1116</v>
      </c>
      <c r="U42" s="38">
        <v>3</v>
      </c>
      <c r="V42" s="2" t="s">
        <v>1116</v>
      </c>
      <c r="W42" s="38">
        <f t="shared" si="24"/>
        <v>3.5</v>
      </c>
      <c r="X42" s="41"/>
      <c r="Y42" s="41"/>
      <c r="Z42" s="41"/>
      <c r="AA42" s="41"/>
      <c r="AC42" s="1">
        <f t="shared" si="25"/>
        <v>6</v>
      </c>
      <c r="AD42" s="1" t="s">
        <v>1116</v>
      </c>
      <c r="AE42" s="1">
        <v>30001</v>
      </c>
      <c r="AF42" s="1" t="s">
        <v>1116</v>
      </c>
      <c r="AG42" s="1">
        <v>1</v>
      </c>
      <c r="AH42" s="2" t="s">
        <v>1223</v>
      </c>
      <c r="AI42" s="2">
        <f t="shared" si="21"/>
        <v>12</v>
      </c>
      <c r="AJ42" s="1" t="s">
        <v>1116</v>
      </c>
      <c r="AK42" s="1">
        <v>30002</v>
      </c>
      <c r="AL42" s="1" t="s">
        <v>1116</v>
      </c>
      <c r="AM42" s="2">
        <v>1</v>
      </c>
      <c r="AN42" s="2" t="s">
        <v>1223</v>
      </c>
      <c r="AO42" s="2">
        <f t="shared" si="26"/>
        <v>15</v>
      </c>
      <c r="AP42" s="1" t="s">
        <v>1116</v>
      </c>
      <c r="AQ42" s="1">
        <v>30001</v>
      </c>
      <c r="AR42" s="1" t="s">
        <v>1222</v>
      </c>
      <c r="AS42" s="1">
        <v>30004</v>
      </c>
      <c r="AT42" s="1" t="s">
        <v>1116</v>
      </c>
      <c r="AU42" s="2">
        <v>1</v>
      </c>
    </row>
    <row r="43" spans="1:47">
      <c r="A43" s="1">
        <v>62</v>
      </c>
      <c r="B43" s="30" t="s">
        <v>1165</v>
      </c>
      <c r="C43" s="3">
        <v>15</v>
      </c>
      <c r="D43" s="4" t="str">
        <f t="shared" si="19"/>
        <v>6#30001#1|12#30002#1|15#30001,30004#1</v>
      </c>
      <c r="E43" s="4" t="str">
        <f>部队设定!E43</f>
        <v>5003|1006#3003|5005#1001|3005#1001|3003</v>
      </c>
      <c r="F43" s="4" t="s">
        <v>472</v>
      </c>
      <c r="G43" s="38">
        <f t="shared" si="20"/>
        <v>10</v>
      </c>
      <c r="H43" s="2" t="s">
        <v>1116</v>
      </c>
      <c r="I43" s="38">
        <v>1</v>
      </c>
      <c r="J43" s="2" t="s">
        <v>1116</v>
      </c>
      <c r="K43" s="38">
        <f t="shared" si="22"/>
        <v>1.5</v>
      </c>
      <c r="L43" s="2" t="s">
        <v>1223</v>
      </c>
      <c r="M43" s="38">
        <f t="shared" si="13"/>
        <v>13</v>
      </c>
      <c r="N43" s="2" t="s">
        <v>1116</v>
      </c>
      <c r="O43" s="38">
        <v>2</v>
      </c>
      <c r="P43" s="2" t="s">
        <v>1116</v>
      </c>
      <c r="Q43" s="38">
        <f t="shared" si="23"/>
        <v>2.6</v>
      </c>
      <c r="R43" s="2" t="s">
        <v>1223</v>
      </c>
      <c r="S43" s="38">
        <f t="shared" si="14"/>
        <v>15</v>
      </c>
      <c r="T43" s="2" t="s">
        <v>1116</v>
      </c>
      <c r="U43" s="38">
        <v>3</v>
      </c>
      <c r="V43" s="2" t="s">
        <v>1116</v>
      </c>
      <c r="W43" s="38">
        <f t="shared" si="24"/>
        <v>3.5</v>
      </c>
      <c r="X43" s="41"/>
      <c r="Y43" s="41"/>
      <c r="Z43" s="41"/>
      <c r="AA43" s="41"/>
      <c r="AC43" s="1">
        <f t="shared" si="25"/>
        <v>6</v>
      </c>
      <c r="AD43" s="1" t="s">
        <v>1116</v>
      </c>
      <c r="AE43" s="1">
        <v>30001</v>
      </c>
      <c r="AF43" s="1" t="s">
        <v>1116</v>
      </c>
      <c r="AG43" s="1">
        <v>1</v>
      </c>
      <c r="AH43" s="2" t="s">
        <v>1223</v>
      </c>
      <c r="AI43" s="2">
        <f t="shared" si="21"/>
        <v>12</v>
      </c>
      <c r="AJ43" s="1" t="s">
        <v>1116</v>
      </c>
      <c r="AK43" s="1">
        <v>30002</v>
      </c>
      <c r="AL43" s="1" t="s">
        <v>1116</v>
      </c>
      <c r="AM43" s="2">
        <v>1</v>
      </c>
      <c r="AN43" s="2" t="s">
        <v>1223</v>
      </c>
      <c r="AO43" s="2">
        <f t="shared" si="26"/>
        <v>15</v>
      </c>
      <c r="AP43" s="1" t="s">
        <v>1116</v>
      </c>
      <c r="AQ43" s="1">
        <v>30001</v>
      </c>
      <c r="AR43" s="1" t="s">
        <v>1222</v>
      </c>
      <c r="AS43" s="1">
        <v>30004</v>
      </c>
      <c r="AT43" s="1" t="s">
        <v>1116</v>
      </c>
      <c r="AU43" s="2">
        <v>1</v>
      </c>
    </row>
    <row r="44" spans="1:47">
      <c r="A44" s="1">
        <v>63</v>
      </c>
      <c r="B44" s="30" t="s">
        <v>1166</v>
      </c>
      <c r="C44" s="3">
        <v>15</v>
      </c>
      <c r="D44" s="4" t="str">
        <f t="shared" si="19"/>
        <v>6#30001#1|12#30002#1|15#30001,30004#1</v>
      </c>
      <c r="E44" s="4" t="str">
        <f>部队设定!E44</f>
        <v>5001|2004#1003|5001#2001|1001#2003|1005</v>
      </c>
      <c r="F44" s="4" t="s">
        <v>472</v>
      </c>
      <c r="G44" s="38">
        <f t="shared" si="20"/>
        <v>10</v>
      </c>
      <c r="H44" s="2" t="s">
        <v>1116</v>
      </c>
      <c r="I44" s="38">
        <v>1</v>
      </c>
      <c r="J44" s="2" t="s">
        <v>1116</v>
      </c>
      <c r="K44" s="38">
        <f t="shared" si="22"/>
        <v>1.5</v>
      </c>
      <c r="L44" s="2" t="s">
        <v>1223</v>
      </c>
      <c r="M44" s="38">
        <f t="shared" si="13"/>
        <v>13</v>
      </c>
      <c r="N44" s="2" t="s">
        <v>1116</v>
      </c>
      <c r="O44" s="38">
        <v>2</v>
      </c>
      <c r="P44" s="2" t="s">
        <v>1116</v>
      </c>
      <c r="Q44" s="38">
        <f t="shared" si="23"/>
        <v>2.6</v>
      </c>
      <c r="R44" s="2" t="s">
        <v>1223</v>
      </c>
      <c r="S44" s="38">
        <f t="shared" si="14"/>
        <v>15</v>
      </c>
      <c r="T44" s="2" t="s">
        <v>1116</v>
      </c>
      <c r="U44" s="38">
        <v>3</v>
      </c>
      <c r="V44" s="2" t="s">
        <v>1116</v>
      </c>
      <c r="W44" s="38">
        <f t="shared" si="24"/>
        <v>3.5</v>
      </c>
      <c r="X44" s="41"/>
      <c r="Y44" s="41"/>
      <c r="Z44" s="41"/>
      <c r="AA44" s="41"/>
      <c r="AC44" s="1">
        <f t="shared" si="25"/>
        <v>6</v>
      </c>
      <c r="AD44" s="1" t="s">
        <v>1116</v>
      </c>
      <c r="AE44" s="1">
        <v>30001</v>
      </c>
      <c r="AF44" s="1" t="s">
        <v>1116</v>
      </c>
      <c r="AG44" s="1">
        <v>1</v>
      </c>
      <c r="AH44" s="2" t="s">
        <v>1223</v>
      </c>
      <c r="AI44" s="2">
        <f t="shared" si="21"/>
        <v>12</v>
      </c>
      <c r="AJ44" s="1" t="s">
        <v>1116</v>
      </c>
      <c r="AK44" s="1">
        <v>30002</v>
      </c>
      <c r="AL44" s="1" t="s">
        <v>1116</v>
      </c>
      <c r="AM44" s="2">
        <v>1</v>
      </c>
      <c r="AN44" s="2" t="s">
        <v>1223</v>
      </c>
      <c r="AO44" s="2">
        <f t="shared" si="26"/>
        <v>15</v>
      </c>
      <c r="AP44" s="1" t="s">
        <v>1116</v>
      </c>
      <c r="AQ44" s="1">
        <v>30001</v>
      </c>
      <c r="AR44" s="1" t="s">
        <v>1222</v>
      </c>
      <c r="AS44" s="1">
        <v>30004</v>
      </c>
      <c r="AT44" s="1" t="s">
        <v>1116</v>
      </c>
      <c r="AU44" s="2">
        <v>1</v>
      </c>
    </row>
    <row r="45" spans="1:47">
      <c r="A45" s="1">
        <v>64</v>
      </c>
      <c r="B45" s="30" t="s">
        <v>1167</v>
      </c>
      <c r="C45" s="3">
        <v>15</v>
      </c>
      <c r="D45" s="4" t="str">
        <f t="shared" si="19"/>
        <v>6#30001#1|12#30002#1|15#30001,30004#1</v>
      </c>
      <c r="E45" s="4" t="str">
        <f>部队设定!E45</f>
        <v>5001|4002#2002|5005#4002|2002#4006|2006</v>
      </c>
      <c r="F45" s="4" t="s">
        <v>472</v>
      </c>
      <c r="G45" s="38">
        <f t="shared" si="20"/>
        <v>10</v>
      </c>
      <c r="H45" s="2" t="s">
        <v>1116</v>
      </c>
      <c r="I45" s="38">
        <v>1</v>
      </c>
      <c r="J45" s="2" t="s">
        <v>1116</v>
      </c>
      <c r="K45" s="38">
        <f t="shared" si="22"/>
        <v>1.5</v>
      </c>
      <c r="L45" s="2" t="s">
        <v>1223</v>
      </c>
      <c r="M45" s="38">
        <f t="shared" si="13"/>
        <v>13</v>
      </c>
      <c r="N45" s="2" t="s">
        <v>1116</v>
      </c>
      <c r="O45" s="38">
        <v>2</v>
      </c>
      <c r="P45" s="2" t="s">
        <v>1116</v>
      </c>
      <c r="Q45" s="38">
        <f t="shared" si="23"/>
        <v>2.6</v>
      </c>
      <c r="R45" s="2" t="s">
        <v>1223</v>
      </c>
      <c r="S45" s="38">
        <f t="shared" si="14"/>
        <v>15</v>
      </c>
      <c r="T45" s="2" t="s">
        <v>1116</v>
      </c>
      <c r="U45" s="38">
        <v>3</v>
      </c>
      <c r="V45" s="2" t="s">
        <v>1116</v>
      </c>
      <c r="W45" s="38">
        <f t="shared" si="24"/>
        <v>3.5</v>
      </c>
      <c r="X45" s="41"/>
      <c r="Y45" s="41"/>
      <c r="Z45" s="41"/>
      <c r="AA45" s="41"/>
      <c r="AC45" s="1">
        <f t="shared" si="25"/>
        <v>6</v>
      </c>
      <c r="AD45" s="1" t="s">
        <v>1116</v>
      </c>
      <c r="AE45" s="1">
        <v>30001</v>
      </c>
      <c r="AF45" s="1" t="s">
        <v>1116</v>
      </c>
      <c r="AG45" s="1">
        <v>1</v>
      </c>
      <c r="AH45" s="2" t="s">
        <v>1223</v>
      </c>
      <c r="AI45" s="2">
        <f t="shared" si="21"/>
        <v>12</v>
      </c>
      <c r="AJ45" s="1" t="s">
        <v>1116</v>
      </c>
      <c r="AK45" s="1">
        <v>30002</v>
      </c>
      <c r="AL45" s="1" t="s">
        <v>1116</v>
      </c>
      <c r="AM45" s="2">
        <v>1</v>
      </c>
      <c r="AN45" s="2" t="s">
        <v>1223</v>
      </c>
      <c r="AO45" s="2">
        <f t="shared" si="26"/>
        <v>15</v>
      </c>
      <c r="AP45" s="1" t="s">
        <v>1116</v>
      </c>
      <c r="AQ45" s="1">
        <v>30001</v>
      </c>
      <c r="AR45" s="1" t="s">
        <v>1222</v>
      </c>
      <c r="AS45" s="1">
        <v>30004</v>
      </c>
      <c r="AT45" s="1" t="s">
        <v>1116</v>
      </c>
      <c r="AU45" s="2">
        <v>1</v>
      </c>
    </row>
    <row r="46" spans="1:47">
      <c r="A46" s="1">
        <v>65</v>
      </c>
      <c r="B46" s="30" t="s">
        <v>1168</v>
      </c>
      <c r="C46" s="3">
        <v>15</v>
      </c>
      <c r="D46" s="4" t="str">
        <f t="shared" si="19"/>
        <v>6#30001#1|12#30002#1|15#30001,30004#1</v>
      </c>
      <c r="E46" s="4" t="str">
        <f>部队设定!E46</f>
        <v>5003|5005#3004|5007#5006|3001#5003|3004</v>
      </c>
      <c r="F46" s="4" t="s">
        <v>472</v>
      </c>
      <c r="G46" s="38">
        <f t="shared" si="20"/>
        <v>10</v>
      </c>
      <c r="H46" s="2" t="s">
        <v>1116</v>
      </c>
      <c r="I46" s="38">
        <v>1</v>
      </c>
      <c r="J46" s="2" t="s">
        <v>1116</v>
      </c>
      <c r="K46" s="38">
        <f t="shared" si="22"/>
        <v>1.5</v>
      </c>
      <c r="L46" s="2" t="s">
        <v>1223</v>
      </c>
      <c r="M46" s="38">
        <f t="shared" si="13"/>
        <v>13</v>
      </c>
      <c r="N46" s="2" t="s">
        <v>1116</v>
      </c>
      <c r="O46" s="38">
        <v>2</v>
      </c>
      <c r="P46" s="2" t="s">
        <v>1116</v>
      </c>
      <c r="Q46" s="38">
        <f t="shared" si="23"/>
        <v>2.6</v>
      </c>
      <c r="R46" s="2" t="s">
        <v>1223</v>
      </c>
      <c r="S46" s="38">
        <f t="shared" si="14"/>
        <v>15</v>
      </c>
      <c r="T46" s="2" t="s">
        <v>1116</v>
      </c>
      <c r="U46" s="38">
        <v>3</v>
      </c>
      <c r="V46" s="2" t="s">
        <v>1116</v>
      </c>
      <c r="W46" s="38">
        <f t="shared" si="24"/>
        <v>3.5</v>
      </c>
      <c r="X46" s="41"/>
      <c r="Y46" s="41"/>
      <c r="Z46" s="41"/>
      <c r="AA46" s="41"/>
      <c r="AC46" s="1">
        <f t="shared" si="25"/>
        <v>6</v>
      </c>
      <c r="AD46" s="1" t="s">
        <v>1116</v>
      </c>
      <c r="AE46" s="1">
        <v>30001</v>
      </c>
      <c r="AF46" s="1" t="s">
        <v>1116</v>
      </c>
      <c r="AG46" s="1">
        <v>1</v>
      </c>
      <c r="AH46" s="2" t="s">
        <v>1223</v>
      </c>
      <c r="AI46" s="2">
        <f t="shared" si="21"/>
        <v>12</v>
      </c>
      <c r="AJ46" s="1" t="s">
        <v>1116</v>
      </c>
      <c r="AK46" s="1">
        <v>30002</v>
      </c>
      <c r="AL46" s="1" t="s">
        <v>1116</v>
      </c>
      <c r="AM46" s="2">
        <v>1</v>
      </c>
      <c r="AN46" s="2" t="s">
        <v>1223</v>
      </c>
      <c r="AO46" s="2">
        <f t="shared" si="26"/>
        <v>15</v>
      </c>
      <c r="AP46" s="1" t="s">
        <v>1116</v>
      </c>
      <c r="AQ46" s="1">
        <v>30001</v>
      </c>
      <c r="AR46" s="1" t="s">
        <v>1222</v>
      </c>
      <c r="AS46" s="1">
        <v>30004</v>
      </c>
      <c r="AT46" s="1" t="s">
        <v>1116</v>
      </c>
      <c r="AU46" s="2">
        <v>1</v>
      </c>
    </row>
    <row r="47" spans="1:47">
      <c r="A47" s="1">
        <v>66</v>
      </c>
      <c r="B47" s="30" t="s">
        <v>1169</v>
      </c>
      <c r="C47" s="3">
        <v>15</v>
      </c>
      <c r="D47" s="4" t="str">
        <f t="shared" si="19"/>
        <v>6#30001#1|12#30002#1|15#30001,30004#1</v>
      </c>
      <c r="E47" s="4" t="str">
        <f>部队设定!E47</f>
        <v>5005|1004#1006|5003#1002|1007#1001|1004</v>
      </c>
      <c r="F47" s="4" t="s">
        <v>472</v>
      </c>
      <c r="G47" s="38">
        <f t="shared" si="20"/>
        <v>10</v>
      </c>
      <c r="H47" s="2" t="s">
        <v>1116</v>
      </c>
      <c r="I47" s="38">
        <v>1</v>
      </c>
      <c r="J47" s="2" t="s">
        <v>1116</v>
      </c>
      <c r="K47" s="38">
        <f t="shared" si="22"/>
        <v>1.5</v>
      </c>
      <c r="L47" s="2" t="s">
        <v>1223</v>
      </c>
      <c r="M47" s="38">
        <f t="shared" si="13"/>
        <v>13</v>
      </c>
      <c r="N47" s="2" t="s">
        <v>1116</v>
      </c>
      <c r="O47" s="38">
        <v>2</v>
      </c>
      <c r="P47" s="2" t="s">
        <v>1116</v>
      </c>
      <c r="Q47" s="38">
        <f t="shared" si="23"/>
        <v>2.6</v>
      </c>
      <c r="R47" s="2" t="s">
        <v>1223</v>
      </c>
      <c r="S47" s="38">
        <f t="shared" si="14"/>
        <v>15</v>
      </c>
      <c r="T47" s="2" t="s">
        <v>1116</v>
      </c>
      <c r="U47" s="38">
        <v>3</v>
      </c>
      <c r="V47" s="2" t="s">
        <v>1116</v>
      </c>
      <c r="W47" s="38">
        <f t="shared" si="24"/>
        <v>3.5</v>
      </c>
      <c r="X47" s="41"/>
      <c r="Y47" s="41"/>
      <c r="Z47" s="41"/>
      <c r="AA47" s="41"/>
      <c r="AC47" s="1">
        <f t="shared" si="25"/>
        <v>6</v>
      </c>
      <c r="AD47" s="1" t="s">
        <v>1116</v>
      </c>
      <c r="AE47" s="1">
        <v>30001</v>
      </c>
      <c r="AF47" s="1" t="s">
        <v>1116</v>
      </c>
      <c r="AG47" s="1">
        <v>1</v>
      </c>
      <c r="AH47" s="2" t="s">
        <v>1223</v>
      </c>
      <c r="AI47" s="2">
        <f t="shared" si="21"/>
        <v>12</v>
      </c>
      <c r="AJ47" s="1" t="s">
        <v>1116</v>
      </c>
      <c r="AK47" s="1">
        <v>30002</v>
      </c>
      <c r="AL47" s="1" t="s">
        <v>1116</v>
      </c>
      <c r="AM47" s="2">
        <v>1</v>
      </c>
      <c r="AN47" s="2" t="s">
        <v>1223</v>
      </c>
      <c r="AO47" s="2">
        <f t="shared" si="26"/>
        <v>15</v>
      </c>
      <c r="AP47" s="1" t="s">
        <v>1116</v>
      </c>
      <c r="AQ47" s="1">
        <v>30001</v>
      </c>
      <c r="AR47" s="1" t="s">
        <v>1222</v>
      </c>
      <c r="AS47" s="1">
        <v>30004</v>
      </c>
      <c r="AT47" s="1" t="s">
        <v>1116</v>
      </c>
      <c r="AU47" s="2">
        <v>1</v>
      </c>
    </row>
    <row r="48" spans="1:47">
      <c r="A48" s="1">
        <v>67</v>
      </c>
      <c r="B48" s="30" t="s">
        <v>1170</v>
      </c>
      <c r="C48" s="3">
        <v>15</v>
      </c>
      <c r="D48" s="4" t="str">
        <f t="shared" si="19"/>
        <v>6#30001#1|12#30002#1|15#30001,30004#1</v>
      </c>
      <c r="E48" s="4" t="str">
        <f>部队设定!E48</f>
        <v>5003|5005#3004|5007#5006|3001#5003|3004</v>
      </c>
      <c r="F48" s="4" t="s">
        <v>472</v>
      </c>
      <c r="G48" s="38">
        <f t="shared" si="20"/>
        <v>10</v>
      </c>
      <c r="H48" s="2" t="s">
        <v>1116</v>
      </c>
      <c r="I48" s="38">
        <v>1</v>
      </c>
      <c r="J48" s="2" t="s">
        <v>1116</v>
      </c>
      <c r="K48" s="38">
        <f t="shared" si="22"/>
        <v>1.5</v>
      </c>
      <c r="L48" s="2" t="s">
        <v>1223</v>
      </c>
      <c r="M48" s="38">
        <f t="shared" si="13"/>
        <v>13</v>
      </c>
      <c r="N48" s="2" t="s">
        <v>1116</v>
      </c>
      <c r="O48" s="38">
        <v>2</v>
      </c>
      <c r="P48" s="2" t="s">
        <v>1116</v>
      </c>
      <c r="Q48" s="38">
        <f t="shared" si="23"/>
        <v>2.6</v>
      </c>
      <c r="R48" s="2" t="s">
        <v>1223</v>
      </c>
      <c r="S48" s="38">
        <f t="shared" si="14"/>
        <v>15</v>
      </c>
      <c r="T48" s="2" t="s">
        <v>1116</v>
      </c>
      <c r="U48" s="38">
        <v>3</v>
      </c>
      <c r="V48" s="2" t="s">
        <v>1116</v>
      </c>
      <c r="W48" s="38">
        <f t="shared" si="24"/>
        <v>3.5</v>
      </c>
      <c r="X48" s="41"/>
      <c r="Y48" s="41"/>
      <c r="Z48" s="41"/>
      <c r="AA48" s="41"/>
      <c r="AC48" s="1">
        <f t="shared" si="25"/>
        <v>6</v>
      </c>
      <c r="AD48" s="1" t="s">
        <v>1116</v>
      </c>
      <c r="AE48" s="1">
        <v>30001</v>
      </c>
      <c r="AF48" s="1" t="s">
        <v>1116</v>
      </c>
      <c r="AG48" s="1">
        <v>1</v>
      </c>
      <c r="AH48" s="2" t="s">
        <v>1223</v>
      </c>
      <c r="AI48" s="2">
        <f t="shared" si="21"/>
        <v>12</v>
      </c>
      <c r="AJ48" s="1" t="s">
        <v>1116</v>
      </c>
      <c r="AK48" s="1">
        <v>30002</v>
      </c>
      <c r="AL48" s="1" t="s">
        <v>1116</v>
      </c>
      <c r="AM48" s="2">
        <v>1</v>
      </c>
      <c r="AN48" s="2" t="s">
        <v>1223</v>
      </c>
      <c r="AO48" s="2">
        <f t="shared" si="26"/>
        <v>15</v>
      </c>
      <c r="AP48" s="1" t="s">
        <v>1116</v>
      </c>
      <c r="AQ48" s="1">
        <v>30001</v>
      </c>
      <c r="AR48" s="1" t="s">
        <v>1222</v>
      </c>
      <c r="AS48" s="1">
        <v>30004</v>
      </c>
      <c r="AT48" s="1" t="s">
        <v>1116</v>
      </c>
      <c r="AU48" s="2">
        <v>1</v>
      </c>
    </row>
    <row r="49" spans="1:47">
      <c r="A49" s="1">
        <v>68</v>
      </c>
      <c r="B49" s="30" t="s">
        <v>1171</v>
      </c>
      <c r="C49" s="3">
        <v>15</v>
      </c>
      <c r="D49" s="4" t="str">
        <f t="shared" si="19"/>
        <v>6#30001#1|12#30002#1|15#30001,30004#1</v>
      </c>
      <c r="E49" s="4" t="str">
        <f>部队设定!E49</f>
        <v>5005|1004#1006|5003#1002|1007#1001|1004</v>
      </c>
      <c r="F49" s="4" t="s">
        <v>472</v>
      </c>
      <c r="G49" s="38">
        <f t="shared" si="20"/>
        <v>10</v>
      </c>
      <c r="H49" s="2" t="s">
        <v>1116</v>
      </c>
      <c r="I49" s="38">
        <v>1</v>
      </c>
      <c r="J49" s="2" t="s">
        <v>1116</v>
      </c>
      <c r="K49" s="38">
        <f t="shared" si="22"/>
        <v>1.5</v>
      </c>
      <c r="L49" s="2" t="s">
        <v>1223</v>
      </c>
      <c r="M49" s="38">
        <f t="shared" si="13"/>
        <v>13</v>
      </c>
      <c r="N49" s="2" t="s">
        <v>1116</v>
      </c>
      <c r="O49" s="38">
        <v>2</v>
      </c>
      <c r="P49" s="2" t="s">
        <v>1116</v>
      </c>
      <c r="Q49" s="38">
        <f t="shared" si="23"/>
        <v>2.6</v>
      </c>
      <c r="R49" s="2" t="s">
        <v>1223</v>
      </c>
      <c r="S49" s="38">
        <f t="shared" si="14"/>
        <v>15</v>
      </c>
      <c r="T49" s="2" t="s">
        <v>1116</v>
      </c>
      <c r="U49" s="38">
        <v>3</v>
      </c>
      <c r="V49" s="2" t="s">
        <v>1116</v>
      </c>
      <c r="W49" s="38">
        <f t="shared" si="24"/>
        <v>3.5</v>
      </c>
      <c r="X49" s="41"/>
      <c r="Y49" s="41"/>
      <c r="Z49" s="41"/>
      <c r="AA49" s="41"/>
      <c r="AC49" s="1">
        <f t="shared" si="25"/>
        <v>6</v>
      </c>
      <c r="AD49" s="1" t="s">
        <v>1116</v>
      </c>
      <c r="AE49" s="1">
        <v>30001</v>
      </c>
      <c r="AF49" s="1" t="s">
        <v>1116</v>
      </c>
      <c r="AG49" s="1">
        <v>1</v>
      </c>
      <c r="AH49" s="2" t="s">
        <v>1223</v>
      </c>
      <c r="AI49" s="2">
        <f t="shared" si="21"/>
        <v>12</v>
      </c>
      <c r="AJ49" s="1" t="s">
        <v>1116</v>
      </c>
      <c r="AK49" s="1">
        <v>30002</v>
      </c>
      <c r="AL49" s="1" t="s">
        <v>1116</v>
      </c>
      <c r="AM49" s="2">
        <v>1</v>
      </c>
      <c r="AN49" s="2" t="s">
        <v>1223</v>
      </c>
      <c r="AO49" s="2">
        <f t="shared" si="26"/>
        <v>15</v>
      </c>
      <c r="AP49" s="1" t="s">
        <v>1116</v>
      </c>
      <c r="AQ49" s="1">
        <v>30001</v>
      </c>
      <c r="AR49" s="1" t="s">
        <v>1222</v>
      </c>
      <c r="AS49" s="1">
        <v>30004</v>
      </c>
      <c r="AT49" s="1" t="s">
        <v>1116</v>
      </c>
      <c r="AU49" s="2">
        <v>1</v>
      </c>
    </row>
    <row r="50" spans="1:47">
      <c r="A50" s="1">
        <v>71</v>
      </c>
      <c r="B50" s="30" t="s">
        <v>1172</v>
      </c>
      <c r="C50" s="3">
        <v>15</v>
      </c>
      <c r="D50" s="4" t="str">
        <f t="shared" si="19"/>
        <v>6#30001#1|12#30002#1|15#30001,30004#1</v>
      </c>
      <c r="E50" s="4" t="str">
        <f>部队设定!E50</f>
        <v>1003|2006#4004|1005#2002|4001#2007|4001</v>
      </c>
      <c r="F50" s="4" t="s">
        <v>472</v>
      </c>
      <c r="G50" s="38">
        <f t="shared" si="20"/>
        <v>10</v>
      </c>
      <c r="H50" s="2" t="s">
        <v>1116</v>
      </c>
      <c r="I50" s="38">
        <v>1</v>
      </c>
      <c r="J50" s="2" t="s">
        <v>1116</v>
      </c>
      <c r="K50" s="38">
        <f t="shared" si="22"/>
        <v>1.5</v>
      </c>
      <c r="L50" s="2" t="s">
        <v>1223</v>
      </c>
      <c r="M50" s="38">
        <f t="shared" ref="M50:M81" si="27">C50-2</f>
        <v>13</v>
      </c>
      <c r="N50" s="2" t="s">
        <v>1116</v>
      </c>
      <c r="O50" s="38">
        <v>2</v>
      </c>
      <c r="P50" s="2" t="s">
        <v>1116</v>
      </c>
      <c r="Q50" s="38">
        <f t="shared" si="23"/>
        <v>2.6</v>
      </c>
      <c r="R50" s="2" t="s">
        <v>1223</v>
      </c>
      <c r="S50" s="38">
        <f t="shared" ref="S50:S81" si="28">C50</f>
        <v>15</v>
      </c>
      <c r="T50" s="2" t="s">
        <v>1116</v>
      </c>
      <c r="U50" s="38">
        <v>3</v>
      </c>
      <c r="V50" s="2" t="s">
        <v>1116</v>
      </c>
      <c r="W50" s="38">
        <f t="shared" si="24"/>
        <v>3.5</v>
      </c>
      <c r="X50" s="41"/>
      <c r="Y50" s="41"/>
      <c r="Z50" s="41"/>
      <c r="AA50" s="41"/>
      <c r="AC50" s="1">
        <f t="shared" si="25"/>
        <v>6</v>
      </c>
      <c r="AD50" s="1" t="s">
        <v>1116</v>
      </c>
      <c r="AE50" s="1">
        <v>30001</v>
      </c>
      <c r="AF50" s="1" t="s">
        <v>1116</v>
      </c>
      <c r="AG50" s="1">
        <v>1</v>
      </c>
      <c r="AH50" s="2" t="s">
        <v>1223</v>
      </c>
      <c r="AI50" s="2">
        <f t="shared" si="21"/>
        <v>12</v>
      </c>
      <c r="AJ50" s="1" t="s">
        <v>1116</v>
      </c>
      <c r="AK50" s="1">
        <v>30002</v>
      </c>
      <c r="AL50" s="1" t="s">
        <v>1116</v>
      </c>
      <c r="AM50" s="2">
        <v>1</v>
      </c>
      <c r="AN50" s="2" t="s">
        <v>1223</v>
      </c>
      <c r="AO50" s="2">
        <f t="shared" si="26"/>
        <v>15</v>
      </c>
      <c r="AP50" s="1" t="s">
        <v>1116</v>
      </c>
      <c r="AQ50" s="1">
        <v>30001</v>
      </c>
      <c r="AR50" s="1" t="s">
        <v>1222</v>
      </c>
      <c r="AS50" s="1">
        <v>30004</v>
      </c>
      <c r="AT50" s="1" t="s">
        <v>1116</v>
      </c>
      <c r="AU50" s="2">
        <v>1</v>
      </c>
    </row>
    <row r="51" spans="1:47">
      <c r="A51" s="1">
        <v>72</v>
      </c>
      <c r="B51" s="30" t="s">
        <v>1173</v>
      </c>
      <c r="C51" s="3">
        <v>15</v>
      </c>
      <c r="D51" s="4" t="str">
        <f t="shared" si="19"/>
        <v>6#30001#1|12#30002#1|15#30001,30004#1</v>
      </c>
      <c r="E51" s="4" t="str">
        <f>部队设定!E51</f>
        <v>2003|1001#2007|2006#1003|2006#1002|2004</v>
      </c>
      <c r="F51" s="4" t="s">
        <v>472</v>
      </c>
      <c r="G51" s="38">
        <f t="shared" si="20"/>
        <v>10</v>
      </c>
      <c r="H51" s="2" t="s">
        <v>1116</v>
      </c>
      <c r="I51" s="38">
        <v>1</v>
      </c>
      <c r="J51" s="2" t="s">
        <v>1116</v>
      </c>
      <c r="K51" s="38">
        <f t="shared" si="22"/>
        <v>1.5</v>
      </c>
      <c r="L51" s="2" t="s">
        <v>1223</v>
      </c>
      <c r="M51" s="38">
        <f t="shared" si="27"/>
        <v>13</v>
      </c>
      <c r="N51" s="2" t="s">
        <v>1116</v>
      </c>
      <c r="O51" s="38">
        <v>2</v>
      </c>
      <c r="P51" s="2" t="s">
        <v>1116</v>
      </c>
      <c r="Q51" s="38">
        <f t="shared" si="23"/>
        <v>2.6</v>
      </c>
      <c r="R51" s="2" t="s">
        <v>1223</v>
      </c>
      <c r="S51" s="38">
        <f t="shared" si="28"/>
        <v>15</v>
      </c>
      <c r="T51" s="2" t="s">
        <v>1116</v>
      </c>
      <c r="U51" s="38">
        <v>3</v>
      </c>
      <c r="V51" s="2" t="s">
        <v>1116</v>
      </c>
      <c r="W51" s="38">
        <f t="shared" si="24"/>
        <v>3.5</v>
      </c>
      <c r="X51" s="41"/>
      <c r="Y51" s="41"/>
      <c r="Z51" s="41"/>
      <c r="AA51" s="41"/>
      <c r="AC51" s="1">
        <f t="shared" si="25"/>
        <v>6</v>
      </c>
      <c r="AD51" s="1" t="s">
        <v>1116</v>
      </c>
      <c r="AE51" s="1">
        <v>30001</v>
      </c>
      <c r="AF51" s="1" t="s">
        <v>1116</v>
      </c>
      <c r="AG51" s="1">
        <v>1</v>
      </c>
      <c r="AH51" s="2" t="s">
        <v>1223</v>
      </c>
      <c r="AI51" s="2">
        <f t="shared" si="21"/>
        <v>12</v>
      </c>
      <c r="AJ51" s="1" t="s">
        <v>1116</v>
      </c>
      <c r="AK51" s="1">
        <v>30002</v>
      </c>
      <c r="AL51" s="1" t="s">
        <v>1116</v>
      </c>
      <c r="AM51" s="2">
        <v>1</v>
      </c>
      <c r="AN51" s="2" t="s">
        <v>1223</v>
      </c>
      <c r="AO51" s="2">
        <f t="shared" si="26"/>
        <v>15</v>
      </c>
      <c r="AP51" s="1" t="s">
        <v>1116</v>
      </c>
      <c r="AQ51" s="1">
        <v>30001</v>
      </c>
      <c r="AR51" s="1" t="s">
        <v>1222</v>
      </c>
      <c r="AS51" s="1">
        <v>30004</v>
      </c>
      <c r="AT51" s="1" t="s">
        <v>1116</v>
      </c>
      <c r="AU51" s="2">
        <v>1</v>
      </c>
    </row>
    <row r="52" spans="1:47">
      <c r="A52" s="1">
        <v>73</v>
      </c>
      <c r="B52" s="30" t="s">
        <v>1174</v>
      </c>
      <c r="C52" s="3">
        <v>15</v>
      </c>
      <c r="D52" s="4" t="str">
        <f t="shared" si="19"/>
        <v>6#30001#1|12#30002#1|15#30001,30004#1</v>
      </c>
      <c r="E52" s="4" t="str">
        <f>部队设定!E52</f>
        <v>3003|3006#3004|3006#3005|3004#3002|3007</v>
      </c>
      <c r="F52" s="4" t="s">
        <v>472</v>
      </c>
      <c r="G52" s="38">
        <f t="shared" si="20"/>
        <v>10</v>
      </c>
      <c r="H52" s="2" t="s">
        <v>1116</v>
      </c>
      <c r="I52" s="38">
        <v>1</v>
      </c>
      <c r="J52" s="2" t="s">
        <v>1116</v>
      </c>
      <c r="K52" s="38">
        <f t="shared" si="22"/>
        <v>1.5</v>
      </c>
      <c r="L52" s="2" t="s">
        <v>1223</v>
      </c>
      <c r="M52" s="38">
        <f t="shared" si="27"/>
        <v>13</v>
      </c>
      <c r="N52" s="2" t="s">
        <v>1116</v>
      </c>
      <c r="O52" s="38">
        <v>2</v>
      </c>
      <c r="P52" s="2" t="s">
        <v>1116</v>
      </c>
      <c r="Q52" s="38">
        <f t="shared" si="23"/>
        <v>2.6</v>
      </c>
      <c r="R52" s="2" t="s">
        <v>1223</v>
      </c>
      <c r="S52" s="38">
        <f t="shared" si="28"/>
        <v>15</v>
      </c>
      <c r="T52" s="2" t="s">
        <v>1116</v>
      </c>
      <c r="U52" s="38">
        <v>3</v>
      </c>
      <c r="V52" s="2" t="s">
        <v>1116</v>
      </c>
      <c r="W52" s="38">
        <f t="shared" si="24"/>
        <v>3.5</v>
      </c>
      <c r="X52" s="41"/>
      <c r="Y52" s="41"/>
      <c r="Z52" s="41"/>
      <c r="AA52" s="41"/>
      <c r="AC52" s="1">
        <f t="shared" si="25"/>
        <v>6</v>
      </c>
      <c r="AD52" s="1" t="s">
        <v>1116</v>
      </c>
      <c r="AE52" s="1">
        <v>30001</v>
      </c>
      <c r="AF52" s="1" t="s">
        <v>1116</v>
      </c>
      <c r="AG52" s="1">
        <v>1</v>
      </c>
      <c r="AH52" s="2" t="s">
        <v>1223</v>
      </c>
      <c r="AI52" s="2">
        <f t="shared" si="21"/>
        <v>12</v>
      </c>
      <c r="AJ52" s="1" t="s">
        <v>1116</v>
      </c>
      <c r="AK52" s="1">
        <v>30002</v>
      </c>
      <c r="AL52" s="1" t="s">
        <v>1116</v>
      </c>
      <c r="AM52" s="2">
        <v>1</v>
      </c>
      <c r="AN52" s="2" t="s">
        <v>1223</v>
      </c>
      <c r="AO52" s="2">
        <f t="shared" si="26"/>
        <v>15</v>
      </c>
      <c r="AP52" s="1" t="s">
        <v>1116</v>
      </c>
      <c r="AQ52" s="1">
        <v>30001</v>
      </c>
      <c r="AR52" s="1" t="s">
        <v>1222</v>
      </c>
      <c r="AS52" s="1">
        <v>30004</v>
      </c>
      <c r="AT52" s="1" t="s">
        <v>1116</v>
      </c>
      <c r="AU52" s="2">
        <v>1</v>
      </c>
    </row>
    <row r="53" spans="1:47">
      <c r="A53" s="1">
        <v>74</v>
      </c>
      <c r="B53" s="30" t="s">
        <v>1175</v>
      </c>
      <c r="C53" s="3">
        <v>15</v>
      </c>
      <c r="D53" s="4" t="str">
        <f t="shared" si="19"/>
        <v>6#30001#1|12#30002#1|15#30001,30004#1</v>
      </c>
      <c r="E53" s="4" t="str">
        <f>部队设定!E53</f>
        <v>4003|5006#1004|4003#5005|1002#5001|1005</v>
      </c>
      <c r="F53" s="4" t="s">
        <v>472</v>
      </c>
      <c r="G53" s="38">
        <f t="shared" si="20"/>
        <v>10</v>
      </c>
      <c r="H53" s="2" t="s">
        <v>1116</v>
      </c>
      <c r="I53" s="38">
        <v>1</v>
      </c>
      <c r="J53" s="2" t="s">
        <v>1116</v>
      </c>
      <c r="K53" s="38">
        <f t="shared" si="22"/>
        <v>1.5</v>
      </c>
      <c r="L53" s="2" t="s">
        <v>1223</v>
      </c>
      <c r="M53" s="38">
        <f t="shared" si="27"/>
        <v>13</v>
      </c>
      <c r="N53" s="2" t="s">
        <v>1116</v>
      </c>
      <c r="O53" s="38">
        <v>2</v>
      </c>
      <c r="P53" s="2" t="s">
        <v>1116</v>
      </c>
      <c r="Q53" s="38">
        <f t="shared" si="23"/>
        <v>2.6</v>
      </c>
      <c r="R53" s="2" t="s">
        <v>1223</v>
      </c>
      <c r="S53" s="38">
        <f t="shared" si="28"/>
        <v>15</v>
      </c>
      <c r="T53" s="2" t="s">
        <v>1116</v>
      </c>
      <c r="U53" s="38">
        <v>3</v>
      </c>
      <c r="V53" s="2" t="s">
        <v>1116</v>
      </c>
      <c r="W53" s="38">
        <f t="shared" si="24"/>
        <v>3.5</v>
      </c>
      <c r="X53" s="41"/>
      <c r="Y53" s="41"/>
      <c r="Z53" s="41"/>
      <c r="AA53" s="41"/>
      <c r="AC53" s="1">
        <f t="shared" si="25"/>
        <v>6</v>
      </c>
      <c r="AD53" s="1" t="s">
        <v>1116</v>
      </c>
      <c r="AE53" s="1">
        <v>30001</v>
      </c>
      <c r="AF53" s="1" t="s">
        <v>1116</v>
      </c>
      <c r="AG53" s="1">
        <v>1</v>
      </c>
      <c r="AH53" s="2" t="s">
        <v>1223</v>
      </c>
      <c r="AI53" s="2">
        <f t="shared" si="21"/>
        <v>12</v>
      </c>
      <c r="AJ53" s="1" t="s">
        <v>1116</v>
      </c>
      <c r="AK53" s="1">
        <v>30002</v>
      </c>
      <c r="AL53" s="1" t="s">
        <v>1116</v>
      </c>
      <c r="AM53" s="2">
        <v>1</v>
      </c>
      <c r="AN53" s="2" t="s">
        <v>1223</v>
      </c>
      <c r="AO53" s="2">
        <f t="shared" si="26"/>
        <v>15</v>
      </c>
      <c r="AP53" s="1" t="s">
        <v>1116</v>
      </c>
      <c r="AQ53" s="1">
        <v>30001</v>
      </c>
      <c r="AR53" s="1" t="s">
        <v>1222</v>
      </c>
      <c r="AS53" s="1">
        <v>30004</v>
      </c>
      <c r="AT53" s="1" t="s">
        <v>1116</v>
      </c>
      <c r="AU53" s="2">
        <v>1</v>
      </c>
    </row>
    <row r="54" spans="1:47">
      <c r="A54" s="1">
        <v>75</v>
      </c>
      <c r="B54" s="30" t="s">
        <v>1176</v>
      </c>
      <c r="C54" s="3">
        <v>15</v>
      </c>
      <c r="D54" s="4" t="str">
        <f t="shared" si="19"/>
        <v>6#30001#1|12#30002#1|15#30001,30004#1</v>
      </c>
      <c r="E54" s="4" t="str">
        <f>部队设定!E54</f>
        <v>5006|2005#1005|5001#2002|1002#2002|1001</v>
      </c>
      <c r="F54" s="4" t="s">
        <v>472</v>
      </c>
      <c r="G54" s="38">
        <f t="shared" si="20"/>
        <v>10</v>
      </c>
      <c r="H54" s="2" t="s">
        <v>1116</v>
      </c>
      <c r="I54" s="38">
        <v>1</v>
      </c>
      <c r="J54" s="2" t="s">
        <v>1116</v>
      </c>
      <c r="K54" s="38">
        <f t="shared" si="22"/>
        <v>1.5</v>
      </c>
      <c r="L54" s="2" t="s">
        <v>1223</v>
      </c>
      <c r="M54" s="38">
        <f t="shared" si="27"/>
        <v>13</v>
      </c>
      <c r="N54" s="2" t="s">
        <v>1116</v>
      </c>
      <c r="O54" s="38">
        <v>2</v>
      </c>
      <c r="P54" s="2" t="s">
        <v>1116</v>
      </c>
      <c r="Q54" s="38">
        <f t="shared" si="23"/>
        <v>2.6</v>
      </c>
      <c r="R54" s="2" t="s">
        <v>1223</v>
      </c>
      <c r="S54" s="38">
        <f t="shared" si="28"/>
        <v>15</v>
      </c>
      <c r="T54" s="2" t="s">
        <v>1116</v>
      </c>
      <c r="U54" s="38">
        <v>3</v>
      </c>
      <c r="V54" s="2" t="s">
        <v>1116</v>
      </c>
      <c r="W54" s="38">
        <f t="shared" si="24"/>
        <v>3.5</v>
      </c>
      <c r="X54" s="41"/>
      <c r="Y54" s="41"/>
      <c r="Z54" s="41"/>
      <c r="AA54" s="41"/>
      <c r="AC54" s="1">
        <f t="shared" si="25"/>
        <v>6</v>
      </c>
      <c r="AD54" s="1" t="s">
        <v>1116</v>
      </c>
      <c r="AE54" s="1">
        <v>30001</v>
      </c>
      <c r="AF54" s="1" t="s">
        <v>1116</v>
      </c>
      <c r="AG54" s="1">
        <v>1</v>
      </c>
      <c r="AH54" s="2" t="s">
        <v>1223</v>
      </c>
      <c r="AI54" s="2">
        <f t="shared" si="21"/>
        <v>12</v>
      </c>
      <c r="AJ54" s="1" t="s">
        <v>1116</v>
      </c>
      <c r="AK54" s="1">
        <v>30002</v>
      </c>
      <c r="AL54" s="1" t="s">
        <v>1116</v>
      </c>
      <c r="AM54" s="2">
        <v>1</v>
      </c>
      <c r="AN54" s="2" t="s">
        <v>1223</v>
      </c>
      <c r="AO54" s="2">
        <f t="shared" si="26"/>
        <v>15</v>
      </c>
      <c r="AP54" s="1" t="s">
        <v>1116</v>
      </c>
      <c r="AQ54" s="1">
        <v>30001</v>
      </c>
      <c r="AR54" s="1" t="s">
        <v>1222</v>
      </c>
      <c r="AS54" s="1">
        <v>30004</v>
      </c>
      <c r="AT54" s="1" t="s">
        <v>1116</v>
      </c>
      <c r="AU54" s="2">
        <v>1</v>
      </c>
    </row>
    <row r="55" spans="1:47">
      <c r="A55" s="1">
        <v>76</v>
      </c>
      <c r="B55" s="30" t="s">
        <v>1177</v>
      </c>
      <c r="C55" s="3">
        <v>15</v>
      </c>
      <c r="D55" s="4" t="str">
        <f t="shared" si="19"/>
        <v>6#30001#1|12#30002#1|15#30001,30004#1</v>
      </c>
      <c r="E55" s="4" t="str">
        <f>部队设定!E55</f>
        <v>6007|4007#6004|6005#4001|6006#4001|6007</v>
      </c>
      <c r="F55" s="4" t="s">
        <v>472</v>
      </c>
      <c r="G55" s="38">
        <f t="shared" si="20"/>
        <v>10</v>
      </c>
      <c r="H55" s="2" t="s">
        <v>1116</v>
      </c>
      <c r="I55" s="38">
        <v>1</v>
      </c>
      <c r="J55" s="2" t="s">
        <v>1116</v>
      </c>
      <c r="K55" s="38">
        <f t="shared" si="22"/>
        <v>1.5</v>
      </c>
      <c r="L55" s="2" t="s">
        <v>1223</v>
      </c>
      <c r="M55" s="38">
        <f t="shared" si="27"/>
        <v>13</v>
      </c>
      <c r="N55" s="2" t="s">
        <v>1116</v>
      </c>
      <c r="O55" s="38">
        <v>2</v>
      </c>
      <c r="P55" s="2" t="s">
        <v>1116</v>
      </c>
      <c r="Q55" s="38">
        <f t="shared" si="23"/>
        <v>2.6</v>
      </c>
      <c r="R55" s="2" t="s">
        <v>1223</v>
      </c>
      <c r="S55" s="38">
        <f t="shared" si="28"/>
        <v>15</v>
      </c>
      <c r="T55" s="2" t="s">
        <v>1116</v>
      </c>
      <c r="U55" s="38">
        <v>3</v>
      </c>
      <c r="V55" s="2" t="s">
        <v>1116</v>
      </c>
      <c r="W55" s="38">
        <f t="shared" si="24"/>
        <v>3.5</v>
      </c>
      <c r="X55" s="41"/>
      <c r="Y55" s="41"/>
      <c r="Z55" s="41"/>
      <c r="AA55" s="41"/>
      <c r="AC55" s="1">
        <f t="shared" si="25"/>
        <v>6</v>
      </c>
      <c r="AD55" s="1" t="s">
        <v>1116</v>
      </c>
      <c r="AE55" s="1">
        <v>30001</v>
      </c>
      <c r="AF55" s="1" t="s">
        <v>1116</v>
      </c>
      <c r="AG55" s="1">
        <v>1</v>
      </c>
      <c r="AH55" s="2" t="s">
        <v>1223</v>
      </c>
      <c r="AI55" s="2">
        <f t="shared" si="21"/>
        <v>12</v>
      </c>
      <c r="AJ55" s="1" t="s">
        <v>1116</v>
      </c>
      <c r="AK55" s="1">
        <v>30002</v>
      </c>
      <c r="AL55" s="1" t="s">
        <v>1116</v>
      </c>
      <c r="AM55" s="2">
        <v>1</v>
      </c>
      <c r="AN55" s="2" t="s">
        <v>1223</v>
      </c>
      <c r="AO55" s="2">
        <f t="shared" si="26"/>
        <v>15</v>
      </c>
      <c r="AP55" s="1" t="s">
        <v>1116</v>
      </c>
      <c r="AQ55" s="1">
        <v>30001</v>
      </c>
      <c r="AR55" s="1" t="s">
        <v>1222</v>
      </c>
      <c r="AS55" s="1">
        <v>30004</v>
      </c>
      <c r="AT55" s="1" t="s">
        <v>1116</v>
      </c>
      <c r="AU55" s="2">
        <v>1</v>
      </c>
    </row>
    <row r="56" spans="1:47">
      <c r="A56" s="1">
        <v>81</v>
      </c>
      <c r="B56" s="30" t="s">
        <v>1178</v>
      </c>
      <c r="C56" s="3">
        <v>15</v>
      </c>
      <c r="D56" s="4" t="str">
        <f t="shared" si="19"/>
        <v>6#30001#1|12#30002#1|15#30001,30004#1</v>
      </c>
      <c r="E56" s="4" t="str">
        <f>部队设定!E56</f>
        <v>4005|2003#1002|4005#2002|1006#2004|1005</v>
      </c>
      <c r="F56" s="4" t="s">
        <v>472</v>
      </c>
      <c r="G56" s="38">
        <f t="shared" si="20"/>
        <v>10</v>
      </c>
      <c r="H56" s="2" t="s">
        <v>1116</v>
      </c>
      <c r="I56" s="38">
        <v>1</v>
      </c>
      <c r="J56" s="2" t="s">
        <v>1116</v>
      </c>
      <c r="K56" s="38">
        <f t="shared" si="22"/>
        <v>1.5</v>
      </c>
      <c r="L56" s="2" t="s">
        <v>1223</v>
      </c>
      <c r="M56" s="38">
        <f t="shared" si="27"/>
        <v>13</v>
      </c>
      <c r="N56" s="2" t="s">
        <v>1116</v>
      </c>
      <c r="O56" s="38">
        <v>2</v>
      </c>
      <c r="P56" s="2" t="s">
        <v>1116</v>
      </c>
      <c r="Q56" s="38">
        <f t="shared" si="23"/>
        <v>2.6</v>
      </c>
      <c r="R56" s="2" t="s">
        <v>1223</v>
      </c>
      <c r="S56" s="38">
        <f t="shared" si="28"/>
        <v>15</v>
      </c>
      <c r="T56" s="2" t="s">
        <v>1116</v>
      </c>
      <c r="U56" s="38">
        <v>3</v>
      </c>
      <c r="V56" s="2" t="s">
        <v>1116</v>
      </c>
      <c r="W56" s="38">
        <f t="shared" si="24"/>
        <v>3.5</v>
      </c>
      <c r="X56" s="41"/>
      <c r="Y56" s="41"/>
      <c r="Z56" s="41"/>
      <c r="AA56" s="41"/>
      <c r="AC56" s="1">
        <f t="shared" si="25"/>
        <v>6</v>
      </c>
      <c r="AD56" s="1" t="s">
        <v>1116</v>
      </c>
      <c r="AE56" s="1">
        <v>30001</v>
      </c>
      <c r="AF56" s="1" t="s">
        <v>1116</v>
      </c>
      <c r="AG56" s="1">
        <v>1</v>
      </c>
      <c r="AH56" s="2" t="s">
        <v>1223</v>
      </c>
      <c r="AI56" s="2">
        <f t="shared" si="21"/>
        <v>12</v>
      </c>
      <c r="AJ56" s="1" t="s">
        <v>1116</v>
      </c>
      <c r="AK56" s="1">
        <v>30002</v>
      </c>
      <c r="AL56" s="1" t="s">
        <v>1116</v>
      </c>
      <c r="AM56" s="2">
        <v>1</v>
      </c>
      <c r="AN56" s="2" t="s">
        <v>1223</v>
      </c>
      <c r="AO56" s="2">
        <f t="shared" si="26"/>
        <v>15</v>
      </c>
      <c r="AP56" s="1" t="s">
        <v>1116</v>
      </c>
      <c r="AQ56" s="1">
        <v>30001</v>
      </c>
      <c r="AR56" s="1" t="s">
        <v>1222</v>
      </c>
      <c r="AS56" s="1">
        <v>30004</v>
      </c>
      <c r="AT56" s="1" t="s">
        <v>1116</v>
      </c>
      <c r="AU56" s="2">
        <v>1</v>
      </c>
    </row>
    <row r="57" spans="1:47">
      <c r="A57" s="1">
        <v>82</v>
      </c>
      <c r="B57" s="30" t="s">
        <v>1179</v>
      </c>
      <c r="C57" s="3">
        <v>15</v>
      </c>
      <c r="D57" s="4" t="str">
        <f t="shared" si="19"/>
        <v>6#30001#1|12#30002#1|15#30001,30004#1</v>
      </c>
      <c r="E57" s="4" t="str">
        <f>部队设定!E57</f>
        <v>2002|6007#4004|2003#6006|4004#6004|4007</v>
      </c>
      <c r="F57" s="4" t="s">
        <v>472</v>
      </c>
      <c r="G57" s="38">
        <f t="shared" si="20"/>
        <v>10</v>
      </c>
      <c r="H57" s="2" t="s">
        <v>1116</v>
      </c>
      <c r="I57" s="38">
        <v>1</v>
      </c>
      <c r="J57" s="2" t="s">
        <v>1116</v>
      </c>
      <c r="K57" s="38">
        <f t="shared" si="22"/>
        <v>1.5</v>
      </c>
      <c r="L57" s="2" t="s">
        <v>1223</v>
      </c>
      <c r="M57" s="38">
        <f t="shared" si="27"/>
        <v>13</v>
      </c>
      <c r="N57" s="2" t="s">
        <v>1116</v>
      </c>
      <c r="O57" s="38">
        <v>2</v>
      </c>
      <c r="P57" s="2" t="s">
        <v>1116</v>
      </c>
      <c r="Q57" s="38">
        <f t="shared" si="23"/>
        <v>2.6</v>
      </c>
      <c r="R57" s="2" t="s">
        <v>1223</v>
      </c>
      <c r="S57" s="38">
        <f t="shared" si="28"/>
        <v>15</v>
      </c>
      <c r="T57" s="2" t="s">
        <v>1116</v>
      </c>
      <c r="U57" s="38">
        <v>3</v>
      </c>
      <c r="V57" s="2" t="s">
        <v>1116</v>
      </c>
      <c r="W57" s="38">
        <f t="shared" si="24"/>
        <v>3.5</v>
      </c>
      <c r="X57" s="41"/>
      <c r="Y57" s="41"/>
      <c r="Z57" s="41"/>
      <c r="AA57" s="41"/>
      <c r="AC57" s="1">
        <f t="shared" si="25"/>
        <v>6</v>
      </c>
      <c r="AD57" s="1" t="s">
        <v>1116</v>
      </c>
      <c r="AE57" s="1">
        <v>30001</v>
      </c>
      <c r="AF57" s="1" t="s">
        <v>1116</v>
      </c>
      <c r="AG57" s="1">
        <v>1</v>
      </c>
      <c r="AH57" s="2" t="s">
        <v>1223</v>
      </c>
      <c r="AI57" s="2">
        <f t="shared" si="21"/>
        <v>12</v>
      </c>
      <c r="AJ57" s="1" t="s">
        <v>1116</v>
      </c>
      <c r="AK57" s="1">
        <v>30002</v>
      </c>
      <c r="AL57" s="1" t="s">
        <v>1116</v>
      </c>
      <c r="AM57" s="2">
        <v>1</v>
      </c>
      <c r="AN57" s="2" t="s">
        <v>1223</v>
      </c>
      <c r="AO57" s="2">
        <f t="shared" si="26"/>
        <v>15</v>
      </c>
      <c r="AP57" s="1" t="s">
        <v>1116</v>
      </c>
      <c r="AQ57" s="1">
        <v>30001</v>
      </c>
      <c r="AR57" s="1" t="s">
        <v>1222</v>
      </c>
      <c r="AS57" s="1">
        <v>30004</v>
      </c>
      <c r="AT57" s="1" t="s">
        <v>1116</v>
      </c>
      <c r="AU57" s="2">
        <v>1</v>
      </c>
    </row>
    <row r="58" spans="1:47">
      <c r="A58" s="1">
        <v>83</v>
      </c>
      <c r="B58" s="30" t="s">
        <v>1180</v>
      </c>
      <c r="C58" s="3">
        <v>15</v>
      </c>
      <c r="D58" s="4" t="str">
        <f t="shared" si="19"/>
        <v>6#30001#1|12#30002#1|15#30001,30004#1</v>
      </c>
      <c r="E58" s="4" t="str">
        <f>部队设定!E58</f>
        <v>1005|2002#3001|1002#2003|3003#2001|3004</v>
      </c>
      <c r="F58" s="4" t="s">
        <v>472</v>
      </c>
      <c r="G58" s="38">
        <f t="shared" si="20"/>
        <v>10</v>
      </c>
      <c r="H58" s="2" t="s">
        <v>1116</v>
      </c>
      <c r="I58" s="38">
        <v>1</v>
      </c>
      <c r="J58" s="2" t="s">
        <v>1116</v>
      </c>
      <c r="K58" s="38">
        <f t="shared" si="22"/>
        <v>1.5</v>
      </c>
      <c r="L58" s="2" t="s">
        <v>1223</v>
      </c>
      <c r="M58" s="38">
        <f t="shared" si="27"/>
        <v>13</v>
      </c>
      <c r="N58" s="2" t="s">
        <v>1116</v>
      </c>
      <c r="O58" s="38">
        <v>2</v>
      </c>
      <c r="P58" s="2" t="s">
        <v>1116</v>
      </c>
      <c r="Q58" s="38">
        <f t="shared" si="23"/>
        <v>2.6</v>
      </c>
      <c r="R58" s="2" t="s">
        <v>1223</v>
      </c>
      <c r="S58" s="38">
        <f t="shared" si="28"/>
        <v>15</v>
      </c>
      <c r="T58" s="2" t="s">
        <v>1116</v>
      </c>
      <c r="U58" s="38">
        <v>3</v>
      </c>
      <c r="V58" s="2" t="s">
        <v>1116</v>
      </c>
      <c r="W58" s="38">
        <f t="shared" si="24"/>
        <v>3.5</v>
      </c>
      <c r="X58" s="41"/>
      <c r="Y58" s="41"/>
      <c r="Z58" s="41"/>
      <c r="AA58" s="41"/>
      <c r="AC58" s="1">
        <f t="shared" si="25"/>
        <v>6</v>
      </c>
      <c r="AD58" s="1" t="s">
        <v>1116</v>
      </c>
      <c r="AE58" s="1">
        <v>30001</v>
      </c>
      <c r="AF58" s="1" t="s">
        <v>1116</v>
      </c>
      <c r="AG58" s="1">
        <v>1</v>
      </c>
      <c r="AH58" s="2" t="s">
        <v>1223</v>
      </c>
      <c r="AI58" s="2">
        <f t="shared" si="21"/>
        <v>12</v>
      </c>
      <c r="AJ58" s="1" t="s">
        <v>1116</v>
      </c>
      <c r="AK58" s="1">
        <v>30002</v>
      </c>
      <c r="AL58" s="1" t="s">
        <v>1116</v>
      </c>
      <c r="AM58" s="2">
        <v>1</v>
      </c>
      <c r="AN58" s="2" t="s">
        <v>1223</v>
      </c>
      <c r="AO58" s="2">
        <f t="shared" si="26"/>
        <v>15</v>
      </c>
      <c r="AP58" s="1" t="s">
        <v>1116</v>
      </c>
      <c r="AQ58" s="1">
        <v>30001</v>
      </c>
      <c r="AR58" s="1" t="s">
        <v>1222</v>
      </c>
      <c r="AS58" s="1">
        <v>30004</v>
      </c>
      <c r="AT58" s="1" t="s">
        <v>1116</v>
      </c>
      <c r="AU58" s="2">
        <v>1</v>
      </c>
    </row>
    <row r="59" spans="1:47">
      <c r="A59" s="1">
        <v>84</v>
      </c>
      <c r="B59" s="30" t="s">
        <v>1181</v>
      </c>
      <c r="C59" s="3">
        <v>15</v>
      </c>
      <c r="D59" s="4" t="str">
        <f t="shared" si="19"/>
        <v>6#30001#1|12#30002#1|15#30001,30004#1</v>
      </c>
      <c r="E59" s="4" t="str">
        <f>部队设定!E59</f>
        <v>2004|1004#6006|2003#1003|6007#1003|6007</v>
      </c>
      <c r="F59" s="4" t="s">
        <v>472</v>
      </c>
      <c r="G59" s="38">
        <f t="shared" si="20"/>
        <v>10</v>
      </c>
      <c r="H59" s="2" t="s">
        <v>1116</v>
      </c>
      <c r="I59" s="38">
        <v>1</v>
      </c>
      <c r="J59" s="2" t="s">
        <v>1116</v>
      </c>
      <c r="K59" s="38">
        <f t="shared" si="22"/>
        <v>1.5</v>
      </c>
      <c r="L59" s="2" t="s">
        <v>1223</v>
      </c>
      <c r="M59" s="38">
        <f t="shared" si="27"/>
        <v>13</v>
      </c>
      <c r="N59" s="2" t="s">
        <v>1116</v>
      </c>
      <c r="O59" s="38">
        <v>2</v>
      </c>
      <c r="P59" s="2" t="s">
        <v>1116</v>
      </c>
      <c r="Q59" s="38">
        <f t="shared" si="23"/>
        <v>2.6</v>
      </c>
      <c r="R59" s="2" t="s">
        <v>1223</v>
      </c>
      <c r="S59" s="38">
        <f t="shared" si="28"/>
        <v>15</v>
      </c>
      <c r="T59" s="2" t="s">
        <v>1116</v>
      </c>
      <c r="U59" s="38">
        <v>3</v>
      </c>
      <c r="V59" s="2" t="s">
        <v>1116</v>
      </c>
      <c r="W59" s="38">
        <f t="shared" si="24"/>
        <v>3.5</v>
      </c>
      <c r="X59" s="41"/>
      <c r="Y59" s="41"/>
      <c r="Z59" s="41"/>
      <c r="AA59" s="41"/>
      <c r="AC59" s="1">
        <f t="shared" si="25"/>
        <v>6</v>
      </c>
      <c r="AD59" s="1" t="s">
        <v>1116</v>
      </c>
      <c r="AE59" s="1">
        <v>30001</v>
      </c>
      <c r="AF59" s="1" t="s">
        <v>1116</v>
      </c>
      <c r="AG59" s="1">
        <v>1</v>
      </c>
      <c r="AH59" s="2" t="s">
        <v>1223</v>
      </c>
      <c r="AI59" s="2">
        <f t="shared" si="21"/>
        <v>12</v>
      </c>
      <c r="AJ59" s="1" t="s">
        <v>1116</v>
      </c>
      <c r="AK59" s="1">
        <v>30002</v>
      </c>
      <c r="AL59" s="1" t="s">
        <v>1116</v>
      </c>
      <c r="AM59" s="2">
        <v>1</v>
      </c>
      <c r="AN59" s="2" t="s">
        <v>1223</v>
      </c>
      <c r="AO59" s="2">
        <f t="shared" si="26"/>
        <v>15</v>
      </c>
      <c r="AP59" s="1" t="s">
        <v>1116</v>
      </c>
      <c r="AQ59" s="1">
        <v>30001</v>
      </c>
      <c r="AR59" s="1" t="s">
        <v>1222</v>
      </c>
      <c r="AS59" s="1">
        <v>30004</v>
      </c>
      <c r="AT59" s="1" t="s">
        <v>1116</v>
      </c>
      <c r="AU59" s="2">
        <v>1</v>
      </c>
    </row>
    <row r="60" spans="1:47">
      <c r="A60" s="1">
        <v>85</v>
      </c>
      <c r="B60" s="30" t="s">
        <v>1182</v>
      </c>
      <c r="C60" s="3">
        <v>15</v>
      </c>
      <c r="D60" s="4" t="str">
        <f t="shared" si="19"/>
        <v>6#30001#1|12#30002#1|15#30001,30004#1</v>
      </c>
      <c r="E60" s="4" t="str">
        <f>部队设定!E60</f>
        <v>4007|2006#4003|4004#2006|4007#2001|4001</v>
      </c>
      <c r="F60" s="4" t="s">
        <v>472</v>
      </c>
      <c r="G60" s="38">
        <f t="shared" si="20"/>
        <v>10</v>
      </c>
      <c r="H60" s="2" t="s">
        <v>1116</v>
      </c>
      <c r="I60" s="38">
        <v>1</v>
      </c>
      <c r="J60" s="2" t="s">
        <v>1116</v>
      </c>
      <c r="K60" s="38">
        <f t="shared" si="22"/>
        <v>1.5</v>
      </c>
      <c r="L60" s="2" t="s">
        <v>1223</v>
      </c>
      <c r="M60" s="38">
        <f t="shared" si="27"/>
        <v>13</v>
      </c>
      <c r="N60" s="2" t="s">
        <v>1116</v>
      </c>
      <c r="O60" s="38">
        <v>2</v>
      </c>
      <c r="P60" s="2" t="s">
        <v>1116</v>
      </c>
      <c r="Q60" s="38">
        <f t="shared" si="23"/>
        <v>2.6</v>
      </c>
      <c r="R60" s="2" t="s">
        <v>1223</v>
      </c>
      <c r="S60" s="38">
        <f t="shared" si="28"/>
        <v>15</v>
      </c>
      <c r="T60" s="2" t="s">
        <v>1116</v>
      </c>
      <c r="U60" s="38">
        <v>3</v>
      </c>
      <c r="V60" s="2" t="s">
        <v>1116</v>
      </c>
      <c r="W60" s="38">
        <f t="shared" si="24"/>
        <v>3.5</v>
      </c>
      <c r="X60" s="41"/>
      <c r="Y60" s="41"/>
      <c r="Z60" s="41"/>
      <c r="AA60" s="41"/>
      <c r="AC60" s="1">
        <f t="shared" si="25"/>
        <v>6</v>
      </c>
      <c r="AD60" s="1" t="s">
        <v>1116</v>
      </c>
      <c r="AE60" s="1">
        <v>30001</v>
      </c>
      <c r="AF60" s="1" t="s">
        <v>1116</v>
      </c>
      <c r="AG60" s="1">
        <v>1</v>
      </c>
      <c r="AH60" s="2" t="s">
        <v>1223</v>
      </c>
      <c r="AI60" s="2">
        <f t="shared" si="21"/>
        <v>12</v>
      </c>
      <c r="AJ60" s="1" t="s">
        <v>1116</v>
      </c>
      <c r="AK60" s="1">
        <v>30002</v>
      </c>
      <c r="AL60" s="1" t="s">
        <v>1116</v>
      </c>
      <c r="AM60" s="2">
        <v>1</v>
      </c>
      <c r="AN60" s="2" t="s">
        <v>1223</v>
      </c>
      <c r="AO60" s="2">
        <f t="shared" si="26"/>
        <v>15</v>
      </c>
      <c r="AP60" s="1" t="s">
        <v>1116</v>
      </c>
      <c r="AQ60" s="1">
        <v>30001</v>
      </c>
      <c r="AR60" s="1" t="s">
        <v>1222</v>
      </c>
      <c r="AS60" s="1">
        <v>30004</v>
      </c>
      <c r="AT60" s="1" t="s">
        <v>1116</v>
      </c>
      <c r="AU60" s="2">
        <v>1</v>
      </c>
    </row>
    <row r="61" spans="1:47">
      <c r="A61" s="1">
        <v>86</v>
      </c>
      <c r="B61" s="30" t="s">
        <v>1183</v>
      </c>
      <c r="C61" s="3">
        <v>15</v>
      </c>
      <c r="D61" s="4" t="str">
        <f t="shared" si="19"/>
        <v>6#30001#1|12#30002#1|15#30001,30004#1</v>
      </c>
      <c r="E61" s="4" t="str">
        <f>部队设定!E61</f>
        <v>1004|4002#6006|1001#4002|6002#4002|6007</v>
      </c>
      <c r="F61" s="4" t="s">
        <v>472</v>
      </c>
      <c r="G61" s="38">
        <f t="shared" si="20"/>
        <v>10</v>
      </c>
      <c r="H61" s="2" t="s">
        <v>1116</v>
      </c>
      <c r="I61" s="38">
        <v>1</v>
      </c>
      <c r="J61" s="2" t="s">
        <v>1116</v>
      </c>
      <c r="K61" s="38">
        <f t="shared" si="22"/>
        <v>1.5</v>
      </c>
      <c r="L61" s="2" t="s">
        <v>1223</v>
      </c>
      <c r="M61" s="38">
        <f t="shared" si="27"/>
        <v>13</v>
      </c>
      <c r="N61" s="2" t="s">
        <v>1116</v>
      </c>
      <c r="O61" s="38">
        <v>2</v>
      </c>
      <c r="P61" s="2" t="s">
        <v>1116</v>
      </c>
      <c r="Q61" s="38">
        <f t="shared" si="23"/>
        <v>2.6</v>
      </c>
      <c r="R61" s="2" t="s">
        <v>1223</v>
      </c>
      <c r="S61" s="38">
        <f t="shared" si="28"/>
        <v>15</v>
      </c>
      <c r="T61" s="2" t="s">
        <v>1116</v>
      </c>
      <c r="U61" s="38">
        <v>3</v>
      </c>
      <c r="V61" s="2" t="s">
        <v>1116</v>
      </c>
      <c r="W61" s="38">
        <f t="shared" si="24"/>
        <v>3.5</v>
      </c>
      <c r="X61" s="41"/>
      <c r="Y61" s="41"/>
      <c r="Z61" s="41"/>
      <c r="AA61" s="41"/>
      <c r="AC61" s="1">
        <f t="shared" si="25"/>
        <v>6</v>
      </c>
      <c r="AD61" s="1" t="s">
        <v>1116</v>
      </c>
      <c r="AE61" s="1">
        <v>30001</v>
      </c>
      <c r="AF61" s="1" t="s">
        <v>1116</v>
      </c>
      <c r="AG61" s="1">
        <v>1</v>
      </c>
      <c r="AH61" s="2" t="s">
        <v>1223</v>
      </c>
      <c r="AI61" s="2">
        <f t="shared" si="21"/>
        <v>12</v>
      </c>
      <c r="AJ61" s="1" t="s">
        <v>1116</v>
      </c>
      <c r="AK61" s="1">
        <v>30002</v>
      </c>
      <c r="AL61" s="1" t="s">
        <v>1116</v>
      </c>
      <c r="AM61" s="2">
        <v>1</v>
      </c>
      <c r="AN61" s="2" t="s">
        <v>1223</v>
      </c>
      <c r="AO61" s="2">
        <f t="shared" si="26"/>
        <v>15</v>
      </c>
      <c r="AP61" s="1" t="s">
        <v>1116</v>
      </c>
      <c r="AQ61" s="1">
        <v>30001</v>
      </c>
      <c r="AR61" s="1" t="s">
        <v>1222</v>
      </c>
      <c r="AS61" s="1">
        <v>30004</v>
      </c>
      <c r="AT61" s="1" t="s">
        <v>1116</v>
      </c>
      <c r="AU61" s="2">
        <v>1</v>
      </c>
    </row>
    <row r="62" spans="1:47">
      <c r="A62" s="1">
        <v>91</v>
      </c>
      <c r="B62" s="30" t="s">
        <v>1184</v>
      </c>
      <c r="C62" s="3">
        <v>15</v>
      </c>
      <c r="D62" s="4" t="str">
        <f t="shared" si="19"/>
        <v>6#30001#1|12#30002#1|15#30001,30004#1</v>
      </c>
      <c r="E62" s="4" t="str">
        <f>部队设定!E62</f>
        <v>1008|2006#4004|1001#2007|4008#2008|4007</v>
      </c>
      <c r="F62" s="4" t="s">
        <v>472</v>
      </c>
      <c r="G62" s="38">
        <f t="shared" si="20"/>
        <v>10</v>
      </c>
      <c r="H62" s="2" t="s">
        <v>1116</v>
      </c>
      <c r="I62" s="38">
        <v>1</v>
      </c>
      <c r="J62" s="2" t="s">
        <v>1116</v>
      </c>
      <c r="K62" s="38">
        <f t="shared" si="22"/>
        <v>1.5</v>
      </c>
      <c r="L62" s="2" t="s">
        <v>1223</v>
      </c>
      <c r="M62" s="38">
        <f t="shared" si="27"/>
        <v>13</v>
      </c>
      <c r="N62" s="2" t="s">
        <v>1116</v>
      </c>
      <c r="O62" s="38">
        <v>2</v>
      </c>
      <c r="P62" s="2" t="s">
        <v>1116</v>
      </c>
      <c r="Q62" s="38">
        <f t="shared" si="23"/>
        <v>2.6</v>
      </c>
      <c r="R62" s="2" t="s">
        <v>1223</v>
      </c>
      <c r="S62" s="38">
        <f t="shared" si="28"/>
        <v>15</v>
      </c>
      <c r="T62" s="2" t="s">
        <v>1116</v>
      </c>
      <c r="U62" s="38">
        <v>3</v>
      </c>
      <c r="V62" s="2" t="s">
        <v>1116</v>
      </c>
      <c r="W62" s="38">
        <f t="shared" si="24"/>
        <v>3.5</v>
      </c>
      <c r="X62" s="41"/>
      <c r="Y62" s="41"/>
      <c r="Z62" s="41"/>
      <c r="AA62" s="41"/>
      <c r="AC62" s="1">
        <f t="shared" si="25"/>
        <v>6</v>
      </c>
      <c r="AD62" s="1" t="s">
        <v>1116</v>
      </c>
      <c r="AE62" s="1">
        <v>30001</v>
      </c>
      <c r="AF62" s="1" t="s">
        <v>1116</v>
      </c>
      <c r="AG62" s="1">
        <v>1</v>
      </c>
      <c r="AH62" s="2" t="s">
        <v>1223</v>
      </c>
      <c r="AI62" s="2">
        <f t="shared" si="21"/>
        <v>12</v>
      </c>
      <c r="AJ62" s="1" t="s">
        <v>1116</v>
      </c>
      <c r="AK62" s="1">
        <v>30002</v>
      </c>
      <c r="AL62" s="1" t="s">
        <v>1116</v>
      </c>
      <c r="AM62" s="2">
        <v>1</v>
      </c>
      <c r="AN62" s="2" t="s">
        <v>1223</v>
      </c>
      <c r="AO62" s="2">
        <f t="shared" si="26"/>
        <v>15</v>
      </c>
      <c r="AP62" s="1" t="s">
        <v>1116</v>
      </c>
      <c r="AQ62" s="1">
        <v>30001</v>
      </c>
      <c r="AR62" s="1" t="s">
        <v>1222</v>
      </c>
      <c r="AS62" s="1">
        <v>30004</v>
      </c>
      <c r="AT62" s="1" t="s">
        <v>1116</v>
      </c>
      <c r="AU62" s="2">
        <v>1</v>
      </c>
    </row>
    <row r="63" spans="1:47">
      <c r="A63" s="1">
        <v>92</v>
      </c>
      <c r="B63" s="30" t="s">
        <v>1185</v>
      </c>
      <c r="C63" s="3">
        <v>15</v>
      </c>
      <c r="D63" s="4" t="str">
        <f t="shared" si="19"/>
        <v>6#30001#1|12#30002#1|15#30001,30004#1</v>
      </c>
      <c r="E63" s="4" t="str">
        <f>部队设定!E63</f>
        <v>2006|1002#2008|2005#1006|2004#1004|2007</v>
      </c>
      <c r="F63" s="4" t="s">
        <v>472</v>
      </c>
      <c r="G63" s="38">
        <f t="shared" si="20"/>
        <v>10</v>
      </c>
      <c r="H63" s="2" t="s">
        <v>1116</v>
      </c>
      <c r="I63" s="38">
        <v>1</v>
      </c>
      <c r="J63" s="2" t="s">
        <v>1116</v>
      </c>
      <c r="K63" s="38">
        <f t="shared" si="22"/>
        <v>1.5</v>
      </c>
      <c r="L63" s="2" t="s">
        <v>1223</v>
      </c>
      <c r="M63" s="38">
        <f t="shared" si="27"/>
        <v>13</v>
      </c>
      <c r="N63" s="2" t="s">
        <v>1116</v>
      </c>
      <c r="O63" s="38">
        <v>2</v>
      </c>
      <c r="P63" s="2" t="s">
        <v>1116</v>
      </c>
      <c r="Q63" s="38">
        <f t="shared" si="23"/>
        <v>2.6</v>
      </c>
      <c r="R63" s="2" t="s">
        <v>1223</v>
      </c>
      <c r="S63" s="38">
        <f t="shared" si="28"/>
        <v>15</v>
      </c>
      <c r="T63" s="2" t="s">
        <v>1116</v>
      </c>
      <c r="U63" s="38">
        <v>3</v>
      </c>
      <c r="V63" s="2" t="s">
        <v>1116</v>
      </c>
      <c r="W63" s="38">
        <f t="shared" si="24"/>
        <v>3.5</v>
      </c>
      <c r="X63" s="41"/>
      <c r="Y63" s="41"/>
      <c r="Z63" s="41"/>
      <c r="AA63" s="41"/>
      <c r="AC63" s="1">
        <f t="shared" si="25"/>
        <v>6</v>
      </c>
      <c r="AD63" s="1" t="s">
        <v>1116</v>
      </c>
      <c r="AE63" s="1">
        <v>30001</v>
      </c>
      <c r="AF63" s="1" t="s">
        <v>1116</v>
      </c>
      <c r="AG63" s="1">
        <v>1</v>
      </c>
      <c r="AH63" s="2" t="s">
        <v>1223</v>
      </c>
      <c r="AI63" s="2">
        <f t="shared" si="21"/>
        <v>12</v>
      </c>
      <c r="AJ63" s="1" t="s">
        <v>1116</v>
      </c>
      <c r="AK63" s="1">
        <v>30002</v>
      </c>
      <c r="AL63" s="1" t="s">
        <v>1116</v>
      </c>
      <c r="AM63" s="2">
        <v>1</v>
      </c>
      <c r="AN63" s="2" t="s">
        <v>1223</v>
      </c>
      <c r="AO63" s="2">
        <f t="shared" si="26"/>
        <v>15</v>
      </c>
      <c r="AP63" s="1" t="s">
        <v>1116</v>
      </c>
      <c r="AQ63" s="1">
        <v>30001</v>
      </c>
      <c r="AR63" s="1" t="s">
        <v>1222</v>
      </c>
      <c r="AS63" s="1">
        <v>30004</v>
      </c>
      <c r="AT63" s="1" t="s">
        <v>1116</v>
      </c>
      <c r="AU63" s="2">
        <v>1</v>
      </c>
    </row>
    <row r="64" spans="1:47">
      <c r="A64" s="1">
        <v>93</v>
      </c>
      <c r="B64" s="30" t="s">
        <v>1186</v>
      </c>
      <c r="C64" s="3">
        <v>15</v>
      </c>
      <c r="D64" s="4" t="str">
        <f t="shared" si="19"/>
        <v>6#30001#1|12#30002#1|15#30001,30004#1</v>
      </c>
      <c r="E64" s="4" t="str">
        <f>部队设定!E64</f>
        <v>3006|3006#3006|3002#3007|3003#3002|3004</v>
      </c>
      <c r="F64" s="4" t="s">
        <v>472</v>
      </c>
      <c r="G64" s="38">
        <f t="shared" si="20"/>
        <v>10</v>
      </c>
      <c r="H64" s="2" t="s">
        <v>1116</v>
      </c>
      <c r="I64" s="38">
        <v>1</v>
      </c>
      <c r="J64" s="2" t="s">
        <v>1116</v>
      </c>
      <c r="K64" s="38">
        <f t="shared" si="22"/>
        <v>1.5</v>
      </c>
      <c r="L64" s="2" t="s">
        <v>1223</v>
      </c>
      <c r="M64" s="38">
        <f t="shared" si="27"/>
        <v>13</v>
      </c>
      <c r="N64" s="2" t="s">
        <v>1116</v>
      </c>
      <c r="O64" s="38">
        <v>2</v>
      </c>
      <c r="P64" s="2" t="s">
        <v>1116</v>
      </c>
      <c r="Q64" s="38">
        <f t="shared" si="23"/>
        <v>2.6</v>
      </c>
      <c r="R64" s="2" t="s">
        <v>1223</v>
      </c>
      <c r="S64" s="38">
        <f t="shared" si="28"/>
        <v>15</v>
      </c>
      <c r="T64" s="2" t="s">
        <v>1116</v>
      </c>
      <c r="U64" s="38">
        <v>3</v>
      </c>
      <c r="V64" s="2" t="s">
        <v>1116</v>
      </c>
      <c r="W64" s="38">
        <f t="shared" si="24"/>
        <v>3.5</v>
      </c>
      <c r="X64" s="41"/>
      <c r="Y64" s="41"/>
      <c r="Z64" s="41"/>
      <c r="AA64" s="41"/>
      <c r="AC64" s="1">
        <f t="shared" si="25"/>
        <v>6</v>
      </c>
      <c r="AD64" s="1" t="s">
        <v>1116</v>
      </c>
      <c r="AE64" s="1">
        <v>30001</v>
      </c>
      <c r="AF64" s="1" t="s">
        <v>1116</v>
      </c>
      <c r="AG64" s="1">
        <v>1</v>
      </c>
      <c r="AH64" s="2" t="s">
        <v>1223</v>
      </c>
      <c r="AI64" s="2">
        <f t="shared" si="21"/>
        <v>12</v>
      </c>
      <c r="AJ64" s="1" t="s">
        <v>1116</v>
      </c>
      <c r="AK64" s="1">
        <v>30002</v>
      </c>
      <c r="AL64" s="1" t="s">
        <v>1116</v>
      </c>
      <c r="AM64" s="2">
        <v>1</v>
      </c>
      <c r="AN64" s="2" t="s">
        <v>1223</v>
      </c>
      <c r="AO64" s="2">
        <f t="shared" si="26"/>
        <v>15</v>
      </c>
      <c r="AP64" s="1" t="s">
        <v>1116</v>
      </c>
      <c r="AQ64" s="1">
        <v>30001</v>
      </c>
      <c r="AR64" s="1" t="s">
        <v>1222</v>
      </c>
      <c r="AS64" s="1">
        <v>30004</v>
      </c>
      <c r="AT64" s="1" t="s">
        <v>1116</v>
      </c>
      <c r="AU64" s="2">
        <v>1</v>
      </c>
    </row>
    <row r="65" spans="1:47">
      <c r="A65" s="1">
        <v>94</v>
      </c>
      <c r="B65" s="30" t="s">
        <v>1187</v>
      </c>
      <c r="C65" s="3">
        <v>15</v>
      </c>
      <c r="D65" s="4" t="str">
        <f t="shared" si="19"/>
        <v>6#30001#1|12#30002#1|15#30001,30004#1</v>
      </c>
      <c r="E65" s="4" t="str">
        <f>部队设定!E65</f>
        <v>4002|5007#1004|4004#5007|1004#5003|1007</v>
      </c>
      <c r="F65" s="4" t="s">
        <v>472</v>
      </c>
      <c r="G65" s="38">
        <f t="shared" si="20"/>
        <v>10</v>
      </c>
      <c r="H65" s="2" t="s">
        <v>1116</v>
      </c>
      <c r="I65" s="38">
        <v>1</v>
      </c>
      <c r="J65" s="2" t="s">
        <v>1116</v>
      </c>
      <c r="K65" s="38">
        <f t="shared" si="22"/>
        <v>1.5</v>
      </c>
      <c r="L65" s="2" t="s">
        <v>1223</v>
      </c>
      <c r="M65" s="38">
        <f t="shared" si="27"/>
        <v>13</v>
      </c>
      <c r="N65" s="2" t="s">
        <v>1116</v>
      </c>
      <c r="O65" s="38">
        <v>2</v>
      </c>
      <c r="P65" s="2" t="s">
        <v>1116</v>
      </c>
      <c r="Q65" s="38">
        <f t="shared" si="23"/>
        <v>2.6</v>
      </c>
      <c r="R65" s="2" t="s">
        <v>1223</v>
      </c>
      <c r="S65" s="38">
        <f t="shared" si="28"/>
        <v>15</v>
      </c>
      <c r="T65" s="2" t="s">
        <v>1116</v>
      </c>
      <c r="U65" s="38">
        <v>3</v>
      </c>
      <c r="V65" s="2" t="s">
        <v>1116</v>
      </c>
      <c r="W65" s="38">
        <f t="shared" si="24"/>
        <v>3.5</v>
      </c>
      <c r="X65" s="41"/>
      <c r="Y65" s="41"/>
      <c r="Z65" s="41"/>
      <c r="AA65" s="41"/>
      <c r="AC65" s="1">
        <f t="shared" si="25"/>
        <v>6</v>
      </c>
      <c r="AD65" s="1" t="s">
        <v>1116</v>
      </c>
      <c r="AE65" s="1">
        <v>30001</v>
      </c>
      <c r="AF65" s="1" t="s">
        <v>1116</v>
      </c>
      <c r="AG65" s="1">
        <v>1</v>
      </c>
      <c r="AH65" s="2" t="s">
        <v>1223</v>
      </c>
      <c r="AI65" s="2">
        <f t="shared" si="21"/>
        <v>12</v>
      </c>
      <c r="AJ65" s="1" t="s">
        <v>1116</v>
      </c>
      <c r="AK65" s="1">
        <v>30002</v>
      </c>
      <c r="AL65" s="1" t="s">
        <v>1116</v>
      </c>
      <c r="AM65" s="2">
        <v>1</v>
      </c>
      <c r="AN65" s="2" t="s">
        <v>1223</v>
      </c>
      <c r="AO65" s="2">
        <f t="shared" si="26"/>
        <v>15</v>
      </c>
      <c r="AP65" s="1" t="s">
        <v>1116</v>
      </c>
      <c r="AQ65" s="1">
        <v>30001</v>
      </c>
      <c r="AR65" s="1" t="s">
        <v>1222</v>
      </c>
      <c r="AS65" s="1">
        <v>30004</v>
      </c>
      <c r="AT65" s="1" t="s">
        <v>1116</v>
      </c>
      <c r="AU65" s="2">
        <v>1</v>
      </c>
    </row>
    <row r="66" spans="1:47">
      <c r="A66" s="1">
        <v>95</v>
      </c>
      <c r="B66" s="30" t="s">
        <v>1188</v>
      </c>
      <c r="C66" s="3">
        <v>15</v>
      </c>
      <c r="D66" s="4" t="str">
        <f t="shared" si="19"/>
        <v>6#30001#1|12#30002#1|15#30001,30004#1</v>
      </c>
      <c r="E66" s="4" t="str">
        <f>部队设定!E66</f>
        <v>5006|2008#1007|5004#2007|1004#2005|1006</v>
      </c>
      <c r="F66" s="4" t="s">
        <v>472</v>
      </c>
      <c r="G66" s="38">
        <f t="shared" si="20"/>
        <v>10</v>
      </c>
      <c r="H66" s="2" t="s">
        <v>1116</v>
      </c>
      <c r="I66" s="38">
        <v>1</v>
      </c>
      <c r="J66" s="2" t="s">
        <v>1116</v>
      </c>
      <c r="K66" s="38">
        <f t="shared" si="22"/>
        <v>1.5</v>
      </c>
      <c r="L66" s="2" t="s">
        <v>1223</v>
      </c>
      <c r="M66" s="38">
        <f t="shared" si="27"/>
        <v>13</v>
      </c>
      <c r="N66" s="2" t="s">
        <v>1116</v>
      </c>
      <c r="O66" s="38">
        <v>2</v>
      </c>
      <c r="P66" s="2" t="s">
        <v>1116</v>
      </c>
      <c r="Q66" s="38">
        <f t="shared" si="23"/>
        <v>2.6</v>
      </c>
      <c r="R66" s="2" t="s">
        <v>1223</v>
      </c>
      <c r="S66" s="38">
        <f t="shared" si="28"/>
        <v>15</v>
      </c>
      <c r="T66" s="2" t="s">
        <v>1116</v>
      </c>
      <c r="U66" s="38">
        <v>3</v>
      </c>
      <c r="V66" s="2" t="s">
        <v>1116</v>
      </c>
      <c r="W66" s="38">
        <f t="shared" si="24"/>
        <v>3.5</v>
      </c>
      <c r="X66" s="41"/>
      <c r="Y66" s="41"/>
      <c r="Z66" s="41"/>
      <c r="AA66" s="41"/>
      <c r="AC66" s="1">
        <f t="shared" si="25"/>
        <v>6</v>
      </c>
      <c r="AD66" s="1" t="s">
        <v>1116</v>
      </c>
      <c r="AE66" s="1">
        <v>30001</v>
      </c>
      <c r="AF66" s="1" t="s">
        <v>1116</v>
      </c>
      <c r="AG66" s="1">
        <v>1</v>
      </c>
      <c r="AH66" s="2" t="s">
        <v>1223</v>
      </c>
      <c r="AI66" s="2">
        <f t="shared" si="21"/>
        <v>12</v>
      </c>
      <c r="AJ66" s="1" t="s">
        <v>1116</v>
      </c>
      <c r="AK66" s="1">
        <v>30002</v>
      </c>
      <c r="AL66" s="1" t="s">
        <v>1116</v>
      </c>
      <c r="AM66" s="2">
        <v>1</v>
      </c>
      <c r="AN66" s="2" t="s">
        <v>1223</v>
      </c>
      <c r="AO66" s="2">
        <f t="shared" si="26"/>
        <v>15</v>
      </c>
      <c r="AP66" s="1" t="s">
        <v>1116</v>
      </c>
      <c r="AQ66" s="1">
        <v>30001</v>
      </c>
      <c r="AR66" s="1" t="s">
        <v>1222</v>
      </c>
      <c r="AS66" s="1">
        <v>30004</v>
      </c>
      <c r="AT66" s="1" t="s">
        <v>1116</v>
      </c>
      <c r="AU66" s="2">
        <v>1</v>
      </c>
    </row>
    <row r="67" spans="1:47">
      <c r="A67" s="1">
        <v>96</v>
      </c>
      <c r="B67" s="30" t="s">
        <v>1189</v>
      </c>
      <c r="C67" s="3">
        <v>15</v>
      </c>
      <c r="D67" s="4" t="str">
        <f t="shared" si="19"/>
        <v>6#30001#1|12#30002#1|15#30001,30004#1</v>
      </c>
      <c r="E67" s="4" t="str">
        <f>部队设定!E67</f>
        <v>6002|4001#6007|6002#4006|6003#4005|6004</v>
      </c>
      <c r="F67" s="4" t="s">
        <v>472</v>
      </c>
      <c r="G67" s="38">
        <f t="shared" si="20"/>
        <v>10</v>
      </c>
      <c r="H67" s="2" t="s">
        <v>1116</v>
      </c>
      <c r="I67" s="38">
        <v>1</v>
      </c>
      <c r="J67" s="2" t="s">
        <v>1116</v>
      </c>
      <c r="K67" s="38">
        <f t="shared" si="22"/>
        <v>1.5</v>
      </c>
      <c r="L67" s="2" t="s">
        <v>1223</v>
      </c>
      <c r="M67" s="38">
        <f t="shared" si="27"/>
        <v>13</v>
      </c>
      <c r="N67" s="2" t="s">
        <v>1116</v>
      </c>
      <c r="O67" s="38">
        <v>2</v>
      </c>
      <c r="P67" s="2" t="s">
        <v>1116</v>
      </c>
      <c r="Q67" s="38">
        <f t="shared" si="23"/>
        <v>2.6</v>
      </c>
      <c r="R67" s="2" t="s">
        <v>1223</v>
      </c>
      <c r="S67" s="38">
        <f t="shared" si="28"/>
        <v>15</v>
      </c>
      <c r="T67" s="2" t="s">
        <v>1116</v>
      </c>
      <c r="U67" s="38">
        <v>3</v>
      </c>
      <c r="V67" s="2" t="s">
        <v>1116</v>
      </c>
      <c r="W67" s="38">
        <f t="shared" si="24"/>
        <v>3.5</v>
      </c>
      <c r="X67" s="41"/>
      <c r="Y67" s="41"/>
      <c r="Z67" s="41"/>
      <c r="AA67" s="41"/>
      <c r="AC67" s="1">
        <f t="shared" si="25"/>
        <v>6</v>
      </c>
      <c r="AD67" s="1" t="s">
        <v>1116</v>
      </c>
      <c r="AE67" s="1">
        <v>30001</v>
      </c>
      <c r="AF67" s="1" t="s">
        <v>1116</v>
      </c>
      <c r="AG67" s="1">
        <v>1</v>
      </c>
      <c r="AH67" s="2" t="s">
        <v>1223</v>
      </c>
      <c r="AI67" s="2">
        <f t="shared" si="21"/>
        <v>12</v>
      </c>
      <c r="AJ67" s="1" t="s">
        <v>1116</v>
      </c>
      <c r="AK67" s="1">
        <v>30002</v>
      </c>
      <c r="AL67" s="1" t="s">
        <v>1116</v>
      </c>
      <c r="AM67" s="2">
        <v>1</v>
      </c>
      <c r="AN67" s="2" t="s">
        <v>1223</v>
      </c>
      <c r="AO67" s="2">
        <f t="shared" si="26"/>
        <v>15</v>
      </c>
      <c r="AP67" s="1" t="s">
        <v>1116</v>
      </c>
      <c r="AQ67" s="1">
        <v>30001</v>
      </c>
      <c r="AR67" s="1" t="s">
        <v>1222</v>
      </c>
      <c r="AS67" s="1">
        <v>30004</v>
      </c>
      <c r="AT67" s="1" t="s">
        <v>1116</v>
      </c>
      <c r="AU67" s="2">
        <v>1</v>
      </c>
    </row>
    <row r="68" spans="1:47">
      <c r="A68" s="1">
        <v>101</v>
      </c>
      <c r="B68" s="30" t="s">
        <v>1190</v>
      </c>
      <c r="C68" s="3">
        <v>15</v>
      </c>
      <c r="D68" s="4" t="str">
        <f t="shared" ref="D68:D97" si="29">AC68&amp;AD68&amp;AE68&amp;AF68&amp;AG68&amp;AH68&amp;AI68&amp;AJ68&amp;AK68&amp;AL68&amp;AM68&amp;AN68&amp;AO68&amp;AP68&amp;AQ68&amp;AR68&amp;AS68&amp;AT68&amp;AU68</f>
        <v>6#30001#1|12#30002#1|15#30001,30004#1</v>
      </c>
      <c r="E68" s="4" t="str">
        <f>部队设定!E68</f>
        <v>4004|2008#1006|4005#2006|1008#2004|1009</v>
      </c>
      <c r="F68" s="4" t="s">
        <v>472</v>
      </c>
      <c r="G68" s="38">
        <f t="shared" ref="G68:G97" si="30">M68-3</f>
        <v>10</v>
      </c>
      <c r="H68" s="2" t="s">
        <v>1116</v>
      </c>
      <c r="I68" s="38">
        <v>1</v>
      </c>
      <c r="J68" s="2" t="s">
        <v>1116</v>
      </c>
      <c r="K68" s="38">
        <f t="shared" si="22"/>
        <v>1.5</v>
      </c>
      <c r="L68" s="2" t="s">
        <v>1223</v>
      </c>
      <c r="M68" s="38">
        <f t="shared" si="27"/>
        <v>13</v>
      </c>
      <c r="N68" s="2" t="s">
        <v>1116</v>
      </c>
      <c r="O68" s="38">
        <v>2</v>
      </c>
      <c r="P68" s="2" t="s">
        <v>1116</v>
      </c>
      <c r="Q68" s="38">
        <f t="shared" si="23"/>
        <v>2.6</v>
      </c>
      <c r="R68" s="2" t="s">
        <v>1223</v>
      </c>
      <c r="S68" s="38">
        <f t="shared" si="28"/>
        <v>15</v>
      </c>
      <c r="T68" s="2" t="s">
        <v>1116</v>
      </c>
      <c r="U68" s="38">
        <v>3</v>
      </c>
      <c r="V68" s="2" t="s">
        <v>1116</v>
      </c>
      <c r="W68" s="38">
        <f t="shared" si="24"/>
        <v>3.5</v>
      </c>
      <c r="X68" s="41"/>
      <c r="Y68" s="41"/>
      <c r="Z68" s="41"/>
      <c r="AA68" s="41"/>
      <c r="AC68" s="1">
        <f t="shared" si="25"/>
        <v>6</v>
      </c>
      <c r="AD68" s="1" t="s">
        <v>1116</v>
      </c>
      <c r="AE68" s="1">
        <v>30001</v>
      </c>
      <c r="AF68" s="1" t="s">
        <v>1116</v>
      </c>
      <c r="AG68" s="1">
        <v>1</v>
      </c>
      <c r="AH68" s="2" t="s">
        <v>1223</v>
      </c>
      <c r="AI68" s="2">
        <f t="shared" ref="AI68:AI97" si="31">INT(C68/$AI$1)</f>
        <v>12</v>
      </c>
      <c r="AJ68" s="1" t="s">
        <v>1116</v>
      </c>
      <c r="AK68" s="1">
        <v>30002</v>
      </c>
      <c r="AL68" s="1" t="s">
        <v>1116</v>
      </c>
      <c r="AM68" s="2">
        <v>1</v>
      </c>
      <c r="AN68" s="2" t="s">
        <v>1223</v>
      </c>
      <c r="AO68" s="2">
        <f t="shared" si="26"/>
        <v>15</v>
      </c>
      <c r="AP68" s="1" t="s">
        <v>1116</v>
      </c>
      <c r="AQ68" s="1">
        <v>30001</v>
      </c>
      <c r="AR68" s="1" t="s">
        <v>1222</v>
      </c>
      <c r="AS68" s="1">
        <v>30004</v>
      </c>
      <c r="AT68" s="1" t="s">
        <v>1116</v>
      </c>
      <c r="AU68" s="2">
        <v>1</v>
      </c>
    </row>
    <row r="69" spans="1:47">
      <c r="A69" s="1">
        <v>102</v>
      </c>
      <c r="B69" s="30" t="s">
        <v>1191</v>
      </c>
      <c r="C69" s="3">
        <v>15</v>
      </c>
      <c r="D69" s="4" t="str">
        <f t="shared" si="29"/>
        <v>6#30001#1|12#30002#1|15#30001,30004#1</v>
      </c>
      <c r="E69" s="4" t="str">
        <f>部队设定!E69</f>
        <v>2008|6008#4002|2001#6009|4002#6006|4003</v>
      </c>
      <c r="F69" s="4" t="s">
        <v>472</v>
      </c>
      <c r="G69" s="38">
        <f t="shared" si="30"/>
        <v>10</v>
      </c>
      <c r="H69" s="2" t="s">
        <v>1116</v>
      </c>
      <c r="I69" s="38">
        <v>1</v>
      </c>
      <c r="J69" s="2" t="s">
        <v>1116</v>
      </c>
      <c r="K69" s="38">
        <f t="shared" ref="K69:K97" si="32">K68</f>
        <v>1.5</v>
      </c>
      <c r="L69" s="2" t="s">
        <v>1223</v>
      </c>
      <c r="M69" s="38">
        <f t="shared" si="27"/>
        <v>13</v>
      </c>
      <c r="N69" s="2" t="s">
        <v>1116</v>
      </c>
      <c r="O69" s="38">
        <v>2</v>
      </c>
      <c r="P69" s="2" t="s">
        <v>1116</v>
      </c>
      <c r="Q69" s="38">
        <f t="shared" ref="Q69:Q97" si="33">Q68</f>
        <v>2.6</v>
      </c>
      <c r="R69" s="2" t="s">
        <v>1223</v>
      </c>
      <c r="S69" s="38">
        <f t="shared" si="28"/>
        <v>15</v>
      </c>
      <c r="T69" s="2" t="s">
        <v>1116</v>
      </c>
      <c r="U69" s="38">
        <v>3</v>
      </c>
      <c r="V69" s="2" t="s">
        <v>1116</v>
      </c>
      <c r="W69" s="38">
        <f t="shared" ref="W69:W97" si="34">W68</f>
        <v>3.5</v>
      </c>
      <c r="X69" s="41"/>
      <c r="Y69" s="41"/>
      <c r="Z69" s="41"/>
      <c r="AA69" s="41"/>
      <c r="AC69" s="1">
        <f t="shared" ref="AC69:AC97" si="35">INT(C69/2.5)</f>
        <v>6</v>
      </c>
      <c r="AD69" s="1" t="s">
        <v>1116</v>
      </c>
      <c r="AE69" s="1">
        <v>30001</v>
      </c>
      <c r="AF69" s="1" t="s">
        <v>1116</v>
      </c>
      <c r="AG69" s="1">
        <v>1</v>
      </c>
      <c r="AH69" s="2" t="s">
        <v>1223</v>
      </c>
      <c r="AI69" s="2">
        <f t="shared" si="31"/>
        <v>12</v>
      </c>
      <c r="AJ69" s="1" t="s">
        <v>1116</v>
      </c>
      <c r="AK69" s="1">
        <v>30002</v>
      </c>
      <c r="AL69" s="1" t="s">
        <v>1116</v>
      </c>
      <c r="AM69" s="2">
        <v>1</v>
      </c>
      <c r="AN69" s="2" t="s">
        <v>1223</v>
      </c>
      <c r="AO69" s="2">
        <f t="shared" ref="AO69:AO97" si="36">C69</f>
        <v>15</v>
      </c>
      <c r="AP69" s="1" t="s">
        <v>1116</v>
      </c>
      <c r="AQ69" s="1">
        <v>30001</v>
      </c>
      <c r="AR69" s="1" t="s">
        <v>1222</v>
      </c>
      <c r="AS69" s="1">
        <v>30004</v>
      </c>
      <c r="AT69" s="1" t="s">
        <v>1116</v>
      </c>
      <c r="AU69" s="2">
        <v>1</v>
      </c>
    </row>
    <row r="70" spans="1:47">
      <c r="A70" s="1">
        <v>103</v>
      </c>
      <c r="B70" s="30" t="s">
        <v>1192</v>
      </c>
      <c r="C70" s="3">
        <v>15</v>
      </c>
      <c r="D70" s="4" t="str">
        <f t="shared" si="29"/>
        <v>6#30001#1|12#30002#1|15#30001,30004#1</v>
      </c>
      <c r="E70" s="4" t="str">
        <f>部队设定!E70</f>
        <v>1007|2007#3004|1009#2007|3001#2005|3008</v>
      </c>
      <c r="F70" s="4" t="s">
        <v>472</v>
      </c>
      <c r="G70" s="38">
        <f t="shared" si="30"/>
        <v>10</v>
      </c>
      <c r="H70" s="2" t="s">
        <v>1116</v>
      </c>
      <c r="I70" s="38">
        <v>1</v>
      </c>
      <c r="J70" s="2" t="s">
        <v>1116</v>
      </c>
      <c r="K70" s="38">
        <f t="shared" si="32"/>
        <v>1.5</v>
      </c>
      <c r="L70" s="2" t="s">
        <v>1223</v>
      </c>
      <c r="M70" s="38">
        <f t="shared" si="27"/>
        <v>13</v>
      </c>
      <c r="N70" s="2" t="s">
        <v>1116</v>
      </c>
      <c r="O70" s="38">
        <v>2</v>
      </c>
      <c r="P70" s="2" t="s">
        <v>1116</v>
      </c>
      <c r="Q70" s="38">
        <f t="shared" si="33"/>
        <v>2.6</v>
      </c>
      <c r="R70" s="2" t="s">
        <v>1223</v>
      </c>
      <c r="S70" s="38">
        <f t="shared" si="28"/>
        <v>15</v>
      </c>
      <c r="T70" s="2" t="s">
        <v>1116</v>
      </c>
      <c r="U70" s="38">
        <v>3</v>
      </c>
      <c r="V70" s="2" t="s">
        <v>1116</v>
      </c>
      <c r="W70" s="38">
        <f t="shared" si="34"/>
        <v>3.5</v>
      </c>
      <c r="X70" s="41"/>
      <c r="Y70" s="41"/>
      <c r="Z70" s="41"/>
      <c r="AA70" s="41"/>
      <c r="AC70" s="1">
        <f t="shared" si="35"/>
        <v>6</v>
      </c>
      <c r="AD70" s="1" t="s">
        <v>1116</v>
      </c>
      <c r="AE70" s="1">
        <v>30001</v>
      </c>
      <c r="AF70" s="1" t="s">
        <v>1116</v>
      </c>
      <c r="AG70" s="1">
        <v>1</v>
      </c>
      <c r="AH70" s="2" t="s">
        <v>1223</v>
      </c>
      <c r="AI70" s="2">
        <f t="shared" si="31"/>
        <v>12</v>
      </c>
      <c r="AJ70" s="1" t="s">
        <v>1116</v>
      </c>
      <c r="AK70" s="1">
        <v>30002</v>
      </c>
      <c r="AL70" s="1" t="s">
        <v>1116</v>
      </c>
      <c r="AM70" s="2">
        <v>1</v>
      </c>
      <c r="AN70" s="2" t="s">
        <v>1223</v>
      </c>
      <c r="AO70" s="2">
        <f t="shared" si="36"/>
        <v>15</v>
      </c>
      <c r="AP70" s="1" t="s">
        <v>1116</v>
      </c>
      <c r="AQ70" s="1">
        <v>30001</v>
      </c>
      <c r="AR70" s="1" t="s">
        <v>1222</v>
      </c>
      <c r="AS70" s="1">
        <v>30004</v>
      </c>
      <c r="AT70" s="1" t="s">
        <v>1116</v>
      </c>
      <c r="AU70" s="2">
        <v>1</v>
      </c>
    </row>
    <row r="71" spans="1:47">
      <c r="A71" s="1">
        <v>104</v>
      </c>
      <c r="B71" s="30" t="s">
        <v>1193</v>
      </c>
      <c r="C71" s="3">
        <v>15</v>
      </c>
      <c r="D71" s="4" t="str">
        <f t="shared" si="29"/>
        <v>6#30001#1|12#30002#1|15#30001,30004#1</v>
      </c>
      <c r="E71" s="4" t="str">
        <f>部队设定!E71</f>
        <v>2008|1006#6009|2008#1005|6009#1004|6007</v>
      </c>
      <c r="F71" s="4" t="s">
        <v>472</v>
      </c>
      <c r="G71" s="38">
        <f t="shared" si="30"/>
        <v>10</v>
      </c>
      <c r="H71" s="2" t="s">
        <v>1116</v>
      </c>
      <c r="I71" s="38">
        <v>1</v>
      </c>
      <c r="J71" s="2" t="s">
        <v>1116</v>
      </c>
      <c r="K71" s="38">
        <f t="shared" si="32"/>
        <v>1.5</v>
      </c>
      <c r="L71" s="2" t="s">
        <v>1223</v>
      </c>
      <c r="M71" s="38">
        <f t="shared" si="27"/>
        <v>13</v>
      </c>
      <c r="N71" s="2" t="s">
        <v>1116</v>
      </c>
      <c r="O71" s="38">
        <v>2</v>
      </c>
      <c r="P71" s="2" t="s">
        <v>1116</v>
      </c>
      <c r="Q71" s="38">
        <f t="shared" si="33"/>
        <v>2.6</v>
      </c>
      <c r="R71" s="2" t="s">
        <v>1223</v>
      </c>
      <c r="S71" s="38">
        <f t="shared" si="28"/>
        <v>15</v>
      </c>
      <c r="T71" s="2" t="s">
        <v>1116</v>
      </c>
      <c r="U71" s="38">
        <v>3</v>
      </c>
      <c r="V71" s="2" t="s">
        <v>1116</v>
      </c>
      <c r="W71" s="38">
        <f t="shared" si="34"/>
        <v>3.5</v>
      </c>
      <c r="X71" s="41"/>
      <c r="Y71" s="41"/>
      <c r="Z71" s="41"/>
      <c r="AA71" s="41"/>
      <c r="AC71" s="1">
        <f t="shared" si="35"/>
        <v>6</v>
      </c>
      <c r="AD71" s="1" t="s">
        <v>1116</v>
      </c>
      <c r="AE71" s="1">
        <v>30001</v>
      </c>
      <c r="AF71" s="1" t="s">
        <v>1116</v>
      </c>
      <c r="AG71" s="1">
        <v>1</v>
      </c>
      <c r="AH71" s="2" t="s">
        <v>1223</v>
      </c>
      <c r="AI71" s="2">
        <f t="shared" si="31"/>
        <v>12</v>
      </c>
      <c r="AJ71" s="1" t="s">
        <v>1116</v>
      </c>
      <c r="AK71" s="1">
        <v>30002</v>
      </c>
      <c r="AL71" s="1" t="s">
        <v>1116</v>
      </c>
      <c r="AM71" s="2">
        <v>1</v>
      </c>
      <c r="AN71" s="2" t="s">
        <v>1223</v>
      </c>
      <c r="AO71" s="2">
        <f t="shared" si="36"/>
        <v>15</v>
      </c>
      <c r="AP71" s="1" t="s">
        <v>1116</v>
      </c>
      <c r="AQ71" s="1">
        <v>30001</v>
      </c>
      <c r="AR71" s="1" t="s">
        <v>1222</v>
      </c>
      <c r="AS71" s="1">
        <v>30004</v>
      </c>
      <c r="AT71" s="1" t="s">
        <v>1116</v>
      </c>
      <c r="AU71" s="2">
        <v>1</v>
      </c>
    </row>
    <row r="72" spans="1:47">
      <c r="A72" s="1">
        <v>105</v>
      </c>
      <c r="B72" s="30" t="s">
        <v>1194</v>
      </c>
      <c r="C72" s="3">
        <v>15</v>
      </c>
      <c r="D72" s="4" t="str">
        <f t="shared" si="29"/>
        <v>6#30001#1|12#30002#1|15#30001,30004#1</v>
      </c>
      <c r="E72" s="4" t="str">
        <f>部队设定!E72</f>
        <v>4004|2003#4001|4008#2006|4008#2002|4003</v>
      </c>
      <c r="F72" s="4" t="s">
        <v>472</v>
      </c>
      <c r="G72" s="38">
        <f t="shared" si="30"/>
        <v>10</v>
      </c>
      <c r="H72" s="2" t="s">
        <v>1116</v>
      </c>
      <c r="I72" s="38">
        <v>1</v>
      </c>
      <c r="J72" s="2" t="s">
        <v>1116</v>
      </c>
      <c r="K72" s="38">
        <f t="shared" si="32"/>
        <v>1.5</v>
      </c>
      <c r="L72" s="2" t="s">
        <v>1223</v>
      </c>
      <c r="M72" s="38">
        <f t="shared" si="27"/>
        <v>13</v>
      </c>
      <c r="N72" s="2" t="s">
        <v>1116</v>
      </c>
      <c r="O72" s="38">
        <v>2</v>
      </c>
      <c r="P72" s="2" t="s">
        <v>1116</v>
      </c>
      <c r="Q72" s="38">
        <f t="shared" si="33"/>
        <v>2.6</v>
      </c>
      <c r="R72" s="2" t="s">
        <v>1223</v>
      </c>
      <c r="S72" s="38">
        <f t="shared" si="28"/>
        <v>15</v>
      </c>
      <c r="T72" s="2" t="s">
        <v>1116</v>
      </c>
      <c r="U72" s="38">
        <v>3</v>
      </c>
      <c r="V72" s="2" t="s">
        <v>1116</v>
      </c>
      <c r="W72" s="38">
        <f t="shared" si="34"/>
        <v>3.5</v>
      </c>
      <c r="X72" s="41"/>
      <c r="Y72" s="41"/>
      <c r="Z72" s="41"/>
      <c r="AA72" s="41"/>
      <c r="AC72" s="1">
        <f t="shared" si="35"/>
        <v>6</v>
      </c>
      <c r="AD72" s="1" t="s">
        <v>1116</v>
      </c>
      <c r="AE72" s="1">
        <v>30001</v>
      </c>
      <c r="AF72" s="1" t="s">
        <v>1116</v>
      </c>
      <c r="AG72" s="1">
        <v>1</v>
      </c>
      <c r="AH72" s="2" t="s">
        <v>1223</v>
      </c>
      <c r="AI72" s="2">
        <f t="shared" si="31"/>
        <v>12</v>
      </c>
      <c r="AJ72" s="1" t="s">
        <v>1116</v>
      </c>
      <c r="AK72" s="1">
        <v>30002</v>
      </c>
      <c r="AL72" s="1" t="s">
        <v>1116</v>
      </c>
      <c r="AM72" s="2">
        <v>1</v>
      </c>
      <c r="AN72" s="2" t="s">
        <v>1223</v>
      </c>
      <c r="AO72" s="2">
        <f t="shared" si="36"/>
        <v>15</v>
      </c>
      <c r="AP72" s="1" t="s">
        <v>1116</v>
      </c>
      <c r="AQ72" s="1">
        <v>30001</v>
      </c>
      <c r="AR72" s="1" t="s">
        <v>1222</v>
      </c>
      <c r="AS72" s="1">
        <v>30004</v>
      </c>
      <c r="AT72" s="1" t="s">
        <v>1116</v>
      </c>
      <c r="AU72" s="2">
        <v>1</v>
      </c>
    </row>
    <row r="73" spans="1:47">
      <c r="A73" s="1">
        <v>106</v>
      </c>
      <c r="B73" s="30" t="s">
        <v>1195</v>
      </c>
      <c r="C73" s="3">
        <v>15</v>
      </c>
      <c r="D73" s="4" t="str">
        <f t="shared" si="29"/>
        <v>6#30001#1|12#30002#1|15#30001,30004#1</v>
      </c>
      <c r="E73" s="4" t="str">
        <f>部队设定!E73</f>
        <v>1005|4002#6008|1008#4007|6001#4003|6003</v>
      </c>
      <c r="F73" s="4" t="s">
        <v>472</v>
      </c>
      <c r="G73" s="38">
        <f t="shared" si="30"/>
        <v>10</v>
      </c>
      <c r="H73" s="2" t="s">
        <v>1116</v>
      </c>
      <c r="I73" s="38">
        <v>1</v>
      </c>
      <c r="J73" s="2" t="s">
        <v>1116</v>
      </c>
      <c r="K73" s="38">
        <f t="shared" si="32"/>
        <v>1.5</v>
      </c>
      <c r="L73" s="2" t="s">
        <v>1223</v>
      </c>
      <c r="M73" s="38">
        <f t="shared" si="27"/>
        <v>13</v>
      </c>
      <c r="N73" s="2" t="s">
        <v>1116</v>
      </c>
      <c r="O73" s="38">
        <v>2</v>
      </c>
      <c r="P73" s="2" t="s">
        <v>1116</v>
      </c>
      <c r="Q73" s="38">
        <f t="shared" si="33"/>
        <v>2.6</v>
      </c>
      <c r="R73" s="2" t="s">
        <v>1223</v>
      </c>
      <c r="S73" s="38">
        <f t="shared" si="28"/>
        <v>15</v>
      </c>
      <c r="T73" s="2" t="s">
        <v>1116</v>
      </c>
      <c r="U73" s="38">
        <v>3</v>
      </c>
      <c r="V73" s="2" t="s">
        <v>1116</v>
      </c>
      <c r="W73" s="38">
        <f t="shared" si="34"/>
        <v>3.5</v>
      </c>
      <c r="X73" s="41"/>
      <c r="Y73" s="41"/>
      <c r="Z73" s="41"/>
      <c r="AA73" s="41"/>
      <c r="AC73" s="1">
        <f t="shared" si="35"/>
        <v>6</v>
      </c>
      <c r="AD73" s="1" t="s">
        <v>1116</v>
      </c>
      <c r="AE73" s="1">
        <v>30001</v>
      </c>
      <c r="AF73" s="1" t="s">
        <v>1116</v>
      </c>
      <c r="AG73" s="1">
        <v>1</v>
      </c>
      <c r="AH73" s="2" t="s">
        <v>1223</v>
      </c>
      <c r="AI73" s="2">
        <f t="shared" si="31"/>
        <v>12</v>
      </c>
      <c r="AJ73" s="1" t="s">
        <v>1116</v>
      </c>
      <c r="AK73" s="1">
        <v>30002</v>
      </c>
      <c r="AL73" s="1" t="s">
        <v>1116</v>
      </c>
      <c r="AM73" s="2">
        <v>1</v>
      </c>
      <c r="AN73" s="2" t="s">
        <v>1223</v>
      </c>
      <c r="AO73" s="2">
        <f t="shared" si="36"/>
        <v>15</v>
      </c>
      <c r="AP73" s="1" t="s">
        <v>1116</v>
      </c>
      <c r="AQ73" s="1">
        <v>30001</v>
      </c>
      <c r="AR73" s="1" t="s">
        <v>1222</v>
      </c>
      <c r="AS73" s="1">
        <v>30004</v>
      </c>
      <c r="AT73" s="1" t="s">
        <v>1116</v>
      </c>
      <c r="AU73" s="2">
        <v>1</v>
      </c>
    </row>
    <row r="74" spans="1:47">
      <c r="A74" s="1">
        <v>111</v>
      </c>
      <c r="B74" s="30" t="s">
        <v>1196</v>
      </c>
      <c r="C74" s="3">
        <v>15</v>
      </c>
      <c r="D74" s="4" t="str">
        <f t="shared" si="29"/>
        <v>6#30001#1|12#30002#1|15#30001,30004#1</v>
      </c>
      <c r="E74" s="4" t="str">
        <f>部队设定!E74</f>
        <v>4206|4208#4105|4201#4006|4203#4007|4204</v>
      </c>
      <c r="F74" s="4" t="s">
        <v>472</v>
      </c>
      <c r="G74" s="38">
        <f t="shared" si="30"/>
        <v>10</v>
      </c>
      <c r="H74" s="2" t="s">
        <v>1116</v>
      </c>
      <c r="I74" s="38">
        <v>1</v>
      </c>
      <c r="J74" s="2" t="s">
        <v>1116</v>
      </c>
      <c r="K74" s="38">
        <f t="shared" si="32"/>
        <v>1.5</v>
      </c>
      <c r="L74" s="2" t="s">
        <v>1223</v>
      </c>
      <c r="M74" s="38">
        <f t="shared" si="27"/>
        <v>13</v>
      </c>
      <c r="N74" s="2" t="s">
        <v>1116</v>
      </c>
      <c r="O74" s="38">
        <v>2</v>
      </c>
      <c r="P74" s="2" t="s">
        <v>1116</v>
      </c>
      <c r="Q74" s="38">
        <f t="shared" si="33"/>
        <v>2.6</v>
      </c>
      <c r="R74" s="2" t="s">
        <v>1223</v>
      </c>
      <c r="S74" s="38">
        <f t="shared" si="28"/>
        <v>15</v>
      </c>
      <c r="T74" s="2" t="s">
        <v>1116</v>
      </c>
      <c r="U74" s="38">
        <v>3</v>
      </c>
      <c r="V74" s="2" t="s">
        <v>1116</v>
      </c>
      <c r="W74" s="38">
        <f t="shared" si="34"/>
        <v>3.5</v>
      </c>
      <c r="X74" s="41"/>
      <c r="Y74" s="41"/>
      <c r="Z74" s="41"/>
      <c r="AA74" s="41"/>
      <c r="AC74" s="1">
        <f t="shared" si="35"/>
        <v>6</v>
      </c>
      <c r="AD74" s="1" t="s">
        <v>1116</v>
      </c>
      <c r="AE74" s="1">
        <v>30001</v>
      </c>
      <c r="AF74" s="1" t="s">
        <v>1116</v>
      </c>
      <c r="AG74" s="1">
        <v>1</v>
      </c>
      <c r="AH74" s="2" t="s">
        <v>1223</v>
      </c>
      <c r="AI74" s="2">
        <f t="shared" si="31"/>
        <v>12</v>
      </c>
      <c r="AJ74" s="1" t="s">
        <v>1116</v>
      </c>
      <c r="AK74" s="1">
        <v>30002</v>
      </c>
      <c r="AL74" s="1" t="s">
        <v>1116</v>
      </c>
      <c r="AM74" s="2">
        <v>1</v>
      </c>
      <c r="AN74" s="2" t="s">
        <v>1223</v>
      </c>
      <c r="AO74" s="2">
        <f t="shared" si="36"/>
        <v>15</v>
      </c>
      <c r="AP74" s="1" t="s">
        <v>1116</v>
      </c>
      <c r="AQ74" s="1">
        <v>30001</v>
      </c>
      <c r="AR74" s="1" t="s">
        <v>1222</v>
      </c>
      <c r="AS74" s="1">
        <v>30004</v>
      </c>
      <c r="AT74" s="1" t="s">
        <v>1116</v>
      </c>
      <c r="AU74" s="2">
        <v>1</v>
      </c>
    </row>
    <row r="75" spans="1:47">
      <c r="A75" s="1">
        <v>112</v>
      </c>
      <c r="B75" s="30" t="s">
        <v>1197</v>
      </c>
      <c r="C75" s="3">
        <v>15</v>
      </c>
      <c r="D75" s="4" t="str">
        <f t="shared" si="29"/>
        <v>6#30001#1|12#30002#1|15#30001,30004#1</v>
      </c>
      <c r="E75" s="4" t="str">
        <f>部队设定!E75</f>
        <v>5206|5205#5208|6205#5207|1202#2204|2206</v>
      </c>
      <c r="F75" s="4" t="s">
        <v>472</v>
      </c>
      <c r="G75" s="38">
        <f t="shared" si="30"/>
        <v>10</v>
      </c>
      <c r="H75" s="2" t="s">
        <v>1116</v>
      </c>
      <c r="I75" s="38">
        <v>1</v>
      </c>
      <c r="J75" s="2" t="s">
        <v>1116</v>
      </c>
      <c r="K75" s="38">
        <f t="shared" si="32"/>
        <v>1.5</v>
      </c>
      <c r="L75" s="2" t="s">
        <v>1223</v>
      </c>
      <c r="M75" s="38">
        <f t="shared" si="27"/>
        <v>13</v>
      </c>
      <c r="N75" s="2" t="s">
        <v>1116</v>
      </c>
      <c r="O75" s="38">
        <v>2</v>
      </c>
      <c r="P75" s="2" t="s">
        <v>1116</v>
      </c>
      <c r="Q75" s="38">
        <f t="shared" si="33"/>
        <v>2.6</v>
      </c>
      <c r="R75" s="2" t="s">
        <v>1223</v>
      </c>
      <c r="S75" s="38">
        <f t="shared" si="28"/>
        <v>15</v>
      </c>
      <c r="T75" s="2" t="s">
        <v>1116</v>
      </c>
      <c r="U75" s="38">
        <v>3</v>
      </c>
      <c r="V75" s="2" t="s">
        <v>1116</v>
      </c>
      <c r="W75" s="38">
        <f t="shared" si="34"/>
        <v>3.5</v>
      </c>
      <c r="X75" s="41"/>
      <c r="Y75" s="41"/>
      <c r="Z75" s="41"/>
      <c r="AA75" s="41"/>
      <c r="AC75" s="1">
        <f t="shared" si="35"/>
        <v>6</v>
      </c>
      <c r="AD75" s="1" t="s">
        <v>1116</v>
      </c>
      <c r="AE75" s="1">
        <v>30001</v>
      </c>
      <c r="AF75" s="1" t="s">
        <v>1116</v>
      </c>
      <c r="AG75" s="1">
        <v>1</v>
      </c>
      <c r="AH75" s="2" t="s">
        <v>1223</v>
      </c>
      <c r="AI75" s="2">
        <f t="shared" si="31"/>
        <v>12</v>
      </c>
      <c r="AJ75" s="1" t="s">
        <v>1116</v>
      </c>
      <c r="AK75" s="1">
        <v>30002</v>
      </c>
      <c r="AL75" s="1" t="s">
        <v>1116</v>
      </c>
      <c r="AM75" s="2">
        <v>1</v>
      </c>
      <c r="AN75" s="2" t="s">
        <v>1223</v>
      </c>
      <c r="AO75" s="2">
        <f t="shared" si="36"/>
        <v>15</v>
      </c>
      <c r="AP75" s="1" t="s">
        <v>1116</v>
      </c>
      <c r="AQ75" s="1">
        <v>30001</v>
      </c>
      <c r="AR75" s="1" t="s">
        <v>1222</v>
      </c>
      <c r="AS75" s="1">
        <v>30004</v>
      </c>
      <c r="AT75" s="1" t="s">
        <v>1116</v>
      </c>
      <c r="AU75" s="2">
        <v>1</v>
      </c>
    </row>
    <row r="76" spans="1:47">
      <c r="A76" s="1">
        <v>113</v>
      </c>
      <c r="B76" s="30" t="s">
        <v>1198</v>
      </c>
      <c r="C76" s="3">
        <v>15</v>
      </c>
      <c r="D76" s="4" t="str">
        <f t="shared" si="29"/>
        <v>6#30001#1|12#30002#1|15#30001,30004#1</v>
      </c>
      <c r="E76" s="4" t="str">
        <f>部队设定!E76</f>
        <v>2204|2203#3208|3202#6109|3001#2205|3108</v>
      </c>
      <c r="F76" s="4" t="s">
        <v>472</v>
      </c>
      <c r="G76" s="38">
        <f t="shared" si="30"/>
        <v>10</v>
      </c>
      <c r="H76" s="2" t="s">
        <v>1116</v>
      </c>
      <c r="I76" s="38">
        <v>1</v>
      </c>
      <c r="J76" s="2" t="s">
        <v>1116</v>
      </c>
      <c r="K76" s="38">
        <f t="shared" si="32"/>
        <v>1.5</v>
      </c>
      <c r="L76" s="2" t="s">
        <v>1223</v>
      </c>
      <c r="M76" s="38">
        <f t="shared" si="27"/>
        <v>13</v>
      </c>
      <c r="N76" s="2" t="s">
        <v>1116</v>
      </c>
      <c r="O76" s="38">
        <v>2</v>
      </c>
      <c r="P76" s="2" t="s">
        <v>1116</v>
      </c>
      <c r="Q76" s="38">
        <f t="shared" si="33"/>
        <v>2.6</v>
      </c>
      <c r="R76" s="2" t="s">
        <v>1223</v>
      </c>
      <c r="S76" s="38">
        <f t="shared" si="28"/>
        <v>15</v>
      </c>
      <c r="T76" s="2" t="s">
        <v>1116</v>
      </c>
      <c r="U76" s="38">
        <v>3</v>
      </c>
      <c r="V76" s="2" t="s">
        <v>1116</v>
      </c>
      <c r="W76" s="38">
        <f t="shared" si="34"/>
        <v>3.5</v>
      </c>
      <c r="X76" s="41"/>
      <c r="Y76" s="41"/>
      <c r="Z76" s="41"/>
      <c r="AA76" s="41"/>
      <c r="AC76" s="1">
        <f t="shared" si="35"/>
        <v>6</v>
      </c>
      <c r="AD76" s="1" t="s">
        <v>1116</v>
      </c>
      <c r="AE76" s="1">
        <v>30001</v>
      </c>
      <c r="AF76" s="1" t="s">
        <v>1116</v>
      </c>
      <c r="AG76" s="1">
        <v>1</v>
      </c>
      <c r="AH76" s="2" t="s">
        <v>1223</v>
      </c>
      <c r="AI76" s="2">
        <f t="shared" si="31"/>
        <v>12</v>
      </c>
      <c r="AJ76" s="1" t="s">
        <v>1116</v>
      </c>
      <c r="AK76" s="1">
        <v>30002</v>
      </c>
      <c r="AL76" s="1" t="s">
        <v>1116</v>
      </c>
      <c r="AM76" s="2">
        <v>1</v>
      </c>
      <c r="AN76" s="2" t="s">
        <v>1223</v>
      </c>
      <c r="AO76" s="2">
        <f t="shared" si="36"/>
        <v>15</v>
      </c>
      <c r="AP76" s="1" t="s">
        <v>1116</v>
      </c>
      <c r="AQ76" s="1">
        <v>30001</v>
      </c>
      <c r="AR76" s="1" t="s">
        <v>1222</v>
      </c>
      <c r="AS76" s="1">
        <v>30004</v>
      </c>
      <c r="AT76" s="1" t="s">
        <v>1116</v>
      </c>
      <c r="AU76" s="2">
        <v>1</v>
      </c>
    </row>
    <row r="77" spans="1:47">
      <c r="A77" s="1">
        <v>114</v>
      </c>
      <c r="B77" s="30" t="s">
        <v>1199</v>
      </c>
      <c r="C77" s="3">
        <v>15</v>
      </c>
      <c r="D77" s="4" t="str">
        <f t="shared" si="29"/>
        <v>6#30001#1|12#30002#1|15#30001,30004#1</v>
      </c>
      <c r="E77" s="4" t="str">
        <f>部队设定!E77</f>
        <v>2108|1106#6109|2108#1207|6109#1104|6207</v>
      </c>
      <c r="F77" s="4" t="s">
        <v>472</v>
      </c>
      <c r="G77" s="38">
        <f t="shared" si="30"/>
        <v>10</v>
      </c>
      <c r="H77" s="2" t="s">
        <v>1116</v>
      </c>
      <c r="I77" s="38">
        <v>1</v>
      </c>
      <c r="J77" s="2" t="s">
        <v>1116</v>
      </c>
      <c r="K77" s="38">
        <f t="shared" si="32"/>
        <v>1.5</v>
      </c>
      <c r="L77" s="2" t="s">
        <v>1223</v>
      </c>
      <c r="M77" s="38">
        <f t="shared" si="27"/>
        <v>13</v>
      </c>
      <c r="N77" s="2" t="s">
        <v>1116</v>
      </c>
      <c r="O77" s="38">
        <v>2</v>
      </c>
      <c r="P77" s="2" t="s">
        <v>1116</v>
      </c>
      <c r="Q77" s="38">
        <f t="shared" si="33"/>
        <v>2.6</v>
      </c>
      <c r="R77" s="2" t="s">
        <v>1223</v>
      </c>
      <c r="S77" s="38">
        <f t="shared" si="28"/>
        <v>15</v>
      </c>
      <c r="T77" s="2" t="s">
        <v>1116</v>
      </c>
      <c r="U77" s="38">
        <v>3</v>
      </c>
      <c r="V77" s="2" t="s">
        <v>1116</v>
      </c>
      <c r="W77" s="38">
        <f t="shared" si="34"/>
        <v>3.5</v>
      </c>
      <c r="X77" s="41"/>
      <c r="Y77" s="41"/>
      <c r="Z77" s="41"/>
      <c r="AA77" s="41"/>
      <c r="AC77" s="1">
        <f t="shared" si="35"/>
        <v>6</v>
      </c>
      <c r="AD77" s="1" t="s">
        <v>1116</v>
      </c>
      <c r="AE77" s="1">
        <v>30001</v>
      </c>
      <c r="AF77" s="1" t="s">
        <v>1116</v>
      </c>
      <c r="AG77" s="1">
        <v>1</v>
      </c>
      <c r="AH77" s="2" t="s">
        <v>1223</v>
      </c>
      <c r="AI77" s="2">
        <f t="shared" si="31"/>
        <v>12</v>
      </c>
      <c r="AJ77" s="1" t="s">
        <v>1116</v>
      </c>
      <c r="AK77" s="1">
        <v>30002</v>
      </c>
      <c r="AL77" s="1" t="s">
        <v>1116</v>
      </c>
      <c r="AM77" s="2">
        <v>1</v>
      </c>
      <c r="AN77" s="2" t="s">
        <v>1223</v>
      </c>
      <c r="AO77" s="2">
        <f t="shared" si="36"/>
        <v>15</v>
      </c>
      <c r="AP77" s="1" t="s">
        <v>1116</v>
      </c>
      <c r="AQ77" s="1">
        <v>30001</v>
      </c>
      <c r="AR77" s="1" t="s">
        <v>1222</v>
      </c>
      <c r="AS77" s="1">
        <v>30004</v>
      </c>
      <c r="AT77" s="1" t="s">
        <v>1116</v>
      </c>
      <c r="AU77" s="2">
        <v>1</v>
      </c>
    </row>
    <row r="78" spans="1:47">
      <c r="A78" s="1">
        <v>115</v>
      </c>
      <c r="B78" s="30" t="s">
        <v>1200</v>
      </c>
      <c r="C78" s="3">
        <v>15</v>
      </c>
      <c r="D78" s="4" t="str">
        <f t="shared" si="29"/>
        <v>6#30001#1|12#30002#1|15#30001,30004#1</v>
      </c>
      <c r="E78" s="4" t="str">
        <f>部队设定!E78</f>
        <v>4104|2003#4101|4008#2006|4008#2002|4003</v>
      </c>
      <c r="F78" s="4" t="s">
        <v>472</v>
      </c>
      <c r="G78" s="38">
        <f t="shared" si="30"/>
        <v>10</v>
      </c>
      <c r="H78" s="2" t="s">
        <v>1116</v>
      </c>
      <c r="I78" s="38">
        <v>1</v>
      </c>
      <c r="J78" s="2" t="s">
        <v>1116</v>
      </c>
      <c r="K78" s="38">
        <f t="shared" si="32"/>
        <v>1.5</v>
      </c>
      <c r="L78" s="2" t="s">
        <v>1223</v>
      </c>
      <c r="M78" s="38">
        <f t="shared" si="27"/>
        <v>13</v>
      </c>
      <c r="N78" s="2" t="s">
        <v>1116</v>
      </c>
      <c r="O78" s="38">
        <v>2</v>
      </c>
      <c r="P78" s="2" t="s">
        <v>1116</v>
      </c>
      <c r="Q78" s="38">
        <f t="shared" si="33"/>
        <v>2.6</v>
      </c>
      <c r="R78" s="2" t="s">
        <v>1223</v>
      </c>
      <c r="S78" s="38">
        <f t="shared" si="28"/>
        <v>15</v>
      </c>
      <c r="T78" s="2" t="s">
        <v>1116</v>
      </c>
      <c r="U78" s="38">
        <v>3</v>
      </c>
      <c r="V78" s="2" t="s">
        <v>1116</v>
      </c>
      <c r="W78" s="38">
        <f t="shared" si="34"/>
        <v>3.5</v>
      </c>
      <c r="X78" s="41"/>
      <c r="Y78" s="41"/>
      <c r="Z78" s="41"/>
      <c r="AA78" s="41"/>
      <c r="AC78" s="1">
        <f t="shared" si="35"/>
        <v>6</v>
      </c>
      <c r="AD78" s="1" t="s">
        <v>1116</v>
      </c>
      <c r="AE78" s="1">
        <v>30001</v>
      </c>
      <c r="AF78" s="1" t="s">
        <v>1116</v>
      </c>
      <c r="AG78" s="1">
        <v>1</v>
      </c>
      <c r="AH78" s="2" t="s">
        <v>1223</v>
      </c>
      <c r="AI78" s="2">
        <f t="shared" si="31"/>
        <v>12</v>
      </c>
      <c r="AJ78" s="1" t="s">
        <v>1116</v>
      </c>
      <c r="AK78" s="1">
        <v>30002</v>
      </c>
      <c r="AL78" s="1" t="s">
        <v>1116</v>
      </c>
      <c r="AM78" s="2">
        <v>1</v>
      </c>
      <c r="AN78" s="2" t="s">
        <v>1223</v>
      </c>
      <c r="AO78" s="2">
        <f t="shared" si="36"/>
        <v>15</v>
      </c>
      <c r="AP78" s="1" t="s">
        <v>1116</v>
      </c>
      <c r="AQ78" s="1">
        <v>30001</v>
      </c>
      <c r="AR78" s="1" t="s">
        <v>1222</v>
      </c>
      <c r="AS78" s="1">
        <v>30004</v>
      </c>
      <c r="AT78" s="1" t="s">
        <v>1116</v>
      </c>
      <c r="AU78" s="2">
        <v>1</v>
      </c>
    </row>
    <row r="79" spans="1:47">
      <c r="A79" s="1">
        <v>116</v>
      </c>
      <c r="B79" s="30" t="s">
        <v>1201</v>
      </c>
      <c r="C79" s="3">
        <v>15</v>
      </c>
      <c r="D79" s="4" t="str">
        <f t="shared" si="29"/>
        <v>6#30001#1|12#30002#1|15#30001,30004#1</v>
      </c>
      <c r="E79" s="4" t="str">
        <f>部队设定!E79</f>
        <v>1205|4002#6008|1008#4007|6001#4003|6003</v>
      </c>
      <c r="F79" s="4" t="s">
        <v>472</v>
      </c>
      <c r="G79" s="38">
        <f t="shared" si="30"/>
        <v>10</v>
      </c>
      <c r="H79" s="2" t="s">
        <v>1116</v>
      </c>
      <c r="I79" s="38">
        <v>1</v>
      </c>
      <c r="J79" s="2" t="s">
        <v>1116</v>
      </c>
      <c r="K79" s="38">
        <f t="shared" si="32"/>
        <v>1.5</v>
      </c>
      <c r="L79" s="2" t="s">
        <v>1223</v>
      </c>
      <c r="M79" s="38">
        <f t="shared" si="27"/>
        <v>13</v>
      </c>
      <c r="N79" s="2" t="s">
        <v>1116</v>
      </c>
      <c r="O79" s="38">
        <v>2</v>
      </c>
      <c r="P79" s="2" t="s">
        <v>1116</v>
      </c>
      <c r="Q79" s="38">
        <f t="shared" si="33"/>
        <v>2.6</v>
      </c>
      <c r="R79" s="2" t="s">
        <v>1223</v>
      </c>
      <c r="S79" s="38">
        <f t="shared" si="28"/>
        <v>15</v>
      </c>
      <c r="T79" s="2" t="s">
        <v>1116</v>
      </c>
      <c r="U79" s="38">
        <v>3</v>
      </c>
      <c r="V79" s="2" t="s">
        <v>1116</v>
      </c>
      <c r="W79" s="38">
        <f t="shared" si="34"/>
        <v>3.5</v>
      </c>
      <c r="X79" s="41"/>
      <c r="Y79" s="41"/>
      <c r="Z79" s="41"/>
      <c r="AA79" s="41"/>
      <c r="AC79" s="1">
        <f t="shared" si="35"/>
        <v>6</v>
      </c>
      <c r="AD79" s="1" t="s">
        <v>1116</v>
      </c>
      <c r="AE79" s="1">
        <v>30001</v>
      </c>
      <c r="AF79" s="1" t="s">
        <v>1116</v>
      </c>
      <c r="AG79" s="1">
        <v>1</v>
      </c>
      <c r="AH79" s="2" t="s">
        <v>1223</v>
      </c>
      <c r="AI79" s="2">
        <f t="shared" si="31"/>
        <v>12</v>
      </c>
      <c r="AJ79" s="1" t="s">
        <v>1116</v>
      </c>
      <c r="AK79" s="1">
        <v>30002</v>
      </c>
      <c r="AL79" s="1" t="s">
        <v>1116</v>
      </c>
      <c r="AM79" s="2">
        <v>1</v>
      </c>
      <c r="AN79" s="2" t="s">
        <v>1223</v>
      </c>
      <c r="AO79" s="2">
        <f t="shared" si="36"/>
        <v>15</v>
      </c>
      <c r="AP79" s="1" t="s">
        <v>1116</v>
      </c>
      <c r="AQ79" s="1">
        <v>30001</v>
      </c>
      <c r="AR79" s="1" t="s">
        <v>1222</v>
      </c>
      <c r="AS79" s="1">
        <v>30004</v>
      </c>
      <c r="AT79" s="1" t="s">
        <v>1116</v>
      </c>
      <c r="AU79" s="2">
        <v>1</v>
      </c>
    </row>
    <row r="80" spans="1:47">
      <c r="A80" s="1">
        <v>121</v>
      </c>
      <c r="B80" s="30" t="s">
        <v>1202</v>
      </c>
      <c r="C80" s="3">
        <v>15</v>
      </c>
      <c r="D80" s="4" t="str">
        <f t="shared" si="29"/>
        <v>6#30001#1|12#30002#1|15#30001,30004#1</v>
      </c>
      <c r="E80" s="4" t="str">
        <f>部队设定!E80</f>
        <v>4004|2008#1006|4005#2006|1008#2004|1009</v>
      </c>
      <c r="F80" s="4" t="s">
        <v>472</v>
      </c>
      <c r="G80" s="38">
        <f t="shared" si="30"/>
        <v>10</v>
      </c>
      <c r="H80" s="2" t="s">
        <v>1116</v>
      </c>
      <c r="I80" s="38">
        <v>1</v>
      </c>
      <c r="J80" s="2" t="s">
        <v>1116</v>
      </c>
      <c r="K80" s="38">
        <f t="shared" si="32"/>
        <v>1.5</v>
      </c>
      <c r="L80" s="2" t="s">
        <v>1223</v>
      </c>
      <c r="M80" s="38">
        <f t="shared" si="27"/>
        <v>13</v>
      </c>
      <c r="N80" s="2" t="s">
        <v>1116</v>
      </c>
      <c r="O80" s="38">
        <v>2</v>
      </c>
      <c r="P80" s="2" t="s">
        <v>1116</v>
      </c>
      <c r="Q80" s="38">
        <f t="shared" si="33"/>
        <v>2.6</v>
      </c>
      <c r="R80" s="2" t="s">
        <v>1223</v>
      </c>
      <c r="S80" s="38">
        <f t="shared" si="28"/>
        <v>15</v>
      </c>
      <c r="T80" s="2" t="s">
        <v>1116</v>
      </c>
      <c r="U80" s="38">
        <v>3</v>
      </c>
      <c r="V80" s="2" t="s">
        <v>1116</v>
      </c>
      <c r="W80" s="38">
        <f t="shared" si="34"/>
        <v>3.5</v>
      </c>
      <c r="X80" s="41"/>
      <c r="Y80" s="41"/>
      <c r="Z80" s="41"/>
      <c r="AA80" s="41"/>
      <c r="AC80" s="1">
        <f t="shared" si="35"/>
        <v>6</v>
      </c>
      <c r="AD80" s="1" t="s">
        <v>1116</v>
      </c>
      <c r="AE80" s="1">
        <v>30001</v>
      </c>
      <c r="AF80" s="1" t="s">
        <v>1116</v>
      </c>
      <c r="AG80" s="1">
        <v>1</v>
      </c>
      <c r="AH80" s="2" t="s">
        <v>1223</v>
      </c>
      <c r="AI80" s="2">
        <f t="shared" si="31"/>
        <v>12</v>
      </c>
      <c r="AJ80" s="1" t="s">
        <v>1116</v>
      </c>
      <c r="AK80" s="1">
        <v>30002</v>
      </c>
      <c r="AL80" s="1" t="s">
        <v>1116</v>
      </c>
      <c r="AM80" s="2">
        <v>1</v>
      </c>
      <c r="AN80" s="2" t="s">
        <v>1223</v>
      </c>
      <c r="AO80" s="2">
        <f t="shared" si="36"/>
        <v>15</v>
      </c>
      <c r="AP80" s="1" t="s">
        <v>1116</v>
      </c>
      <c r="AQ80" s="1">
        <v>30001</v>
      </c>
      <c r="AR80" s="1" t="s">
        <v>1222</v>
      </c>
      <c r="AS80" s="1">
        <v>30004</v>
      </c>
      <c r="AT80" s="1" t="s">
        <v>1116</v>
      </c>
      <c r="AU80" s="2">
        <v>1</v>
      </c>
    </row>
    <row r="81" spans="1:47">
      <c r="A81" s="1">
        <v>122</v>
      </c>
      <c r="B81" s="30" t="s">
        <v>1203</v>
      </c>
      <c r="C81" s="3">
        <v>15</v>
      </c>
      <c r="D81" s="4" t="str">
        <f t="shared" si="29"/>
        <v>6#30001#1|12#30002#1|15#30001,30004#1</v>
      </c>
      <c r="E81" s="4" t="str">
        <f>部队设定!E81</f>
        <v>2208|6208#4202|2101#6109|4102#6106|4103</v>
      </c>
      <c r="F81" s="4" t="s">
        <v>472</v>
      </c>
      <c r="G81" s="38">
        <f t="shared" si="30"/>
        <v>10</v>
      </c>
      <c r="H81" s="2" t="s">
        <v>1116</v>
      </c>
      <c r="I81" s="38">
        <v>1</v>
      </c>
      <c r="J81" s="2" t="s">
        <v>1116</v>
      </c>
      <c r="K81" s="38">
        <f t="shared" si="32"/>
        <v>1.5</v>
      </c>
      <c r="L81" s="2" t="s">
        <v>1223</v>
      </c>
      <c r="M81" s="38">
        <f t="shared" si="27"/>
        <v>13</v>
      </c>
      <c r="N81" s="2" t="s">
        <v>1116</v>
      </c>
      <c r="O81" s="38">
        <v>2</v>
      </c>
      <c r="P81" s="2" t="s">
        <v>1116</v>
      </c>
      <c r="Q81" s="38">
        <f t="shared" si="33"/>
        <v>2.6</v>
      </c>
      <c r="R81" s="2" t="s">
        <v>1223</v>
      </c>
      <c r="S81" s="38">
        <f t="shared" si="28"/>
        <v>15</v>
      </c>
      <c r="T81" s="2" t="s">
        <v>1116</v>
      </c>
      <c r="U81" s="38">
        <v>3</v>
      </c>
      <c r="V81" s="2" t="s">
        <v>1116</v>
      </c>
      <c r="W81" s="38">
        <f t="shared" si="34"/>
        <v>3.5</v>
      </c>
      <c r="X81" s="41"/>
      <c r="Y81" s="41"/>
      <c r="Z81" s="41"/>
      <c r="AA81" s="41"/>
      <c r="AC81" s="1">
        <f t="shared" si="35"/>
        <v>6</v>
      </c>
      <c r="AD81" s="1" t="s">
        <v>1116</v>
      </c>
      <c r="AE81" s="1">
        <v>30001</v>
      </c>
      <c r="AF81" s="1" t="s">
        <v>1116</v>
      </c>
      <c r="AG81" s="1">
        <v>1</v>
      </c>
      <c r="AH81" s="2" t="s">
        <v>1223</v>
      </c>
      <c r="AI81" s="2">
        <f t="shared" si="31"/>
        <v>12</v>
      </c>
      <c r="AJ81" s="1" t="s">
        <v>1116</v>
      </c>
      <c r="AK81" s="1">
        <v>30002</v>
      </c>
      <c r="AL81" s="1" t="s">
        <v>1116</v>
      </c>
      <c r="AM81" s="2">
        <v>1</v>
      </c>
      <c r="AN81" s="2" t="s">
        <v>1223</v>
      </c>
      <c r="AO81" s="2">
        <f t="shared" si="36"/>
        <v>15</v>
      </c>
      <c r="AP81" s="1" t="s">
        <v>1116</v>
      </c>
      <c r="AQ81" s="1">
        <v>30001</v>
      </c>
      <c r="AR81" s="1" t="s">
        <v>1222</v>
      </c>
      <c r="AS81" s="1">
        <v>30004</v>
      </c>
      <c r="AT81" s="1" t="s">
        <v>1116</v>
      </c>
      <c r="AU81" s="2">
        <v>1</v>
      </c>
    </row>
    <row r="82" spans="1:47">
      <c r="A82" s="1">
        <v>123</v>
      </c>
      <c r="B82" s="30" t="s">
        <v>1204</v>
      </c>
      <c r="C82" s="3">
        <v>15</v>
      </c>
      <c r="D82" s="4" t="str">
        <f t="shared" si="29"/>
        <v>6#30001#1|12#30002#1|15#30001,30004#1</v>
      </c>
      <c r="E82" s="4" t="str">
        <f>部队设定!E82</f>
        <v>3207|3107#3104|1208#2207|3201#2105|3208</v>
      </c>
      <c r="F82" s="4" t="s">
        <v>472</v>
      </c>
      <c r="G82" s="38">
        <f t="shared" si="30"/>
        <v>10</v>
      </c>
      <c r="H82" s="2" t="s">
        <v>1116</v>
      </c>
      <c r="I82" s="38">
        <v>1</v>
      </c>
      <c r="J82" s="2" t="s">
        <v>1116</v>
      </c>
      <c r="K82" s="38">
        <f t="shared" si="32"/>
        <v>1.5</v>
      </c>
      <c r="L82" s="2" t="s">
        <v>1223</v>
      </c>
      <c r="M82" s="38">
        <f t="shared" ref="M82:M97" si="37">C82-2</f>
        <v>13</v>
      </c>
      <c r="N82" s="2" t="s">
        <v>1116</v>
      </c>
      <c r="O82" s="38">
        <v>2</v>
      </c>
      <c r="P82" s="2" t="s">
        <v>1116</v>
      </c>
      <c r="Q82" s="38">
        <f t="shared" si="33"/>
        <v>2.6</v>
      </c>
      <c r="R82" s="2" t="s">
        <v>1223</v>
      </c>
      <c r="S82" s="38">
        <f t="shared" ref="S82:S97" si="38">C82</f>
        <v>15</v>
      </c>
      <c r="T82" s="2" t="s">
        <v>1116</v>
      </c>
      <c r="U82" s="38">
        <v>3</v>
      </c>
      <c r="V82" s="2" t="s">
        <v>1116</v>
      </c>
      <c r="W82" s="38">
        <f t="shared" si="34"/>
        <v>3.5</v>
      </c>
      <c r="X82" s="41"/>
      <c r="Y82" s="41"/>
      <c r="Z82" s="41"/>
      <c r="AA82" s="41"/>
      <c r="AC82" s="1">
        <f t="shared" si="35"/>
        <v>6</v>
      </c>
      <c r="AD82" s="1" t="s">
        <v>1116</v>
      </c>
      <c r="AE82" s="1">
        <v>30001</v>
      </c>
      <c r="AF82" s="1" t="s">
        <v>1116</v>
      </c>
      <c r="AG82" s="1">
        <v>1</v>
      </c>
      <c r="AH82" s="2" t="s">
        <v>1223</v>
      </c>
      <c r="AI82" s="2">
        <f t="shared" si="31"/>
        <v>12</v>
      </c>
      <c r="AJ82" s="1" t="s">
        <v>1116</v>
      </c>
      <c r="AK82" s="1">
        <v>30002</v>
      </c>
      <c r="AL82" s="1" t="s">
        <v>1116</v>
      </c>
      <c r="AM82" s="2">
        <v>1</v>
      </c>
      <c r="AN82" s="2" t="s">
        <v>1223</v>
      </c>
      <c r="AO82" s="2">
        <f t="shared" si="36"/>
        <v>15</v>
      </c>
      <c r="AP82" s="1" t="s">
        <v>1116</v>
      </c>
      <c r="AQ82" s="1">
        <v>30001</v>
      </c>
      <c r="AR82" s="1" t="s">
        <v>1222</v>
      </c>
      <c r="AS82" s="1">
        <v>30004</v>
      </c>
      <c r="AT82" s="1" t="s">
        <v>1116</v>
      </c>
      <c r="AU82" s="2">
        <v>1</v>
      </c>
    </row>
    <row r="83" spans="1:47">
      <c r="A83" s="1">
        <v>124</v>
      </c>
      <c r="B83" s="30" t="s">
        <v>1205</v>
      </c>
      <c r="C83" s="3">
        <v>15</v>
      </c>
      <c r="D83" s="4" t="str">
        <f t="shared" si="29"/>
        <v>6#30001#1|12#30002#1|15#30001,30004#1</v>
      </c>
      <c r="E83" s="4" t="str">
        <f>部队设定!E83</f>
        <v>2208|1006#6209|2008#1105|6009#1004|6007</v>
      </c>
      <c r="F83" s="4" t="s">
        <v>472</v>
      </c>
      <c r="G83" s="38">
        <f t="shared" si="30"/>
        <v>10</v>
      </c>
      <c r="H83" s="2" t="s">
        <v>1116</v>
      </c>
      <c r="I83" s="38">
        <v>1</v>
      </c>
      <c r="J83" s="2" t="s">
        <v>1116</v>
      </c>
      <c r="K83" s="38">
        <f t="shared" si="32"/>
        <v>1.5</v>
      </c>
      <c r="L83" s="2" t="s">
        <v>1223</v>
      </c>
      <c r="M83" s="38">
        <f t="shared" si="37"/>
        <v>13</v>
      </c>
      <c r="N83" s="2" t="s">
        <v>1116</v>
      </c>
      <c r="O83" s="38">
        <v>2</v>
      </c>
      <c r="P83" s="2" t="s">
        <v>1116</v>
      </c>
      <c r="Q83" s="38">
        <f t="shared" si="33"/>
        <v>2.6</v>
      </c>
      <c r="R83" s="2" t="s">
        <v>1223</v>
      </c>
      <c r="S83" s="38">
        <f t="shared" si="38"/>
        <v>15</v>
      </c>
      <c r="T83" s="2" t="s">
        <v>1116</v>
      </c>
      <c r="U83" s="38">
        <v>3</v>
      </c>
      <c r="V83" s="2" t="s">
        <v>1116</v>
      </c>
      <c r="W83" s="38">
        <f t="shared" si="34"/>
        <v>3.5</v>
      </c>
      <c r="X83" s="41"/>
      <c r="Y83" s="41"/>
      <c r="Z83" s="41"/>
      <c r="AA83" s="41"/>
      <c r="AC83" s="1">
        <f t="shared" si="35"/>
        <v>6</v>
      </c>
      <c r="AD83" s="1" t="s">
        <v>1116</v>
      </c>
      <c r="AE83" s="1">
        <v>30001</v>
      </c>
      <c r="AF83" s="1" t="s">
        <v>1116</v>
      </c>
      <c r="AG83" s="1">
        <v>1</v>
      </c>
      <c r="AH83" s="2" t="s">
        <v>1223</v>
      </c>
      <c r="AI83" s="2">
        <f t="shared" si="31"/>
        <v>12</v>
      </c>
      <c r="AJ83" s="1" t="s">
        <v>1116</v>
      </c>
      <c r="AK83" s="1">
        <v>30002</v>
      </c>
      <c r="AL83" s="1" t="s">
        <v>1116</v>
      </c>
      <c r="AM83" s="2">
        <v>1</v>
      </c>
      <c r="AN83" s="2" t="s">
        <v>1223</v>
      </c>
      <c r="AO83" s="2">
        <f t="shared" si="36"/>
        <v>15</v>
      </c>
      <c r="AP83" s="1" t="s">
        <v>1116</v>
      </c>
      <c r="AQ83" s="1">
        <v>30001</v>
      </c>
      <c r="AR83" s="1" t="s">
        <v>1222</v>
      </c>
      <c r="AS83" s="1">
        <v>30004</v>
      </c>
      <c r="AT83" s="1" t="s">
        <v>1116</v>
      </c>
      <c r="AU83" s="2">
        <v>1</v>
      </c>
    </row>
    <row r="84" spans="1:47">
      <c r="A84" s="1">
        <v>125</v>
      </c>
      <c r="B84" s="30" t="s">
        <v>1206</v>
      </c>
      <c r="C84" s="3">
        <v>15</v>
      </c>
      <c r="D84" s="4" t="str">
        <f t="shared" si="29"/>
        <v>6#30001#1|12#30002#1|15#30001,30004#1</v>
      </c>
      <c r="E84" s="4" t="str">
        <f>部队设定!E84</f>
        <v>5107|2103#5201|4008#4206|4008#4205|4203</v>
      </c>
      <c r="F84" s="4" t="s">
        <v>472</v>
      </c>
      <c r="G84" s="38">
        <f t="shared" si="30"/>
        <v>10</v>
      </c>
      <c r="H84" s="2" t="s">
        <v>1116</v>
      </c>
      <c r="I84" s="38">
        <v>1</v>
      </c>
      <c r="J84" s="2" t="s">
        <v>1116</v>
      </c>
      <c r="K84" s="38">
        <f t="shared" si="32"/>
        <v>1.5</v>
      </c>
      <c r="L84" s="2" t="s">
        <v>1223</v>
      </c>
      <c r="M84" s="38">
        <f t="shared" si="37"/>
        <v>13</v>
      </c>
      <c r="N84" s="2" t="s">
        <v>1116</v>
      </c>
      <c r="O84" s="38">
        <v>2</v>
      </c>
      <c r="P84" s="2" t="s">
        <v>1116</v>
      </c>
      <c r="Q84" s="38">
        <f t="shared" si="33"/>
        <v>2.6</v>
      </c>
      <c r="R84" s="2" t="s">
        <v>1223</v>
      </c>
      <c r="S84" s="38">
        <f t="shared" si="38"/>
        <v>15</v>
      </c>
      <c r="T84" s="2" t="s">
        <v>1116</v>
      </c>
      <c r="U84" s="38">
        <v>3</v>
      </c>
      <c r="V84" s="2" t="s">
        <v>1116</v>
      </c>
      <c r="W84" s="38">
        <f t="shared" si="34"/>
        <v>3.5</v>
      </c>
      <c r="X84" s="41"/>
      <c r="Y84" s="41"/>
      <c r="Z84" s="41"/>
      <c r="AA84" s="41"/>
      <c r="AC84" s="1">
        <f t="shared" si="35"/>
        <v>6</v>
      </c>
      <c r="AD84" s="1" t="s">
        <v>1116</v>
      </c>
      <c r="AE84" s="1">
        <v>30001</v>
      </c>
      <c r="AF84" s="1" t="s">
        <v>1116</v>
      </c>
      <c r="AG84" s="1">
        <v>1</v>
      </c>
      <c r="AH84" s="2" t="s">
        <v>1223</v>
      </c>
      <c r="AI84" s="2">
        <f t="shared" si="31"/>
        <v>12</v>
      </c>
      <c r="AJ84" s="1" t="s">
        <v>1116</v>
      </c>
      <c r="AK84" s="1">
        <v>30002</v>
      </c>
      <c r="AL84" s="1" t="s">
        <v>1116</v>
      </c>
      <c r="AM84" s="2">
        <v>1</v>
      </c>
      <c r="AN84" s="2" t="s">
        <v>1223</v>
      </c>
      <c r="AO84" s="2">
        <f t="shared" si="36"/>
        <v>15</v>
      </c>
      <c r="AP84" s="1" t="s">
        <v>1116</v>
      </c>
      <c r="AQ84" s="1">
        <v>30001</v>
      </c>
      <c r="AR84" s="1" t="s">
        <v>1222</v>
      </c>
      <c r="AS84" s="1">
        <v>30004</v>
      </c>
      <c r="AT84" s="1" t="s">
        <v>1116</v>
      </c>
      <c r="AU84" s="2">
        <v>1</v>
      </c>
    </row>
    <row r="85" spans="1:47">
      <c r="A85" s="1">
        <v>126</v>
      </c>
      <c r="B85" s="30" t="s">
        <v>1207</v>
      </c>
      <c r="C85" s="3">
        <v>15</v>
      </c>
      <c r="D85" s="4" t="str">
        <f t="shared" si="29"/>
        <v>6#30001#1|12#30002#1|15#30001,30004#1</v>
      </c>
      <c r="E85" s="4" t="str">
        <f>部队设定!E85</f>
        <v>1205|4202#6208|1208#4209|6209#4209|6203</v>
      </c>
      <c r="F85" s="4" t="s">
        <v>472</v>
      </c>
      <c r="G85" s="38">
        <f t="shared" si="30"/>
        <v>10</v>
      </c>
      <c r="H85" s="2" t="s">
        <v>1116</v>
      </c>
      <c r="I85" s="38">
        <v>1</v>
      </c>
      <c r="J85" s="2" t="s">
        <v>1116</v>
      </c>
      <c r="K85" s="38">
        <f t="shared" si="32"/>
        <v>1.5</v>
      </c>
      <c r="L85" s="2" t="s">
        <v>1223</v>
      </c>
      <c r="M85" s="38">
        <f t="shared" si="37"/>
        <v>13</v>
      </c>
      <c r="N85" s="2" t="s">
        <v>1116</v>
      </c>
      <c r="O85" s="38">
        <v>2</v>
      </c>
      <c r="P85" s="2" t="s">
        <v>1116</v>
      </c>
      <c r="Q85" s="38">
        <f t="shared" si="33"/>
        <v>2.6</v>
      </c>
      <c r="R85" s="2" t="s">
        <v>1223</v>
      </c>
      <c r="S85" s="38">
        <f t="shared" si="38"/>
        <v>15</v>
      </c>
      <c r="T85" s="2" t="s">
        <v>1116</v>
      </c>
      <c r="U85" s="38">
        <v>3</v>
      </c>
      <c r="V85" s="2" t="s">
        <v>1116</v>
      </c>
      <c r="W85" s="38">
        <f t="shared" si="34"/>
        <v>3.5</v>
      </c>
      <c r="X85" s="41"/>
      <c r="Y85" s="41"/>
      <c r="Z85" s="41"/>
      <c r="AA85" s="41"/>
      <c r="AC85" s="1">
        <f t="shared" si="35"/>
        <v>6</v>
      </c>
      <c r="AD85" s="1" t="s">
        <v>1116</v>
      </c>
      <c r="AE85" s="1">
        <v>30001</v>
      </c>
      <c r="AF85" s="1" t="s">
        <v>1116</v>
      </c>
      <c r="AG85" s="1">
        <v>1</v>
      </c>
      <c r="AH85" s="2" t="s">
        <v>1223</v>
      </c>
      <c r="AI85" s="2">
        <f t="shared" si="31"/>
        <v>12</v>
      </c>
      <c r="AJ85" s="1" t="s">
        <v>1116</v>
      </c>
      <c r="AK85" s="1">
        <v>30002</v>
      </c>
      <c r="AL85" s="1" t="s">
        <v>1116</v>
      </c>
      <c r="AM85" s="2">
        <v>1</v>
      </c>
      <c r="AN85" s="2" t="s">
        <v>1223</v>
      </c>
      <c r="AO85" s="2">
        <f t="shared" si="36"/>
        <v>15</v>
      </c>
      <c r="AP85" s="1" t="s">
        <v>1116</v>
      </c>
      <c r="AQ85" s="1">
        <v>30001</v>
      </c>
      <c r="AR85" s="1" t="s">
        <v>1222</v>
      </c>
      <c r="AS85" s="1">
        <v>30004</v>
      </c>
      <c r="AT85" s="1" t="s">
        <v>1116</v>
      </c>
      <c r="AU85" s="2">
        <v>1</v>
      </c>
    </row>
    <row r="86" spans="1:47">
      <c r="A86" s="1">
        <v>131</v>
      </c>
      <c r="B86" s="30" t="s">
        <v>1208</v>
      </c>
      <c r="C86" s="3">
        <v>15</v>
      </c>
      <c r="D86" s="4" t="str">
        <f t="shared" si="29"/>
        <v>6#30001#1|12#30002#1|15#30001,30004#1</v>
      </c>
      <c r="E86" s="4" t="str">
        <f>部队设定!E86</f>
        <v>4006|2008#1006|4005#2006|1008#2006|1009</v>
      </c>
      <c r="F86" s="4" t="s">
        <v>472</v>
      </c>
      <c r="G86" s="38">
        <f t="shared" si="30"/>
        <v>10</v>
      </c>
      <c r="H86" s="2" t="s">
        <v>1116</v>
      </c>
      <c r="I86" s="38">
        <v>1</v>
      </c>
      <c r="J86" s="2" t="s">
        <v>1116</v>
      </c>
      <c r="K86" s="38">
        <f t="shared" si="32"/>
        <v>1.5</v>
      </c>
      <c r="L86" s="2" t="s">
        <v>1223</v>
      </c>
      <c r="M86" s="38">
        <f t="shared" si="37"/>
        <v>13</v>
      </c>
      <c r="N86" s="2" t="s">
        <v>1116</v>
      </c>
      <c r="O86" s="38">
        <v>2</v>
      </c>
      <c r="P86" s="2" t="s">
        <v>1116</v>
      </c>
      <c r="Q86" s="38">
        <f t="shared" si="33"/>
        <v>2.6</v>
      </c>
      <c r="R86" s="2" t="s">
        <v>1223</v>
      </c>
      <c r="S86" s="38">
        <f t="shared" si="38"/>
        <v>15</v>
      </c>
      <c r="T86" s="2" t="s">
        <v>1116</v>
      </c>
      <c r="U86" s="38">
        <v>3</v>
      </c>
      <c r="V86" s="2" t="s">
        <v>1116</v>
      </c>
      <c r="W86" s="38">
        <f t="shared" si="34"/>
        <v>3.5</v>
      </c>
      <c r="X86" s="41"/>
      <c r="Y86" s="41"/>
      <c r="Z86" s="41"/>
      <c r="AA86" s="41"/>
      <c r="AC86" s="1">
        <f t="shared" si="35"/>
        <v>6</v>
      </c>
      <c r="AD86" s="1" t="s">
        <v>1116</v>
      </c>
      <c r="AE86" s="1">
        <v>30001</v>
      </c>
      <c r="AF86" s="1" t="s">
        <v>1116</v>
      </c>
      <c r="AG86" s="1">
        <v>1</v>
      </c>
      <c r="AH86" s="2" t="s">
        <v>1223</v>
      </c>
      <c r="AI86" s="2">
        <f t="shared" si="31"/>
        <v>12</v>
      </c>
      <c r="AJ86" s="1" t="s">
        <v>1116</v>
      </c>
      <c r="AK86" s="1">
        <v>30002</v>
      </c>
      <c r="AL86" s="1" t="s">
        <v>1116</v>
      </c>
      <c r="AM86" s="2">
        <v>1</v>
      </c>
      <c r="AN86" s="2" t="s">
        <v>1223</v>
      </c>
      <c r="AO86" s="2">
        <f t="shared" si="36"/>
        <v>15</v>
      </c>
      <c r="AP86" s="1" t="s">
        <v>1116</v>
      </c>
      <c r="AQ86" s="1">
        <v>30001</v>
      </c>
      <c r="AR86" s="1" t="s">
        <v>1222</v>
      </c>
      <c r="AS86" s="1">
        <v>30004</v>
      </c>
      <c r="AT86" s="1" t="s">
        <v>1116</v>
      </c>
      <c r="AU86" s="2">
        <v>1</v>
      </c>
    </row>
    <row r="87" spans="1:47">
      <c r="A87" s="1">
        <v>132</v>
      </c>
      <c r="B87" s="30" t="s">
        <v>1209</v>
      </c>
      <c r="C87" s="3">
        <v>15</v>
      </c>
      <c r="D87" s="4" t="str">
        <f t="shared" si="29"/>
        <v>6#30001#1|12#30002#1|15#30001,30004#1</v>
      </c>
      <c r="E87" s="4" t="str">
        <f>部队设定!E87</f>
        <v>2208|6208#4206|2106#6109|4106#6106|4106</v>
      </c>
      <c r="F87" s="4" t="s">
        <v>472</v>
      </c>
      <c r="G87" s="38">
        <f t="shared" si="30"/>
        <v>10</v>
      </c>
      <c r="H87" s="2" t="s">
        <v>1116</v>
      </c>
      <c r="I87" s="38">
        <v>1</v>
      </c>
      <c r="J87" s="2" t="s">
        <v>1116</v>
      </c>
      <c r="K87" s="38">
        <f t="shared" si="32"/>
        <v>1.5</v>
      </c>
      <c r="L87" s="2" t="s">
        <v>1223</v>
      </c>
      <c r="M87" s="38">
        <f t="shared" si="37"/>
        <v>13</v>
      </c>
      <c r="N87" s="2" t="s">
        <v>1116</v>
      </c>
      <c r="O87" s="38">
        <v>2</v>
      </c>
      <c r="P87" s="2" t="s">
        <v>1116</v>
      </c>
      <c r="Q87" s="38">
        <f t="shared" si="33"/>
        <v>2.6</v>
      </c>
      <c r="R87" s="2" t="s">
        <v>1223</v>
      </c>
      <c r="S87" s="38">
        <f t="shared" si="38"/>
        <v>15</v>
      </c>
      <c r="T87" s="2" t="s">
        <v>1116</v>
      </c>
      <c r="U87" s="38">
        <v>3</v>
      </c>
      <c r="V87" s="2" t="s">
        <v>1116</v>
      </c>
      <c r="W87" s="38">
        <f t="shared" si="34"/>
        <v>3.5</v>
      </c>
      <c r="X87" s="41"/>
      <c r="Y87" s="41"/>
      <c r="Z87" s="41"/>
      <c r="AA87" s="41"/>
      <c r="AC87" s="1">
        <f t="shared" si="35"/>
        <v>6</v>
      </c>
      <c r="AD87" s="1" t="s">
        <v>1116</v>
      </c>
      <c r="AE87" s="1">
        <v>30001</v>
      </c>
      <c r="AF87" s="1" t="s">
        <v>1116</v>
      </c>
      <c r="AG87" s="1">
        <v>1</v>
      </c>
      <c r="AH87" s="2" t="s">
        <v>1223</v>
      </c>
      <c r="AI87" s="2">
        <f t="shared" si="31"/>
        <v>12</v>
      </c>
      <c r="AJ87" s="1" t="s">
        <v>1116</v>
      </c>
      <c r="AK87" s="1">
        <v>30002</v>
      </c>
      <c r="AL87" s="1" t="s">
        <v>1116</v>
      </c>
      <c r="AM87" s="2">
        <v>1</v>
      </c>
      <c r="AN87" s="2" t="s">
        <v>1223</v>
      </c>
      <c r="AO87" s="2">
        <f t="shared" si="36"/>
        <v>15</v>
      </c>
      <c r="AP87" s="1" t="s">
        <v>1116</v>
      </c>
      <c r="AQ87" s="1">
        <v>30001</v>
      </c>
      <c r="AR87" s="1" t="s">
        <v>1222</v>
      </c>
      <c r="AS87" s="1">
        <v>30004</v>
      </c>
      <c r="AT87" s="1" t="s">
        <v>1116</v>
      </c>
      <c r="AU87" s="2">
        <v>1</v>
      </c>
    </row>
    <row r="88" spans="1:47">
      <c r="A88" s="1">
        <v>133</v>
      </c>
      <c r="B88" s="30" t="s">
        <v>1210</v>
      </c>
      <c r="C88" s="3">
        <v>15</v>
      </c>
      <c r="D88" s="4" t="str">
        <f t="shared" si="29"/>
        <v>6#30001#1|12#30002#1|15#30001,30004#1</v>
      </c>
      <c r="E88" s="4" t="str">
        <f>部队设定!E88</f>
        <v>3207|3107#3106|1208#2207|3206#2107|3208</v>
      </c>
      <c r="F88" s="4" t="s">
        <v>472</v>
      </c>
      <c r="G88" s="38">
        <f t="shared" si="30"/>
        <v>10</v>
      </c>
      <c r="H88" s="2" t="s">
        <v>1116</v>
      </c>
      <c r="I88" s="38">
        <v>1</v>
      </c>
      <c r="J88" s="2" t="s">
        <v>1116</v>
      </c>
      <c r="K88" s="38">
        <f t="shared" si="32"/>
        <v>1.5</v>
      </c>
      <c r="L88" s="2" t="s">
        <v>1223</v>
      </c>
      <c r="M88" s="38">
        <f t="shared" si="37"/>
        <v>13</v>
      </c>
      <c r="N88" s="2" t="s">
        <v>1116</v>
      </c>
      <c r="O88" s="38">
        <v>2</v>
      </c>
      <c r="P88" s="2" t="s">
        <v>1116</v>
      </c>
      <c r="Q88" s="38">
        <f t="shared" si="33"/>
        <v>2.6</v>
      </c>
      <c r="R88" s="2" t="s">
        <v>1223</v>
      </c>
      <c r="S88" s="38">
        <f t="shared" si="38"/>
        <v>15</v>
      </c>
      <c r="T88" s="2" t="s">
        <v>1116</v>
      </c>
      <c r="U88" s="38">
        <v>3</v>
      </c>
      <c r="V88" s="2" t="s">
        <v>1116</v>
      </c>
      <c r="W88" s="38">
        <f t="shared" si="34"/>
        <v>3.5</v>
      </c>
      <c r="X88" s="41"/>
      <c r="Y88" s="41"/>
      <c r="Z88" s="41"/>
      <c r="AA88" s="41"/>
      <c r="AC88" s="1">
        <f t="shared" si="35"/>
        <v>6</v>
      </c>
      <c r="AD88" s="1" t="s">
        <v>1116</v>
      </c>
      <c r="AE88" s="1">
        <v>30001</v>
      </c>
      <c r="AF88" s="1" t="s">
        <v>1116</v>
      </c>
      <c r="AG88" s="1">
        <v>1</v>
      </c>
      <c r="AH88" s="2" t="s">
        <v>1223</v>
      </c>
      <c r="AI88" s="2">
        <f t="shared" si="31"/>
        <v>12</v>
      </c>
      <c r="AJ88" s="1" t="s">
        <v>1116</v>
      </c>
      <c r="AK88" s="1">
        <v>30002</v>
      </c>
      <c r="AL88" s="1" t="s">
        <v>1116</v>
      </c>
      <c r="AM88" s="2">
        <v>1</v>
      </c>
      <c r="AN88" s="2" t="s">
        <v>1223</v>
      </c>
      <c r="AO88" s="2">
        <f t="shared" si="36"/>
        <v>15</v>
      </c>
      <c r="AP88" s="1" t="s">
        <v>1116</v>
      </c>
      <c r="AQ88" s="1">
        <v>30001</v>
      </c>
      <c r="AR88" s="1" t="s">
        <v>1222</v>
      </c>
      <c r="AS88" s="1">
        <v>30004</v>
      </c>
      <c r="AT88" s="1" t="s">
        <v>1116</v>
      </c>
      <c r="AU88" s="2">
        <v>1</v>
      </c>
    </row>
    <row r="89" spans="1:47">
      <c r="A89" s="1">
        <v>134</v>
      </c>
      <c r="B89" s="30" t="s">
        <v>1211</v>
      </c>
      <c r="C89" s="3">
        <v>15</v>
      </c>
      <c r="D89" s="4" t="str">
        <f t="shared" si="29"/>
        <v>6#30001#1|12#30002#1|15#30001,30004#1</v>
      </c>
      <c r="E89" s="4" t="str">
        <f>部队设定!E89</f>
        <v>2208|1006#6209|2008#1108|6009#1008|6007</v>
      </c>
      <c r="F89" s="4" t="s">
        <v>472</v>
      </c>
      <c r="G89" s="38">
        <f t="shared" si="30"/>
        <v>10</v>
      </c>
      <c r="H89" s="2" t="s">
        <v>1116</v>
      </c>
      <c r="I89" s="38">
        <v>1</v>
      </c>
      <c r="J89" s="2" t="s">
        <v>1116</v>
      </c>
      <c r="K89" s="38">
        <f t="shared" si="32"/>
        <v>1.5</v>
      </c>
      <c r="L89" s="2" t="s">
        <v>1223</v>
      </c>
      <c r="M89" s="38">
        <f t="shared" si="37"/>
        <v>13</v>
      </c>
      <c r="N89" s="2" t="s">
        <v>1116</v>
      </c>
      <c r="O89" s="38">
        <v>2</v>
      </c>
      <c r="P89" s="2" t="s">
        <v>1116</v>
      </c>
      <c r="Q89" s="38">
        <f t="shared" si="33"/>
        <v>2.6</v>
      </c>
      <c r="R89" s="2" t="s">
        <v>1223</v>
      </c>
      <c r="S89" s="38">
        <f t="shared" si="38"/>
        <v>15</v>
      </c>
      <c r="T89" s="2" t="s">
        <v>1116</v>
      </c>
      <c r="U89" s="38">
        <v>3</v>
      </c>
      <c r="V89" s="2" t="s">
        <v>1116</v>
      </c>
      <c r="W89" s="38">
        <f t="shared" si="34"/>
        <v>3.5</v>
      </c>
      <c r="X89" s="41"/>
      <c r="Y89" s="41"/>
      <c r="Z89" s="41"/>
      <c r="AA89" s="41"/>
      <c r="AC89" s="1">
        <f t="shared" si="35"/>
        <v>6</v>
      </c>
      <c r="AD89" s="1" t="s">
        <v>1116</v>
      </c>
      <c r="AE89" s="1">
        <v>30001</v>
      </c>
      <c r="AF89" s="1" t="s">
        <v>1116</v>
      </c>
      <c r="AG89" s="1">
        <v>1</v>
      </c>
      <c r="AH89" s="2" t="s">
        <v>1223</v>
      </c>
      <c r="AI89" s="2">
        <f t="shared" si="31"/>
        <v>12</v>
      </c>
      <c r="AJ89" s="1" t="s">
        <v>1116</v>
      </c>
      <c r="AK89" s="1">
        <v>30002</v>
      </c>
      <c r="AL89" s="1" t="s">
        <v>1116</v>
      </c>
      <c r="AM89" s="2">
        <v>1</v>
      </c>
      <c r="AN89" s="2" t="s">
        <v>1223</v>
      </c>
      <c r="AO89" s="2">
        <f t="shared" si="36"/>
        <v>15</v>
      </c>
      <c r="AP89" s="1" t="s">
        <v>1116</v>
      </c>
      <c r="AQ89" s="1">
        <v>30001</v>
      </c>
      <c r="AR89" s="1" t="s">
        <v>1222</v>
      </c>
      <c r="AS89" s="1">
        <v>30004</v>
      </c>
      <c r="AT89" s="1" t="s">
        <v>1116</v>
      </c>
      <c r="AU89" s="2">
        <v>1</v>
      </c>
    </row>
    <row r="90" spans="1:47">
      <c r="A90" s="1">
        <v>135</v>
      </c>
      <c r="B90" s="30" t="s">
        <v>1212</v>
      </c>
      <c r="C90" s="3">
        <v>15</v>
      </c>
      <c r="D90" s="4" t="str">
        <f t="shared" si="29"/>
        <v>6#30001#1|12#30002#1|15#30001,30004#1</v>
      </c>
      <c r="E90" s="4" t="str">
        <f>部队设定!E90</f>
        <v>5107|2106#5207|4008#4206|4008#4209|4208</v>
      </c>
      <c r="F90" s="4" t="s">
        <v>472</v>
      </c>
      <c r="G90" s="38">
        <f t="shared" si="30"/>
        <v>10</v>
      </c>
      <c r="H90" s="2" t="s">
        <v>1116</v>
      </c>
      <c r="I90" s="38">
        <v>1</v>
      </c>
      <c r="J90" s="2" t="s">
        <v>1116</v>
      </c>
      <c r="K90" s="38">
        <f t="shared" si="32"/>
        <v>1.5</v>
      </c>
      <c r="L90" s="2" t="s">
        <v>1223</v>
      </c>
      <c r="M90" s="38">
        <f t="shared" si="37"/>
        <v>13</v>
      </c>
      <c r="N90" s="2" t="s">
        <v>1116</v>
      </c>
      <c r="O90" s="38">
        <v>2</v>
      </c>
      <c r="P90" s="2" t="s">
        <v>1116</v>
      </c>
      <c r="Q90" s="38">
        <f t="shared" si="33"/>
        <v>2.6</v>
      </c>
      <c r="R90" s="2" t="s">
        <v>1223</v>
      </c>
      <c r="S90" s="38">
        <f t="shared" si="38"/>
        <v>15</v>
      </c>
      <c r="T90" s="2" t="s">
        <v>1116</v>
      </c>
      <c r="U90" s="38">
        <v>3</v>
      </c>
      <c r="V90" s="2" t="s">
        <v>1116</v>
      </c>
      <c r="W90" s="38">
        <f t="shared" si="34"/>
        <v>3.5</v>
      </c>
      <c r="X90" s="41"/>
      <c r="Y90" s="41"/>
      <c r="Z90" s="41"/>
      <c r="AA90" s="41"/>
      <c r="AC90" s="1">
        <f t="shared" si="35"/>
        <v>6</v>
      </c>
      <c r="AD90" s="1" t="s">
        <v>1116</v>
      </c>
      <c r="AE90" s="1">
        <v>30001</v>
      </c>
      <c r="AF90" s="1" t="s">
        <v>1116</v>
      </c>
      <c r="AG90" s="1">
        <v>1</v>
      </c>
      <c r="AH90" s="2" t="s">
        <v>1223</v>
      </c>
      <c r="AI90" s="2">
        <f t="shared" si="31"/>
        <v>12</v>
      </c>
      <c r="AJ90" s="1" t="s">
        <v>1116</v>
      </c>
      <c r="AK90" s="1">
        <v>30002</v>
      </c>
      <c r="AL90" s="1" t="s">
        <v>1116</v>
      </c>
      <c r="AM90" s="2">
        <v>1</v>
      </c>
      <c r="AN90" s="2" t="s">
        <v>1223</v>
      </c>
      <c r="AO90" s="2">
        <f t="shared" si="36"/>
        <v>15</v>
      </c>
      <c r="AP90" s="1" t="s">
        <v>1116</v>
      </c>
      <c r="AQ90" s="1">
        <v>30001</v>
      </c>
      <c r="AR90" s="1" t="s">
        <v>1222</v>
      </c>
      <c r="AS90" s="1">
        <v>30004</v>
      </c>
      <c r="AT90" s="1" t="s">
        <v>1116</v>
      </c>
      <c r="AU90" s="2">
        <v>1</v>
      </c>
    </row>
    <row r="91" spans="1:47">
      <c r="A91" s="1">
        <v>136</v>
      </c>
      <c r="B91" s="30" t="s">
        <v>1213</v>
      </c>
      <c r="C91" s="3">
        <v>15</v>
      </c>
      <c r="D91" s="4" t="str">
        <f t="shared" si="29"/>
        <v>6#30001#1|12#30002#1|15#30001,30004#1</v>
      </c>
      <c r="E91" s="4" t="str">
        <f>部队设定!E91</f>
        <v>1206|4207#6208|1208#4209|6209#4209|6208</v>
      </c>
      <c r="F91" s="4" t="s">
        <v>472</v>
      </c>
      <c r="G91" s="38">
        <f t="shared" si="30"/>
        <v>10</v>
      </c>
      <c r="H91" s="2" t="s">
        <v>1116</v>
      </c>
      <c r="I91" s="38">
        <v>1</v>
      </c>
      <c r="J91" s="2" t="s">
        <v>1116</v>
      </c>
      <c r="K91" s="38">
        <f t="shared" si="32"/>
        <v>1.5</v>
      </c>
      <c r="L91" s="2" t="s">
        <v>1223</v>
      </c>
      <c r="M91" s="38">
        <f t="shared" si="37"/>
        <v>13</v>
      </c>
      <c r="N91" s="2" t="s">
        <v>1116</v>
      </c>
      <c r="O91" s="38">
        <v>2</v>
      </c>
      <c r="P91" s="2" t="s">
        <v>1116</v>
      </c>
      <c r="Q91" s="38">
        <f t="shared" si="33"/>
        <v>2.6</v>
      </c>
      <c r="R91" s="2" t="s">
        <v>1223</v>
      </c>
      <c r="S91" s="38">
        <f t="shared" si="38"/>
        <v>15</v>
      </c>
      <c r="T91" s="2" t="s">
        <v>1116</v>
      </c>
      <c r="U91" s="38">
        <v>3</v>
      </c>
      <c r="V91" s="2" t="s">
        <v>1116</v>
      </c>
      <c r="W91" s="38">
        <f t="shared" si="34"/>
        <v>3.5</v>
      </c>
      <c r="X91" s="41"/>
      <c r="Y91" s="41"/>
      <c r="Z91" s="41"/>
      <c r="AA91" s="41"/>
      <c r="AC91" s="1">
        <f t="shared" si="35"/>
        <v>6</v>
      </c>
      <c r="AD91" s="1" t="s">
        <v>1116</v>
      </c>
      <c r="AE91" s="1">
        <v>30001</v>
      </c>
      <c r="AF91" s="1" t="s">
        <v>1116</v>
      </c>
      <c r="AG91" s="1">
        <v>1</v>
      </c>
      <c r="AH91" s="2" t="s">
        <v>1223</v>
      </c>
      <c r="AI91" s="2">
        <f t="shared" si="31"/>
        <v>12</v>
      </c>
      <c r="AJ91" s="1" t="s">
        <v>1116</v>
      </c>
      <c r="AK91" s="1">
        <v>30002</v>
      </c>
      <c r="AL91" s="1" t="s">
        <v>1116</v>
      </c>
      <c r="AM91" s="2">
        <v>1</v>
      </c>
      <c r="AN91" s="2" t="s">
        <v>1223</v>
      </c>
      <c r="AO91" s="2">
        <f t="shared" si="36"/>
        <v>15</v>
      </c>
      <c r="AP91" s="1" t="s">
        <v>1116</v>
      </c>
      <c r="AQ91" s="1">
        <v>30001</v>
      </c>
      <c r="AR91" s="1" t="s">
        <v>1222</v>
      </c>
      <c r="AS91" s="1">
        <v>30004</v>
      </c>
      <c r="AT91" s="1" t="s">
        <v>1116</v>
      </c>
      <c r="AU91" s="2">
        <v>1</v>
      </c>
    </row>
    <row r="92" spans="1:47">
      <c r="A92" s="1">
        <v>141</v>
      </c>
      <c r="B92" s="30" t="s">
        <v>1214</v>
      </c>
      <c r="C92" s="3">
        <v>15</v>
      </c>
      <c r="D92" s="4" t="str">
        <f t="shared" si="29"/>
        <v>6#30001#1|12#30002#1|15#30001,30004#1</v>
      </c>
      <c r="E92" s="4" t="str">
        <f>部队设定!E92</f>
        <v>1207|5207#2209|6208#3209|5209#4209|1209</v>
      </c>
      <c r="F92" s="4" t="s">
        <v>472</v>
      </c>
      <c r="G92" s="38">
        <f t="shared" si="30"/>
        <v>10</v>
      </c>
      <c r="H92" s="2" t="s">
        <v>1116</v>
      </c>
      <c r="I92" s="38">
        <v>1</v>
      </c>
      <c r="J92" s="2" t="s">
        <v>1116</v>
      </c>
      <c r="K92" s="38">
        <f t="shared" si="32"/>
        <v>1.5</v>
      </c>
      <c r="L92" s="2" t="s">
        <v>1223</v>
      </c>
      <c r="M92" s="38">
        <f t="shared" si="37"/>
        <v>13</v>
      </c>
      <c r="N92" s="2" t="s">
        <v>1116</v>
      </c>
      <c r="O92" s="38">
        <v>2</v>
      </c>
      <c r="P92" s="2" t="s">
        <v>1116</v>
      </c>
      <c r="Q92" s="38">
        <f t="shared" si="33"/>
        <v>2.6</v>
      </c>
      <c r="R92" s="2" t="s">
        <v>1223</v>
      </c>
      <c r="S92" s="38">
        <f t="shared" si="38"/>
        <v>15</v>
      </c>
      <c r="T92" s="2" t="s">
        <v>1116</v>
      </c>
      <c r="U92" s="38">
        <v>3</v>
      </c>
      <c r="V92" s="2" t="s">
        <v>1116</v>
      </c>
      <c r="W92" s="38">
        <f t="shared" si="34"/>
        <v>3.5</v>
      </c>
      <c r="X92" s="41"/>
      <c r="Y92" s="41"/>
      <c r="Z92" s="41"/>
      <c r="AA92" s="41"/>
      <c r="AC92" s="1">
        <f t="shared" si="35"/>
        <v>6</v>
      </c>
      <c r="AD92" s="1" t="s">
        <v>1116</v>
      </c>
      <c r="AE92" s="1">
        <v>30001</v>
      </c>
      <c r="AF92" s="1" t="s">
        <v>1116</v>
      </c>
      <c r="AG92" s="1">
        <v>1</v>
      </c>
      <c r="AH92" s="2" t="s">
        <v>1223</v>
      </c>
      <c r="AI92" s="2">
        <f t="shared" si="31"/>
        <v>12</v>
      </c>
      <c r="AJ92" s="1" t="s">
        <v>1116</v>
      </c>
      <c r="AK92" s="1">
        <v>30002</v>
      </c>
      <c r="AL92" s="1" t="s">
        <v>1116</v>
      </c>
      <c r="AM92" s="2">
        <v>1</v>
      </c>
      <c r="AN92" s="2" t="s">
        <v>1223</v>
      </c>
      <c r="AO92" s="2">
        <f t="shared" si="36"/>
        <v>15</v>
      </c>
      <c r="AP92" s="1" t="s">
        <v>1116</v>
      </c>
      <c r="AQ92" s="1">
        <v>30001</v>
      </c>
      <c r="AR92" s="1" t="s">
        <v>1222</v>
      </c>
      <c r="AS92" s="1">
        <v>30004</v>
      </c>
      <c r="AT92" s="1" t="s">
        <v>1116</v>
      </c>
      <c r="AU92" s="2">
        <v>1</v>
      </c>
    </row>
    <row r="93" spans="1:47">
      <c r="A93" s="1">
        <v>142</v>
      </c>
      <c r="B93" s="30" t="s">
        <v>1215</v>
      </c>
      <c r="C93" s="3">
        <v>15</v>
      </c>
      <c r="D93" s="4" t="str">
        <f t="shared" si="29"/>
        <v>6#30001#1|12#30002#1|15#30001,30004#1</v>
      </c>
      <c r="E93" s="4" t="str">
        <f>部队设定!E93</f>
        <v>2207|5207#3209|5208#4209|5209#5209|2209</v>
      </c>
      <c r="F93" s="4" t="s">
        <v>472</v>
      </c>
      <c r="G93" s="38">
        <f t="shared" si="30"/>
        <v>10</v>
      </c>
      <c r="H93" s="2" t="s">
        <v>1116</v>
      </c>
      <c r="I93" s="38">
        <v>1</v>
      </c>
      <c r="J93" s="2" t="s">
        <v>1116</v>
      </c>
      <c r="K93" s="38">
        <f t="shared" si="32"/>
        <v>1.5</v>
      </c>
      <c r="L93" s="2" t="s">
        <v>1223</v>
      </c>
      <c r="M93" s="38">
        <f t="shared" si="37"/>
        <v>13</v>
      </c>
      <c r="N93" s="2" t="s">
        <v>1116</v>
      </c>
      <c r="O93" s="38">
        <v>2</v>
      </c>
      <c r="P93" s="2" t="s">
        <v>1116</v>
      </c>
      <c r="Q93" s="38">
        <f t="shared" si="33"/>
        <v>2.6</v>
      </c>
      <c r="R93" s="2" t="s">
        <v>1223</v>
      </c>
      <c r="S93" s="38">
        <f t="shared" si="38"/>
        <v>15</v>
      </c>
      <c r="T93" s="2" t="s">
        <v>1116</v>
      </c>
      <c r="U93" s="38">
        <v>3</v>
      </c>
      <c r="V93" s="2" t="s">
        <v>1116</v>
      </c>
      <c r="W93" s="38">
        <f t="shared" si="34"/>
        <v>3.5</v>
      </c>
      <c r="X93" s="41"/>
      <c r="Y93" s="41"/>
      <c r="Z93" s="41"/>
      <c r="AA93" s="41"/>
      <c r="AC93" s="1">
        <f t="shared" si="35"/>
        <v>6</v>
      </c>
      <c r="AD93" s="1" t="s">
        <v>1116</v>
      </c>
      <c r="AE93" s="1">
        <v>30001</v>
      </c>
      <c r="AF93" s="1" t="s">
        <v>1116</v>
      </c>
      <c r="AG93" s="1">
        <v>1</v>
      </c>
      <c r="AH93" s="2" t="s">
        <v>1223</v>
      </c>
      <c r="AI93" s="2">
        <f t="shared" si="31"/>
        <v>12</v>
      </c>
      <c r="AJ93" s="1" t="s">
        <v>1116</v>
      </c>
      <c r="AK93" s="1">
        <v>30002</v>
      </c>
      <c r="AL93" s="1" t="s">
        <v>1116</v>
      </c>
      <c r="AM93" s="2">
        <v>1</v>
      </c>
      <c r="AN93" s="2" t="s">
        <v>1223</v>
      </c>
      <c r="AO93" s="2">
        <f t="shared" si="36"/>
        <v>15</v>
      </c>
      <c r="AP93" s="1" t="s">
        <v>1116</v>
      </c>
      <c r="AQ93" s="1">
        <v>30001</v>
      </c>
      <c r="AR93" s="1" t="s">
        <v>1222</v>
      </c>
      <c r="AS93" s="1">
        <v>30004</v>
      </c>
      <c r="AT93" s="1" t="s">
        <v>1116</v>
      </c>
      <c r="AU93" s="2">
        <v>1</v>
      </c>
    </row>
    <row r="94" spans="1:47">
      <c r="A94" s="1">
        <v>143</v>
      </c>
      <c r="B94" s="30" t="s">
        <v>1216</v>
      </c>
      <c r="C94" s="3">
        <v>15</v>
      </c>
      <c r="D94" s="4" t="str">
        <f t="shared" si="29"/>
        <v>6#30001#1|12#30002#1|15#30001,30004#1</v>
      </c>
      <c r="E94" s="4" t="str">
        <f>部队设定!E94</f>
        <v>3207|6207#4209|6208#5209|6209#6209|3209</v>
      </c>
      <c r="F94" s="4" t="s">
        <v>472</v>
      </c>
      <c r="G94" s="38">
        <f t="shared" si="30"/>
        <v>10</v>
      </c>
      <c r="H94" s="2" t="s">
        <v>1116</v>
      </c>
      <c r="I94" s="38">
        <v>1</v>
      </c>
      <c r="J94" s="2" t="s">
        <v>1116</v>
      </c>
      <c r="K94" s="38">
        <f t="shared" si="32"/>
        <v>1.5</v>
      </c>
      <c r="L94" s="2" t="s">
        <v>1223</v>
      </c>
      <c r="M94" s="38">
        <f t="shared" si="37"/>
        <v>13</v>
      </c>
      <c r="N94" s="2" t="s">
        <v>1116</v>
      </c>
      <c r="O94" s="38">
        <v>2</v>
      </c>
      <c r="P94" s="2" t="s">
        <v>1116</v>
      </c>
      <c r="Q94" s="38">
        <f t="shared" si="33"/>
        <v>2.6</v>
      </c>
      <c r="R94" s="2" t="s">
        <v>1223</v>
      </c>
      <c r="S94" s="38">
        <f t="shared" si="38"/>
        <v>15</v>
      </c>
      <c r="T94" s="2" t="s">
        <v>1116</v>
      </c>
      <c r="U94" s="38">
        <v>3</v>
      </c>
      <c r="V94" s="2" t="s">
        <v>1116</v>
      </c>
      <c r="W94" s="38">
        <f t="shared" si="34"/>
        <v>3.5</v>
      </c>
      <c r="X94" s="41"/>
      <c r="Y94" s="41"/>
      <c r="Z94" s="41"/>
      <c r="AA94" s="41"/>
      <c r="AC94" s="1">
        <f t="shared" si="35"/>
        <v>6</v>
      </c>
      <c r="AD94" s="1" t="s">
        <v>1116</v>
      </c>
      <c r="AE94" s="1">
        <v>30001</v>
      </c>
      <c r="AF94" s="1" t="s">
        <v>1116</v>
      </c>
      <c r="AG94" s="1">
        <v>1</v>
      </c>
      <c r="AH94" s="2" t="s">
        <v>1223</v>
      </c>
      <c r="AI94" s="2">
        <f t="shared" si="31"/>
        <v>12</v>
      </c>
      <c r="AJ94" s="1" t="s">
        <v>1116</v>
      </c>
      <c r="AK94" s="1">
        <v>30002</v>
      </c>
      <c r="AL94" s="1" t="s">
        <v>1116</v>
      </c>
      <c r="AM94" s="2">
        <v>1</v>
      </c>
      <c r="AN94" s="2" t="s">
        <v>1223</v>
      </c>
      <c r="AO94" s="2">
        <f t="shared" si="36"/>
        <v>15</v>
      </c>
      <c r="AP94" s="1" t="s">
        <v>1116</v>
      </c>
      <c r="AQ94" s="1">
        <v>30001</v>
      </c>
      <c r="AR94" s="1" t="s">
        <v>1222</v>
      </c>
      <c r="AS94" s="1">
        <v>30004</v>
      </c>
      <c r="AT94" s="1" t="s">
        <v>1116</v>
      </c>
      <c r="AU94" s="2">
        <v>1</v>
      </c>
    </row>
    <row r="95" spans="1:47">
      <c r="A95" s="1">
        <v>144</v>
      </c>
      <c r="B95" s="30" t="s">
        <v>1217</v>
      </c>
      <c r="C95" s="3">
        <v>15</v>
      </c>
      <c r="D95" s="4" t="str">
        <f t="shared" si="29"/>
        <v>6#30001#1|12#30002#1|15#30001,30004#1</v>
      </c>
      <c r="E95" s="4" t="str">
        <f>部队设定!E95</f>
        <v>4207|6207#5209|5208#6209|6209#6209|4209</v>
      </c>
      <c r="F95" s="4" t="s">
        <v>472</v>
      </c>
      <c r="G95" s="38">
        <f t="shared" si="30"/>
        <v>10</v>
      </c>
      <c r="H95" s="2" t="s">
        <v>1116</v>
      </c>
      <c r="I95" s="38">
        <v>1</v>
      </c>
      <c r="J95" s="2" t="s">
        <v>1116</v>
      </c>
      <c r="K95" s="38">
        <f t="shared" si="32"/>
        <v>1.5</v>
      </c>
      <c r="L95" s="2" t="s">
        <v>1223</v>
      </c>
      <c r="M95" s="38">
        <f t="shared" si="37"/>
        <v>13</v>
      </c>
      <c r="N95" s="2" t="s">
        <v>1116</v>
      </c>
      <c r="O95" s="38">
        <v>2</v>
      </c>
      <c r="P95" s="2" t="s">
        <v>1116</v>
      </c>
      <c r="Q95" s="38">
        <f t="shared" si="33"/>
        <v>2.6</v>
      </c>
      <c r="R95" s="2" t="s">
        <v>1223</v>
      </c>
      <c r="S95" s="38">
        <f t="shared" si="38"/>
        <v>15</v>
      </c>
      <c r="T95" s="2" t="s">
        <v>1116</v>
      </c>
      <c r="U95" s="38">
        <v>3</v>
      </c>
      <c r="V95" s="2" t="s">
        <v>1116</v>
      </c>
      <c r="W95" s="38">
        <f t="shared" si="34"/>
        <v>3.5</v>
      </c>
      <c r="X95" s="41"/>
      <c r="Y95" s="41"/>
      <c r="Z95" s="41"/>
      <c r="AA95" s="41"/>
      <c r="AC95" s="1">
        <f t="shared" si="35"/>
        <v>6</v>
      </c>
      <c r="AD95" s="1" t="s">
        <v>1116</v>
      </c>
      <c r="AE95" s="1">
        <v>30001</v>
      </c>
      <c r="AF95" s="1" t="s">
        <v>1116</v>
      </c>
      <c r="AG95" s="1">
        <v>1</v>
      </c>
      <c r="AH95" s="2" t="s">
        <v>1223</v>
      </c>
      <c r="AI95" s="2">
        <f t="shared" si="31"/>
        <v>12</v>
      </c>
      <c r="AJ95" s="1" t="s">
        <v>1116</v>
      </c>
      <c r="AK95" s="1">
        <v>30002</v>
      </c>
      <c r="AL95" s="1" t="s">
        <v>1116</v>
      </c>
      <c r="AM95" s="2">
        <v>1</v>
      </c>
      <c r="AN95" s="2" t="s">
        <v>1223</v>
      </c>
      <c r="AO95" s="2">
        <f t="shared" si="36"/>
        <v>15</v>
      </c>
      <c r="AP95" s="1" t="s">
        <v>1116</v>
      </c>
      <c r="AQ95" s="1">
        <v>30001</v>
      </c>
      <c r="AR95" s="1" t="s">
        <v>1222</v>
      </c>
      <c r="AS95" s="1">
        <v>30004</v>
      </c>
      <c r="AT95" s="1" t="s">
        <v>1116</v>
      </c>
      <c r="AU95" s="2">
        <v>1</v>
      </c>
    </row>
    <row r="96" spans="1:47">
      <c r="A96" s="1">
        <v>145</v>
      </c>
      <c r="B96" s="30" t="s">
        <v>1218</v>
      </c>
      <c r="C96" s="3">
        <v>15</v>
      </c>
      <c r="D96" s="4" t="str">
        <f t="shared" si="29"/>
        <v>6#30001#1|12#30002#1|15#30001,30004#1</v>
      </c>
      <c r="E96" s="4" t="str">
        <f>部队设定!E96</f>
        <v>5207|5207#6209|5208#6209|5209#6209|5209</v>
      </c>
      <c r="F96" s="4" t="s">
        <v>472</v>
      </c>
      <c r="G96" s="38">
        <f t="shared" si="30"/>
        <v>10</v>
      </c>
      <c r="H96" s="2" t="s">
        <v>1116</v>
      </c>
      <c r="I96" s="38">
        <v>1</v>
      </c>
      <c r="J96" s="2" t="s">
        <v>1116</v>
      </c>
      <c r="K96" s="38">
        <f t="shared" si="32"/>
        <v>1.5</v>
      </c>
      <c r="L96" s="2" t="s">
        <v>1223</v>
      </c>
      <c r="M96" s="38">
        <f t="shared" si="37"/>
        <v>13</v>
      </c>
      <c r="N96" s="2" t="s">
        <v>1116</v>
      </c>
      <c r="O96" s="38">
        <v>2</v>
      </c>
      <c r="P96" s="2" t="s">
        <v>1116</v>
      </c>
      <c r="Q96" s="38">
        <f t="shared" si="33"/>
        <v>2.6</v>
      </c>
      <c r="R96" s="2" t="s">
        <v>1223</v>
      </c>
      <c r="S96" s="38">
        <f t="shared" si="38"/>
        <v>15</v>
      </c>
      <c r="T96" s="2" t="s">
        <v>1116</v>
      </c>
      <c r="U96" s="38">
        <v>3</v>
      </c>
      <c r="V96" s="2" t="s">
        <v>1116</v>
      </c>
      <c r="W96" s="38">
        <f t="shared" si="34"/>
        <v>3.5</v>
      </c>
      <c r="X96" s="41"/>
      <c r="Y96" s="41"/>
      <c r="Z96" s="41"/>
      <c r="AA96" s="41"/>
      <c r="AC96" s="1">
        <f t="shared" si="35"/>
        <v>6</v>
      </c>
      <c r="AD96" s="1" t="s">
        <v>1116</v>
      </c>
      <c r="AE96" s="1">
        <v>30001</v>
      </c>
      <c r="AF96" s="1" t="s">
        <v>1116</v>
      </c>
      <c r="AG96" s="1">
        <v>1</v>
      </c>
      <c r="AH96" s="2" t="s">
        <v>1223</v>
      </c>
      <c r="AI96" s="2">
        <f t="shared" si="31"/>
        <v>12</v>
      </c>
      <c r="AJ96" s="1" t="s">
        <v>1116</v>
      </c>
      <c r="AK96" s="1">
        <v>30002</v>
      </c>
      <c r="AL96" s="1" t="s">
        <v>1116</v>
      </c>
      <c r="AM96" s="2">
        <v>1</v>
      </c>
      <c r="AN96" s="2" t="s">
        <v>1223</v>
      </c>
      <c r="AO96" s="2">
        <f t="shared" si="36"/>
        <v>15</v>
      </c>
      <c r="AP96" s="1" t="s">
        <v>1116</v>
      </c>
      <c r="AQ96" s="1">
        <v>30001</v>
      </c>
      <c r="AR96" s="1" t="s">
        <v>1222</v>
      </c>
      <c r="AS96" s="1">
        <v>30004</v>
      </c>
      <c r="AT96" s="1" t="s">
        <v>1116</v>
      </c>
      <c r="AU96" s="2">
        <v>1</v>
      </c>
    </row>
    <row r="97" spans="1:47">
      <c r="A97" s="1">
        <v>146</v>
      </c>
      <c r="B97" s="30" t="s">
        <v>1219</v>
      </c>
      <c r="C97" s="3">
        <v>15</v>
      </c>
      <c r="D97" s="4" t="str">
        <f t="shared" si="29"/>
        <v>6#30001#1|12#30002#1|15#30001,30004#1</v>
      </c>
      <c r="E97" s="4" t="str">
        <f>部队设定!E97</f>
        <v>6207|6207#6209|6208#6209|6209#6209|6209</v>
      </c>
      <c r="F97" s="4" t="s">
        <v>472</v>
      </c>
      <c r="G97" s="38">
        <f t="shared" si="30"/>
        <v>10</v>
      </c>
      <c r="H97" s="2" t="s">
        <v>1116</v>
      </c>
      <c r="I97" s="38">
        <v>1</v>
      </c>
      <c r="J97" s="2" t="s">
        <v>1116</v>
      </c>
      <c r="K97" s="38">
        <f t="shared" si="32"/>
        <v>1.5</v>
      </c>
      <c r="L97" s="2" t="s">
        <v>1223</v>
      </c>
      <c r="M97" s="38">
        <f t="shared" si="37"/>
        <v>13</v>
      </c>
      <c r="N97" s="2" t="s">
        <v>1116</v>
      </c>
      <c r="O97" s="38">
        <v>2</v>
      </c>
      <c r="P97" s="2" t="s">
        <v>1116</v>
      </c>
      <c r="Q97" s="38">
        <f t="shared" si="33"/>
        <v>2.6</v>
      </c>
      <c r="R97" s="2" t="s">
        <v>1223</v>
      </c>
      <c r="S97" s="38">
        <f t="shared" si="38"/>
        <v>15</v>
      </c>
      <c r="T97" s="2" t="s">
        <v>1116</v>
      </c>
      <c r="U97" s="38">
        <v>3</v>
      </c>
      <c r="V97" s="2" t="s">
        <v>1116</v>
      </c>
      <c r="W97" s="38">
        <f t="shared" si="34"/>
        <v>3.5</v>
      </c>
      <c r="X97" s="41"/>
      <c r="Y97" s="41"/>
      <c r="Z97" s="41"/>
      <c r="AA97" s="41"/>
      <c r="AC97" s="1">
        <f t="shared" si="35"/>
        <v>6</v>
      </c>
      <c r="AD97" s="1" t="s">
        <v>1116</v>
      </c>
      <c r="AE97" s="1">
        <v>30001</v>
      </c>
      <c r="AF97" s="1" t="s">
        <v>1116</v>
      </c>
      <c r="AG97" s="1">
        <v>1</v>
      </c>
      <c r="AH97" s="2" t="s">
        <v>1223</v>
      </c>
      <c r="AI97" s="2">
        <f t="shared" si="31"/>
        <v>12</v>
      </c>
      <c r="AJ97" s="1" t="s">
        <v>1116</v>
      </c>
      <c r="AK97" s="1">
        <v>30002</v>
      </c>
      <c r="AL97" s="1" t="s">
        <v>1116</v>
      </c>
      <c r="AM97" s="2">
        <v>1</v>
      </c>
      <c r="AN97" s="2" t="s">
        <v>1223</v>
      </c>
      <c r="AO97" s="2">
        <f t="shared" si="36"/>
        <v>15</v>
      </c>
      <c r="AP97" s="1" t="s">
        <v>1116</v>
      </c>
      <c r="AQ97" s="1">
        <v>30001</v>
      </c>
      <c r="AR97" s="1" t="s">
        <v>1222</v>
      </c>
      <c r="AS97" s="1">
        <v>30004</v>
      </c>
      <c r="AT97" s="1" t="s">
        <v>1116</v>
      </c>
      <c r="AU97" s="2">
        <v>1</v>
      </c>
    </row>
    <row r="98" spans="1:47">
      <c r="S98" s="38"/>
      <c r="U98" s="38"/>
      <c r="W98" s="38"/>
      <c r="X98" s="41"/>
      <c r="Y98" s="41"/>
      <c r="Z98" s="41"/>
      <c r="AA98" s="41"/>
    </row>
    <row r="99" spans="1:47">
      <c r="S99" s="38"/>
      <c r="U99" s="38"/>
      <c r="W99" s="38"/>
      <c r="X99" s="41"/>
      <c r="Y99" s="41"/>
      <c r="Z99" s="41"/>
      <c r="AA99" s="41"/>
    </row>
    <row r="100" spans="1:47">
      <c r="S100" s="38"/>
      <c r="U100" s="38"/>
      <c r="W100" s="38"/>
      <c r="X100" s="41"/>
      <c r="Y100" s="41"/>
      <c r="Z100" s="41"/>
      <c r="AA100" s="41"/>
    </row>
    <row r="101" spans="1:47">
      <c r="S101" s="38"/>
      <c r="U101" s="38"/>
      <c r="W101" s="38"/>
      <c r="X101" s="41"/>
      <c r="Y101" s="41"/>
      <c r="Z101" s="41"/>
      <c r="AA101" s="41"/>
    </row>
    <row r="102" spans="1:47">
      <c r="S102" s="38"/>
      <c r="U102" s="38"/>
      <c r="W102" s="38"/>
      <c r="X102" s="41"/>
      <c r="Y102" s="41"/>
      <c r="Z102" s="41"/>
      <c r="AA102" s="41"/>
    </row>
    <row r="103" spans="1:47">
      <c r="S103" s="38"/>
      <c r="U103" s="38"/>
      <c r="W103" s="38"/>
      <c r="X103" s="41"/>
      <c r="Y103" s="41"/>
      <c r="Z103" s="41"/>
      <c r="AA103" s="41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DC104"/>
  <sheetViews>
    <sheetView workbookViewId="0">
      <pane ySplit="2" topLeftCell="A15" activePane="bottomLeft" state="frozen"/>
      <selection/>
      <selection pane="bottomLeft" activeCell="I23" sqref="I23"/>
    </sheetView>
  </sheetViews>
  <sheetFormatPr defaultColWidth="9" defaultRowHeight="14.25"/>
  <cols>
    <col min="1" max="20" width="9" style="2"/>
    <col min="21" max="21" width="4.125" style="2" customWidth="1"/>
    <col min="22" max="24" width="4.375" style="1" customWidth="1"/>
    <col min="25" max="25" width="4.375" style="3" customWidth="1"/>
    <col min="26" max="26" width="58.5" style="4" customWidth="1"/>
    <col min="27" max="27" width="4" style="5" customWidth="1"/>
    <col min="28" max="28" width="4" style="1" customWidth="1"/>
    <col min="29" max="29" width="4" style="6" customWidth="1"/>
    <col min="30" max="30" width="4" style="5" customWidth="1"/>
    <col min="31" max="31" width="4" style="1" customWidth="1"/>
    <col min="32" max="32" width="4" style="6" customWidth="1"/>
    <col min="33" max="33" width="4" style="7" customWidth="1"/>
    <col min="34" max="34" width="4" style="5" customWidth="1"/>
    <col min="35" max="35" width="4" style="1" customWidth="1"/>
    <col min="36" max="36" width="4" style="6" customWidth="1"/>
    <col min="37" max="37" width="4" style="1" customWidth="1"/>
    <col min="38" max="38" width="4" style="5" customWidth="1"/>
    <col min="39" max="39" width="4" style="1" customWidth="1"/>
    <col min="40" max="46" width="4" style="6" customWidth="1"/>
    <col min="47" max="47" width="4" style="1" customWidth="1"/>
    <col min="48" max="48" width="4" style="5" customWidth="1"/>
    <col min="49" max="49" width="4" style="1" customWidth="1"/>
    <col min="50" max="56" width="4" style="6" customWidth="1"/>
    <col min="57" max="57" width="4" style="8" customWidth="1"/>
    <col min="58" max="58" width="4" style="5" customWidth="1"/>
    <col min="59" max="59" width="4" style="1" customWidth="1"/>
    <col min="60" max="66" width="4" style="6" customWidth="1"/>
    <col min="67" max="67" width="4" style="8" customWidth="1"/>
    <col min="68" max="68" width="4" style="5" customWidth="1"/>
    <col min="69" max="69" width="3.125" style="2" customWidth="1"/>
    <col min="70" max="76" width="4" style="6" customWidth="1"/>
    <col min="77" max="77" width="3.125" style="9" customWidth="1"/>
    <col min="78" max="78" width="3.125" style="10" customWidth="1"/>
    <col min="79" max="79" width="3.125" style="2" customWidth="1"/>
    <col min="80" max="86" width="4" style="6" customWidth="1"/>
    <col min="87" max="87" width="3.125" style="9" customWidth="1"/>
    <col min="88" max="88" width="3.125" style="11" customWidth="1"/>
    <col min="89" max="89" width="3.125" style="2" customWidth="1"/>
    <col min="90" max="96" width="4" style="6" customWidth="1"/>
    <col min="97" max="97" width="3.125" style="9" customWidth="1"/>
    <col min="98" max="98" width="3.125" style="11" customWidth="1"/>
    <col min="99" max="99" width="3.125" style="2" customWidth="1"/>
    <col min="100" max="100" width="4" style="6" customWidth="1"/>
    <col min="101" max="105" width="3.125" style="2" customWidth="1"/>
    <col min="106" max="106" width="3.125" style="9" customWidth="1"/>
    <col min="107" max="107" width="3.125" style="2" customWidth="1"/>
    <col min="108" max="16384" width="9" style="2"/>
  </cols>
  <sheetData>
    <row r="1" ht="15" spans="5:107">
      <c r="E1"/>
      <c r="F1"/>
      <c r="G1"/>
      <c r="H1"/>
      <c r="I1"/>
      <c r="J1"/>
      <c r="K1"/>
      <c r="L1"/>
      <c r="M1"/>
      <c r="N1"/>
      <c r="O1"/>
      <c r="P1"/>
      <c r="Q1"/>
      <c r="R1"/>
      <c r="AA1" s="5">
        <v>2</v>
      </c>
      <c r="AB1" s="12">
        <v>5</v>
      </c>
      <c r="AG1" s="13">
        <v>0.5</v>
      </c>
      <c r="AH1" s="5" t="s">
        <v>1116</v>
      </c>
      <c r="AK1" s="12">
        <v>0.5</v>
      </c>
      <c r="AL1" s="5" t="s">
        <v>1116</v>
      </c>
      <c r="AM1" s="1" t="s">
        <v>1222</v>
      </c>
      <c r="AP1" s="14">
        <v>3</v>
      </c>
      <c r="AU1" s="12">
        <v>1</v>
      </c>
      <c r="AV1" s="5" t="s">
        <v>1116</v>
      </c>
      <c r="AW1" s="1" t="s">
        <v>1222</v>
      </c>
      <c r="AZ1" s="6">
        <v>2.5</v>
      </c>
      <c r="BE1" s="13">
        <v>1</v>
      </c>
      <c r="BF1" s="5" t="s">
        <v>1116</v>
      </c>
      <c r="BG1" s="1" t="s">
        <v>1222</v>
      </c>
      <c r="BJ1" s="6">
        <v>2.2</v>
      </c>
      <c r="BO1" s="13">
        <v>1.5</v>
      </c>
      <c r="BP1" s="5" t="s">
        <v>1116</v>
      </c>
      <c r="BQ1" s="1" t="s">
        <v>1222</v>
      </c>
      <c r="BT1" s="6">
        <v>2</v>
      </c>
      <c r="BY1" s="13">
        <v>1.5</v>
      </c>
      <c r="BZ1" s="5" t="s">
        <v>1116</v>
      </c>
      <c r="CA1" s="1" t="s">
        <v>1222</v>
      </c>
      <c r="CD1" s="6">
        <v>1.8</v>
      </c>
      <c r="CI1" s="13">
        <v>1.5</v>
      </c>
      <c r="CJ1" s="15" t="s">
        <v>1116</v>
      </c>
      <c r="CK1" s="1" t="s">
        <v>1222</v>
      </c>
      <c r="CN1" s="6">
        <v>1.5</v>
      </c>
      <c r="CS1" s="13">
        <v>1.5</v>
      </c>
      <c r="CT1" s="15" t="s">
        <v>1116</v>
      </c>
      <c r="CY1" s="2">
        <v>1.2</v>
      </c>
      <c r="DC1" s="12">
        <v>1.5</v>
      </c>
    </row>
    <row r="2" s="1" customFormat="1" ht="35.25" spans="5:107">
      <c r="E2"/>
      <c r="F2" s="16" t="s">
        <v>1273</v>
      </c>
      <c r="G2" s="17"/>
      <c r="H2" s="18"/>
      <c r="I2" s="18"/>
      <c r="J2" s="18"/>
      <c r="K2" s="18"/>
      <c r="L2" s="18"/>
      <c r="M2" s="18"/>
      <c r="N2" s="19"/>
      <c r="O2" s="20" t="s">
        <v>1274</v>
      </c>
      <c r="P2" s="21"/>
      <c r="Q2" s="22"/>
      <c r="R2" s="23"/>
      <c r="U2" s="1" t="s">
        <v>1275</v>
      </c>
      <c r="V2" s="1" t="s">
        <v>1119</v>
      </c>
      <c r="W2" s="1" t="s">
        <v>64</v>
      </c>
      <c r="X2" s="1" t="s">
        <v>1220</v>
      </c>
      <c r="Y2" s="3" t="s">
        <v>97</v>
      </c>
      <c r="Z2" s="24" t="s">
        <v>99</v>
      </c>
      <c r="AA2" s="5">
        <v>1</v>
      </c>
      <c r="AB2" s="1" t="s">
        <v>1221</v>
      </c>
      <c r="AC2" s="6" t="s">
        <v>1223</v>
      </c>
      <c r="AD2" s="5">
        <v>2</v>
      </c>
      <c r="AE2" s="1" t="s">
        <v>1221</v>
      </c>
      <c r="AF2" s="6"/>
      <c r="AG2" s="7" t="s">
        <v>1223</v>
      </c>
      <c r="AH2" s="5">
        <v>3</v>
      </c>
      <c r="AI2" s="1" t="s">
        <v>1221</v>
      </c>
      <c r="AJ2" s="6"/>
      <c r="AK2" s="1" t="s">
        <v>1223</v>
      </c>
      <c r="AL2" s="5">
        <v>4</v>
      </c>
      <c r="AM2" s="1" t="s">
        <v>1221</v>
      </c>
      <c r="AO2" s="6"/>
      <c r="AP2" s="6"/>
      <c r="AQ2" s="6"/>
      <c r="AR2" s="6"/>
      <c r="AS2" s="6"/>
      <c r="AT2" s="6"/>
      <c r="AU2" s="1" t="s">
        <v>1223</v>
      </c>
      <c r="AV2" s="5">
        <v>5</v>
      </c>
      <c r="AW2" s="1" t="s">
        <v>1221</v>
      </c>
      <c r="AX2" s="6"/>
      <c r="AY2" s="6"/>
      <c r="AZ2" s="6"/>
      <c r="BA2" s="6"/>
      <c r="BB2" s="6"/>
      <c r="BC2" s="6"/>
      <c r="BD2" s="6"/>
      <c r="BE2" s="8" t="s">
        <v>1223</v>
      </c>
      <c r="BF2" s="5">
        <v>6</v>
      </c>
      <c r="BG2" s="1" t="s">
        <v>1221</v>
      </c>
      <c r="BH2" s="6"/>
      <c r="BI2" s="6"/>
      <c r="BJ2" s="6"/>
      <c r="BK2" s="6"/>
      <c r="BL2" s="6"/>
      <c r="BM2" s="6"/>
      <c r="BN2" s="6"/>
      <c r="BO2" s="8" t="s">
        <v>1223</v>
      </c>
      <c r="BP2" s="5">
        <v>7</v>
      </c>
      <c r="BQ2" s="1" t="s">
        <v>1221</v>
      </c>
      <c r="BR2" s="6"/>
      <c r="BS2" s="6"/>
      <c r="BT2" s="6"/>
      <c r="BU2" s="6"/>
      <c r="BV2" s="6"/>
      <c r="BW2" s="6"/>
      <c r="BX2" s="6"/>
      <c r="BY2" s="8" t="s">
        <v>1223</v>
      </c>
      <c r="BZ2" s="5">
        <v>8</v>
      </c>
      <c r="CA2" s="1" t="s">
        <v>1221</v>
      </c>
      <c r="CB2" s="6"/>
      <c r="CC2" s="6"/>
      <c r="CD2" s="6"/>
      <c r="CE2" s="6"/>
      <c r="CF2" s="6"/>
      <c r="CG2" s="6"/>
      <c r="CH2" s="6"/>
      <c r="CI2" s="8" t="s">
        <v>1223</v>
      </c>
      <c r="CJ2" s="15">
        <v>9</v>
      </c>
      <c r="CK2" s="1" t="s">
        <v>1221</v>
      </c>
      <c r="CL2" s="6"/>
      <c r="CM2" s="6"/>
      <c r="CN2" s="6"/>
      <c r="CO2" s="6"/>
      <c r="CP2" s="6"/>
      <c r="CQ2" s="6"/>
      <c r="CR2" s="6"/>
      <c r="CS2" s="8" t="s">
        <v>1223</v>
      </c>
      <c r="CT2" s="15">
        <v>10</v>
      </c>
      <c r="CU2" s="1" t="s">
        <v>1221</v>
      </c>
      <c r="CV2" s="6"/>
      <c r="DB2" s="8"/>
    </row>
    <row r="3" s="2" customFormat="1" spans="5:107">
      <c r="E3" s="25" t="s">
        <v>913</v>
      </c>
      <c r="F3" s="26">
        <v>1</v>
      </c>
      <c r="G3" s="27" t="s">
        <v>1276</v>
      </c>
      <c r="H3" s="27">
        <v>2</v>
      </c>
      <c r="I3" s="27" t="s">
        <v>1276</v>
      </c>
      <c r="J3" s="27"/>
      <c r="K3" s="27"/>
      <c r="L3" s="27"/>
      <c r="M3" s="27"/>
      <c r="N3" s="28"/>
      <c r="O3" s="26"/>
      <c r="P3" s="27"/>
      <c r="Q3" s="27"/>
      <c r="R3" s="29"/>
      <c r="U3" s="2">
        <v>1</v>
      </c>
      <c r="V3" s="1" t="str">
        <f>RIGHT(W3,1)</f>
        <v>1</v>
      </c>
      <c r="W3" s="1">
        <v>11</v>
      </c>
      <c r="X3" s="30" t="s">
        <v>145</v>
      </c>
      <c r="Y3" s="3">
        <f>出怪成长!C2</f>
        <v>3</v>
      </c>
      <c r="Z3" s="31" t="str">
        <f>AA3&amp;$AB$2&amp;AB3&amp;$AB$2&amp;AC3&amp;$AC$2&amp;AD3&amp;$AE$2&amp;AE3&amp;$AE$2&amp;AF3&amp;$AG$2&amp;AH3&amp;$AI$2&amp;AI3&amp;$AI$2&amp;AJ3</f>
        <v>1:2:1|1:4:1|2:8:1</v>
      </c>
      <c r="AA3" s="5">
        <v>1</v>
      </c>
      <c r="AB3" s="32">
        <f>AA$2*$AA$1+INT($V3/$AB$1)</f>
        <v>2</v>
      </c>
      <c r="AC3" s="6">
        <f t="shared" ref="AC3:AC66" si="0">IF(AA3=$F3,IF($F3="","",IF((VLOOKUP($F3,$F:$G,2,FALSE)="步兵"),1,2)),IF(AA3=$H3,IF($H3="","",IF((VLOOKUP($H3,$H:$I,2,FALSE)="步兵"),1,2)),IF(AA3=$J3,IF($J3="","",IF((VLOOKUP($J3,$J:$K,2,FALSE)="步兵"),1,2)),IF(AA3=$L3,IF($L3="","",IF((VLOOKUP($L3,$L:$M,2,FALSE)="步兵"),1,2)),IF(AA3=$O3,IF($O3="","",IF((VLOOKUP($O3,$O:$P,2,FALSE)="步兵"),1,2)),IF(AA3=$Q3,IF($Q3="","",IF((VLOOKUP($Q3,$Q:$R,2,FALSE)="步兵"),1,2)),"出怪口错误"))))))</f>
        <v>1</v>
      </c>
      <c r="AD3" s="5">
        <v>1</v>
      </c>
      <c r="AE3" s="32">
        <f>INT(AB3+AG3)</f>
        <v>4</v>
      </c>
      <c r="AF3" s="6">
        <f>IF(AD3=$F3,IF($F3="","",IF((VLOOKUP($F3,$F:$G,2,FALSE)="步兵"),1,2)),IF(AD3=$H3,IF($H3="","",IF((VLOOKUP($H3,$H:$I,2,FALSE)="步兵"),1,2)),IF(AD3=$J3,IF($J3="","",IF((VLOOKUP($J3,$J:$K,2,FALSE)="步兵"),1,2)),IF(AD3=$L3,IF($L3="","",IF((VLOOKUP($L3,$L:$M,2,FALSE)="步兵"),1,2)),IF(AD3=$O3,IF($O3="","",IF((VLOOKUP($O3,$O:$P,2,FALSE)="步兵"),1,2)),IF(AD3=$Q3,IF($Q3="","",IF((VLOOKUP($Q3,$Q:$R,2,FALSE)="步兵"),1,2)),"出怪口错误"))))))</f>
        <v>1</v>
      </c>
      <c r="AG3" s="13">
        <v>2</v>
      </c>
      <c r="AH3" s="5">
        <v>2</v>
      </c>
      <c r="AI3" s="32">
        <f t="shared" ref="AI3:AI66" si="1">INT(AE3+AK3)</f>
        <v>8</v>
      </c>
      <c r="AJ3" s="6">
        <f t="shared" ref="AJ3:AJ66" si="2">IF(AH3=$F3,IF($F3="","",IF((VLOOKUP($F3,$F:$G,2,FALSE)="步兵"),1,2)),IF(AH3=$H3,IF($H3="","",IF((VLOOKUP($H3,$H:$I,2,FALSE)="步兵"),1,2)),IF(AH3=$J3,IF($J3="","",IF((VLOOKUP($J3,$J:$K,2,FALSE)="步兵"),1,2)),IF(AH3=$L3,IF($L3="","",IF((VLOOKUP($L3,$L:$M,2,FALSE)="步兵"),1,2)),IF(AH3=$O3,IF($O3="","",IF((VLOOKUP($O3,$O:$P,2,FALSE)="步兵"),1,2)),IF(AH3=$Q3,IF($Q3="","",IF((VLOOKUP($Q3,$Q:$R,2,FALSE)="步兵"),1,2)),"出怪口错误"))))))</f>
        <v>1</v>
      </c>
      <c r="AK3" s="12">
        <v>4</v>
      </c>
      <c r="AL3" s="5">
        <v>2</v>
      </c>
      <c r="AM3" s="32">
        <f t="shared" ref="AM3:AM18" si="3">INT(AI3+AU3)</f>
        <v>12</v>
      </c>
      <c r="AN3" s="6">
        <f t="shared" ref="AN3:AN66" si="4">IF(AL3=$F3,IF($F3="","",IF((VLOOKUP($F3,$F:$G,2,FALSE)="步兵"),1,2)),IF(AL3=$H3,IF($H3="","",IF((VLOOKUP($H3,$H:$I,2,FALSE)="步兵"),1,2)),IF(AL3=$J3,IF($J3="","",IF((VLOOKUP($J3,$J:$K,2,FALSE)="步兵"),1,2)),IF(AL3=$L3,IF($L3="","",IF((VLOOKUP($L3,$L:$M,2,FALSE)="步兵"),1,2)),IF(AL3=$O3,IF($O3="","",IF((VLOOKUP($O3,$O:$P,2,FALSE)="步兵"),1,2)),IF(AL3=$Q3,IF($Q3="","",IF((VLOOKUP($Q3,$Q:$R,2,FALSE)="步兵"),1,2)),"出怪口错误"))))))</f>
        <v>1</v>
      </c>
      <c r="AO3" s="6"/>
      <c r="AP3" s="6"/>
      <c r="AQ3" s="6"/>
      <c r="AR3" s="6"/>
      <c r="AS3" s="6"/>
      <c r="AT3" s="6"/>
      <c r="AU3" s="12">
        <v>4</v>
      </c>
      <c r="AV3" s="5">
        <v>1</v>
      </c>
      <c r="AW3" s="32">
        <f t="shared" ref="AW3:AW18" si="5">INT(AM3+BE3)</f>
        <v>17</v>
      </c>
      <c r="AX3" s="6">
        <f t="shared" ref="AX3:AX66" si="6">IF(AV3=$F3,IF($F3="","",IF((VLOOKUP($F3,$F:$G,2,FALSE)="步兵"),1,2)),IF(AV3=$H3,IF($H3="","",IF((VLOOKUP($H3,$H:$I,2,FALSE)="步兵"),1,2)),IF(AV3=$J3,IF($J3="","",IF((VLOOKUP($J3,$J:$K,2,FALSE)="步兵"),1,2)),IF(AV3=$L3,IF($L3="","",IF((VLOOKUP($L3,$L:$M,2,FALSE)="步兵"),1,2)),IF(AV3=$O3,IF($O3="","",IF((VLOOKUP($O3,$O:$P,2,FALSE)="步兵"),1,2)),IF(AV3=$Q3,IF($Q3="","",IF((VLOOKUP($Q3,$Q:$R,2,FALSE)="步兵"),1,2)),"出怪口错误"))))))</f>
        <v>1</v>
      </c>
      <c r="AY3" s="6"/>
      <c r="AZ3" s="6"/>
      <c r="BA3" s="6"/>
      <c r="BB3" s="6"/>
      <c r="BC3" s="6"/>
      <c r="BD3" s="6"/>
      <c r="BE3" s="13">
        <v>5</v>
      </c>
      <c r="BF3" s="5">
        <v>2</v>
      </c>
      <c r="BG3" s="32">
        <f t="shared" ref="BG3:BG18" si="7">INT(AW3+BO3)</f>
        <v>22</v>
      </c>
      <c r="BH3" s="6">
        <f t="shared" ref="BH3:BH66" si="8">IF(BF3=$F3,IF($F3="","",IF((VLOOKUP($F3,$F:$G,2,FALSE)="步兵"),1,2)),IF(BF3=$H3,IF($H3="","",IF((VLOOKUP($H3,$H:$I,2,FALSE)="步兵"),1,2)),IF(BF3=$J3,IF($J3="","",IF((VLOOKUP($J3,$J:$K,2,FALSE)="步兵"),1,2)),IF(BF3=$L3,IF($L3="","",IF((VLOOKUP($L3,$L:$M,2,FALSE)="步兵"),1,2)),IF(BF3=$O3,IF($O3="","",IF((VLOOKUP($O3,$O:$P,2,FALSE)="步兵"),1,2)),IF(BF3=$Q3,IF($Q3="","",IF((VLOOKUP($Q3,$Q:$R,2,FALSE)="步兵"),1,2)),"出怪口错误"))))))</f>
        <v>1</v>
      </c>
      <c r="BI3" s="6"/>
      <c r="BJ3" s="6"/>
      <c r="BK3" s="6"/>
      <c r="BL3" s="6"/>
      <c r="BM3" s="6"/>
      <c r="BN3" s="6"/>
      <c r="BO3" s="13">
        <v>5</v>
      </c>
      <c r="BP3" s="5">
        <v>1</v>
      </c>
      <c r="BQ3" s="32">
        <f t="shared" ref="BQ3:BQ18" si="9">INT(BG3+BY3)</f>
        <v>27</v>
      </c>
      <c r="BR3" s="6">
        <f t="shared" ref="BR3:BR66" si="10">IF(BP3=$F3,IF($F3="","",IF((VLOOKUP($F3,$F:$G,2,FALSE)="步兵"),1,2)),IF(BP3=$H3,IF($H3="","",IF((VLOOKUP($H3,$H:$I,2,FALSE)="步兵"),1,2)),IF(BP3=$J3,IF($J3="","",IF((VLOOKUP($J3,$J:$K,2,FALSE)="步兵"),1,2)),IF(BP3=$L3,IF($L3="","",IF((VLOOKUP($L3,$L:$M,2,FALSE)="步兵"),1,2)),IF(BP3=$O3,IF($O3="","",IF((VLOOKUP($O3,$O:$P,2,FALSE)="步兵"),1,2)),IF(BP3=$Q3,IF($Q3="","",IF((VLOOKUP($Q3,$Q:$R,2,FALSE)="步兵"),1,2)),"出怪口错误"))))))</f>
        <v>1</v>
      </c>
      <c r="BS3" s="6"/>
      <c r="BT3" s="6"/>
      <c r="BU3" s="6"/>
      <c r="BV3" s="6"/>
      <c r="BW3" s="6"/>
      <c r="BX3" s="6"/>
      <c r="BY3" s="13">
        <v>5</v>
      </c>
      <c r="BZ3" s="5">
        <v>2</v>
      </c>
      <c r="CA3" s="32">
        <f t="shared" ref="CA3:CA18" si="11">INT(BQ3+CI3)</f>
        <v>32</v>
      </c>
      <c r="CB3" s="6">
        <f t="shared" ref="CB3:CB66" si="12">IF(BZ3=$F3,IF($F3="","",IF((VLOOKUP($F3,$F:$G,2,FALSE)="步兵"),1,2)),IF(BZ3=$H3,IF($H3="","",IF((VLOOKUP($H3,$H:$I,2,FALSE)="步兵"),1,2)),IF(BZ3=$J3,IF($J3="","",IF((VLOOKUP($J3,$J:$K,2,FALSE)="步兵"),1,2)),IF(BZ3=$L3,IF($L3="","",IF((VLOOKUP($L3,$L:$M,2,FALSE)="步兵"),1,2)),IF(BZ3=$O3,IF($O3="","",IF((VLOOKUP($O3,$O:$P,2,FALSE)="步兵"),1,2)),IF(BZ3=$Q3,IF($Q3="","",IF((VLOOKUP($Q3,$Q:$R,2,FALSE)="步兵"),1,2)),"出怪口错误"))))))</f>
        <v>1</v>
      </c>
      <c r="CC3" s="6"/>
      <c r="CD3" s="6"/>
      <c r="CE3" s="6"/>
      <c r="CF3" s="6"/>
      <c r="CG3" s="6"/>
      <c r="CH3" s="6"/>
      <c r="CI3" s="13">
        <v>5</v>
      </c>
      <c r="CJ3" s="15">
        <v>1</v>
      </c>
      <c r="CK3" s="32">
        <f t="shared" ref="CK3:CK18" si="13">INT(CA3+CS3)</f>
        <v>37</v>
      </c>
      <c r="CL3" s="6">
        <f t="shared" ref="CL3:CL66" si="14">IF(CJ3=$F3,IF($F3="","",IF((VLOOKUP($F3,$F:$G,2,FALSE)="步兵"),1,2)),IF(CJ3=$H3,IF($H3="","",IF((VLOOKUP($H3,$H:$I,2,FALSE)="步兵"),1,2)),IF(CJ3=$J3,IF($J3="","",IF((VLOOKUP($J3,$J:$K,2,FALSE)="步兵"),1,2)),IF(CJ3=$L3,IF($L3="","",IF((VLOOKUP($L3,$L:$M,2,FALSE)="步兵"),1,2)),IF(CJ3=$O3,IF($O3="","",IF((VLOOKUP($O3,$O:$P,2,FALSE)="步兵"),1,2)),IF(CJ3=$Q3,IF($Q3="","",IF((VLOOKUP($Q3,$Q:$R,2,FALSE)="步兵"),1,2)),"出怪口错误"))))))</f>
        <v>1</v>
      </c>
      <c r="CM3" s="6"/>
      <c r="CN3" s="6"/>
      <c r="CO3" s="6"/>
      <c r="CP3" s="6"/>
      <c r="CQ3" s="6"/>
      <c r="CR3" s="6"/>
      <c r="CS3" s="13">
        <v>5</v>
      </c>
      <c r="CT3" s="15">
        <v>2</v>
      </c>
      <c r="CU3" s="32">
        <f>INT(CK3+DC3)</f>
        <v>42</v>
      </c>
      <c r="CV3" s="6">
        <f t="shared" ref="CV3:CV9" si="15">IF(CT3=$F3,IF($F3="","",IF((VLOOKUP($F3,$F:$G,2,FALSE)="步兵"),1,2)),IF(CT3=$H3,IF($H3="","",IF((VLOOKUP($H3,$H:$I,2,FALSE)="步兵"),1,2)),IF(CT3=$J3,IF($J3="","",IF((VLOOKUP($J3,$J:$K,2,FALSE)="步兵"),1,2)),IF(CT3=$L3,IF($L3="","",IF((VLOOKUP($L3,$L:$M,2,FALSE)="步兵"),1,2)),IF(CT3=$O3,IF($O3="","",IF((VLOOKUP($O3,$O:$P,2,FALSE)="步兵"),1,2)),IF(CT3=$Q3,IF($Q3="","",IF((VLOOKUP($Q3,$Q:$R,2,FALSE)="步兵"),1,2)),"出怪口错误"))))))</f>
        <v>1</v>
      </c>
      <c r="DB3" s="9"/>
      <c r="DC3" s="12">
        <v>5</v>
      </c>
    </row>
    <row r="4" s="2" customFormat="1" spans="5:107">
      <c r="E4" s="25" t="s">
        <v>916</v>
      </c>
      <c r="F4" s="26">
        <v>1</v>
      </c>
      <c r="G4" s="27" t="s">
        <v>1276</v>
      </c>
      <c r="H4" s="27">
        <v>2</v>
      </c>
      <c r="I4" s="27" t="s">
        <v>1276</v>
      </c>
      <c r="J4" s="27"/>
      <c r="K4" s="27"/>
      <c r="L4" s="27"/>
      <c r="M4" s="27"/>
      <c r="N4" s="28"/>
      <c r="O4" s="26"/>
      <c r="P4" s="27"/>
      <c r="Q4" s="27"/>
      <c r="R4" s="29"/>
      <c r="U4" s="2">
        <v>2</v>
      </c>
      <c r="V4" s="1" t="str">
        <f t="shared" ref="V4:V35" si="16">RIGHT(W4,1)</f>
        <v>2</v>
      </c>
      <c r="W4" s="1">
        <v>12</v>
      </c>
      <c r="X4" s="30" t="s">
        <v>145</v>
      </c>
      <c r="Y4" s="3">
        <f>出怪成长!C3</f>
        <v>7</v>
      </c>
      <c r="Z4" s="31" t="str">
        <f>AA4&amp;$AB$2&amp;AB4&amp;$AB$2&amp;AC4&amp;$AC$2&amp;AD4&amp;$AE$2&amp;AE4&amp;$AE$2&amp;AF4&amp;$AG$2&amp;AH4&amp;$AI$2&amp;AI4&amp;$AI$2&amp;AJ4&amp;$AK$2&amp;AL4&amp;$AM$2&amp;AM4&amp;$AM$2&amp;AN4&amp;$AU$2&amp;AV4&amp;$AW$2&amp;AW4&amp;$AW$2&amp;AX4&amp;$BE$2&amp;BF4&amp;$BG$2&amp;BG4&amp;$BG$2&amp;BH4&amp;$BO$2&amp;BP4&amp;$BQ$2&amp;BQ4&amp;$BQ$2&amp;BR4</f>
        <v>1:2:1|1:4:1|2:8:1|2:12:1|1:17:1|2:22:1|1:27:1</v>
      </c>
      <c r="AA4" s="5">
        <f>AA3</f>
        <v>1</v>
      </c>
      <c r="AB4" s="33">
        <f t="shared" ref="AB4:AB35" si="17">AA$2*$AA$1+INT($V4/$AB$1)</f>
        <v>2</v>
      </c>
      <c r="AC4" s="6">
        <f t="shared" si="0"/>
        <v>1</v>
      </c>
      <c r="AD4" s="5">
        <f t="shared" ref="AD4:AD67" si="18">AD3</f>
        <v>1</v>
      </c>
      <c r="AE4" s="33">
        <f t="shared" ref="AE4:AE35" si="19">INT(AB4+AG4)</f>
        <v>4</v>
      </c>
      <c r="AF4" s="6">
        <f t="shared" ref="AF4:AF67" si="20">IF(AD4=$F4,IF($F4="","",IF((VLOOKUP($F4,$F:$G,2,FALSE)="步兵"),1,2)),IF(AD4=$H4,IF($H4="","",IF((VLOOKUP($H4,$H:$I,2,FALSE)="步兵"),1,2)),IF(AD4=$J4,IF($J4="","",IF((VLOOKUP($J4,$J:$K,2,FALSE)="步兵"),1,2)),IF(AD4=$L4,IF($L4="","",IF((VLOOKUP($L4,$L:$M,2,FALSE)="步兵"),1,2)),IF(AD4=$O4,IF($O4="","",IF((VLOOKUP($O4,$O:$P,2,FALSE)="步兵"),1,2)),IF(AD4=$Q4,IF($Q4="","",IF((VLOOKUP($Q4,$Q:$R,2,FALSE)="步兵"),1,2)),"出怪口错误"))))))</f>
        <v>1</v>
      </c>
      <c r="AG4" s="7">
        <f>AG3</f>
        <v>2</v>
      </c>
      <c r="AH4" s="5">
        <f t="shared" ref="AH4:AH67" si="21">AH3</f>
        <v>2</v>
      </c>
      <c r="AI4" s="33">
        <f t="shared" si="1"/>
        <v>8</v>
      </c>
      <c r="AJ4" s="6">
        <f t="shared" si="2"/>
        <v>1</v>
      </c>
      <c r="AK4" s="1">
        <f t="shared" ref="AK4:AK10" si="22">AK3</f>
        <v>4</v>
      </c>
      <c r="AL4" s="5">
        <f t="shared" ref="AL4:AL67" si="23">AL3</f>
        <v>2</v>
      </c>
      <c r="AM4" s="33">
        <f t="shared" si="3"/>
        <v>12</v>
      </c>
      <c r="AN4" s="6">
        <f t="shared" si="4"/>
        <v>1</v>
      </c>
      <c r="AO4" s="6"/>
      <c r="AP4" s="6"/>
      <c r="AQ4" s="6"/>
      <c r="AR4" s="6"/>
      <c r="AS4" s="6"/>
      <c r="AT4" s="6"/>
      <c r="AU4" s="1">
        <f t="shared" ref="AU4:AU10" si="24">AU3</f>
        <v>4</v>
      </c>
      <c r="AV4" s="5">
        <f t="shared" ref="AV4:AV18" si="25">AV3</f>
        <v>1</v>
      </c>
      <c r="AW4" s="33">
        <f t="shared" si="5"/>
        <v>17</v>
      </c>
      <c r="AX4" s="6">
        <f t="shared" si="6"/>
        <v>1</v>
      </c>
      <c r="AY4" s="6"/>
      <c r="AZ4" s="6"/>
      <c r="BA4" s="6"/>
      <c r="BB4" s="6"/>
      <c r="BC4" s="6"/>
      <c r="BD4" s="6"/>
      <c r="BE4" s="8">
        <f t="shared" ref="BE4:BE10" si="26">BE3</f>
        <v>5</v>
      </c>
      <c r="BF4" s="5">
        <f t="shared" ref="BF4:BF18" si="27">BF3</f>
        <v>2</v>
      </c>
      <c r="BG4" s="33">
        <f t="shared" si="7"/>
        <v>22</v>
      </c>
      <c r="BH4" s="6">
        <f t="shared" si="8"/>
        <v>1</v>
      </c>
      <c r="BI4" s="6"/>
      <c r="BJ4" s="6"/>
      <c r="BK4" s="6"/>
      <c r="BL4" s="6"/>
      <c r="BM4" s="6"/>
      <c r="BN4" s="6"/>
      <c r="BO4" s="8">
        <f t="shared" ref="BO4:BO10" si="28">BO3</f>
        <v>5</v>
      </c>
      <c r="BP4" s="5">
        <f t="shared" ref="BP4:BP18" si="29">BP3</f>
        <v>1</v>
      </c>
      <c r="BQ4" s="33">
        <f t="shared" si="9"/>
        <v>27</v>
      </c>
      <c r="BR4" s="6">
        <f t="shared" si="10"/>
        <v>1</v>
      </c>
      <c r="BS4" s="6"/>
      <c r="BT4" s="6"/>
      <c r="BU4" s="6"/>
      <c r="BV4" s="6"/>
      <c r="BW4" s="6"/>
      <c r="BX4" s="6"/>
      <c r="BY4" s="8">
        <f t="shared" ref="BY4:BY10" si="30">BY3</f>
        <v>5</v>
      </c>
      <c r="BZ4" s="5">
        <f t="shared" ref="BZ4:BZ18" si="31">BZ3</f>
        <v>2</v>
      </c>
      <c r="CA4" s="33">
        <f t="shared" si="11"/>
        <v>32</v>
      </c>
      <c r="CB4" s="6">
        <f t="shared" si="12"/>
        <v>1</v>
      </c>
      <c r="CC4" s="6"/>
      <c r="CD4" s="6"/>
      <c r="CE4" s="6"/>
      <c r="CF4" s="6"/>
      <c r="CG4" s="6"/>
      <c r="CH4" s="6"/>
      <c r="CI4" s="8">
        <f t="shared" ref="CI4:CI10" si="32">CI3</f>
        <v>5</v>
      </c>
      <c r="CJ4" s="15">
        <f t="shared" ref="CJ4:CJ67" si="33">CJ3</f>
        <v>1</v>
      </c>
      <c r="CK4" s="33">
        <f t="shared" si="13"/>
        <v>37</v>
      </c>
      <c r="CL4" s="6">
        <f t="shared" si="14"/>
        <v>1</v>
      </c>
      <c r="CM4" s="6"/>
      <c r="CN4" s="6"/>
      <c r="CO4" s="6"/>
      <c r="CP4" s="6"/>
      <c r="CQ4" s="6"/>
      <c r="CR4" s="6"/>
      <c r="CS4" s="8">
        <f t="shared" ref="CS4:CS10" si="34">CS3</f>
        <v>5</v>
      </c>
      <c r="CT4" s="15">
        <f t="shared" ref="CT4:CT67" si="35">CT3</f>
        <v>2</v>
      </c>
      <c r="CU4" s="33">
        <f>INT(CK4+DC4)</f>
        <v>42</v>
      </c>
      <c r="CV4" s="6">
        <f t="shared" si="15"/>
        <v>1</v>
      </c>
      <c r="DB4" s="9"/>
      <c r="DC4" s="1">
        <f t="shared" ref="DC4:DC10" si="36">DC3</f>
        <v>5</v>
      </c>
    </row>
    <row r="5" s="2" customFormat="1" spans="5:107">
      <c r="E5" s="25" t="s">
        <v>919</v>
      </c>
      <c r="F5" s="26">
        <v>1</v>
      </c>
      <c r="G5" s="27" t="s">
        <v>1276</v>
      </c>
      <c r="H5" s="27">
        <v>2</v>
      </c>
      <c r="I5" s="27" t="s">
        <v>1276</v>
      </c>
      <c r="J5" s="27"/>
      <c r="K5" s="27"/>
      <c r="L5" s="27"/>
      <c r="M5" s="27"/>
      <c r="N5" s="28"/>
      <c r="O5" s="26"/>
      <c r="P5" s="27"/>
      <c r="Q5" s="27"/>
      <c r="R5" s="29"/>
      <c r="U5" s="2">
        <v>3</v>
      </c>
      <c r="V5" s="1" t="str">
        <f t="shared" si="16"/>
        <v>3</v>
      </c>
      <c r="W5" s="1">
        <v>13</v>
      </c>
      <c r="X5" s="30" t="s">
        <v>145</v>
      </c>
      <c r="Y5" s="3">
        <f>出怪成长!C4</f>
        <v>8</v>
      </c>
      <c r="Z5" s="31" t="str">
        <f>AA5&amp;$AB$2&amp;AB5&amp;$AB$2&amp;AC5&amp;$AC$2&amp;AD5&amp;$AE$2&amp;AE5&amp;$AE$2&amp;AF5&amp;$AG$2&amp;AH5&amp;$AI$2&amp;AI5&amp;$AI$2&amp;AJ5&amp;$AK$2&amp;AL5&amp;$AM$2&amp;AM5&amp;$AM$2&amp;AN5&amp;$AU$2&amp;AV5&amp;$AW$2&amp;AW5&amp;$AW$2&amp;AX5&amp;$BE$2&amp;BF5&amp;$BG$2&amp;BG5&amp;$BG$2&amp;BH5&amp;$BO$2&amp;BP5&amp;$BQ$2&amp;BQ5&amp;$BQ$2&amp;BR5&amp;$BY$2&amp;BZ5&amp;$CA$2&amp;CA5&amp;$CA$2&amp;CB5</f>
        <v>1:2:1|1:4:1|2:8:1|2:12:1|1:17:1|2:22:1|1:27:1|2:32:1</v>
      </c>
      <c r="AA5" s="5">
        <f t="shared" ref="AA5:AA36" si="37">AA4</f>
        <v>1</v>
      </c>
      <c r="AB5" s="33">
        <f t="shared" si="17"/>
        <v>2</v>
      </c>
      <c r="AC5" s="6">
        <f t="shared" si="0"/>
        <v>1</v>
      </c>
      <c r="AD5" s="5">
        <f t="shared" si="18"/>
        <v>1</v>
      </c>
      <c r="AE5" s="33">
        <f t="shared" si="19"/>
        <v>4</v>
      </c>
      <c r="AF5" s="6">
        <f t="shared" si="20"/>
        <v>1</v>
      </c>
      <c r="AG5" s="7">
        <f t="shared" ref="AG5:AG10" si="38">AG4</f>
        <v>2</v>
      </c>
      <c r="AH5" s="5">
        <f t="shared" si="21"/>
        <v>2</v>
      </c>
      <c r="AI5" s="33">
        <f t="shared" si="1"/>
        <v>8</v>
      </c>
      <c r="AJ5" s="6">
        <f t="shared" si="2"/>
        <v>1</v>
      </c>
      <c r="AK5" s="1">
        <f t="shared" si="22"/>
        <v>4</v>
      </c>
      <c r="AL5" s="5">
        <f t="shared" si="23"/>
        <v>2</v>
      </c>
      <c r="AM5" s="33">
        <f t="shared" si="3"/>
        <v>12</v>
      </c>
      <c r="AN5" s="6">
        <f t="shared" si="4"/>
        <v>1</v>
      </c>
      <c r="AO5" s="6"/>
      <c r="AP5" s="6"/>
      <c r="AQ5" s="6"/>
      <c r="AR5" s="6"/>
      <c r="AS5" s="6"/>
      <c r="AT5" s="6"/>
      <c r="AU5" s="1">
        <f t="shared" si="24"/>
        <v>4</v>
      </c>
      <c r="AV5" s="5">
        <f t="shared" si="25"/>
        <v>1</v>
      </c>
      <c r="AW5" s="33">
        <f t="shared" si="5"/>
        <v>17</v>
      </c>
      <c r="AX5" s="6">
        <f t="shared" si="6"/>
        <v>1</v>
      </c>
      <c r="AY5" s="6"/>
      <c r="AZ5" s="6"/>
      <c r="BA5" s="6"/>
      <c r="BB5" s="6"/>
      <c r="BC5" s="6"/>
      <c r="BD5" s="6"/>
      <c r="BE5" s="8">
        <f t="shared" si="26"/>
        <v>5</v>
      </c>
      <c r="BF5" s="5">
        <f t="shared" si="27"/>
        <v>2</v>
      </c>
      <c r="BG5" s="33">
        <f t="shared" si="7"/>
        <v>22</v>
      </c>
      <c r="BH5" s="6">
        <f t="shared" si="8"/>
        <v>1</v>
      </c>
      <c r="BI5" s="6"/>
      <c r="BJ5" s="6"/>
      <c r="BK5" s="6"/>
      <c r="BL5" s="6"/>
      <c r="BM5" s="6"/>
      <c r="BN5" s="6"/>
      <c r="BO5" s="8">
        <f t="shared" si="28"/>
        <v>5</v>
      </c>
      <c r="BP5" s="5">
        <f t="shared" si="29"/>
        <v>1</v>
      </c>
      <c r="BQ5" s="33">
        <f t="shared" si="9"/>
        <v>27</v>
      </c>
      <c r="BR5" s="6">
        <f t="shared" si="10"/>
        <v>1</v>
      </c>
      <c r="BS5" s="6"/>
      <c r="BT5" s="6"/>
      <c r="BU5" s="6"/>
      <c r="BV5" s="6"/>
      <c r="BW5" s="6"/>
      <c r="BX5" s="6"/>
      <c r="BY5" s="8">
        <f t="shared" si="30"/>
        <v>5</v>
      </c>
      <c r="BZ5" s="5">
        <f t="shared" si="31"/>
        <v>2</v>
      </c>
      <c r="CA5" s="33">
        <f t="shared" si="11"/>
        <v>32</v>
      </c>
      <c r="CB5" s="6">
        <f t="shared" si="12"/>
        <v>1</v>
      </c>
      <c r="CC5" s="6"/>
      <c r="CD5" s="6"/>
      <c r="CE5" s="6"/>
      <c r="CF5" s="6"/>
      <c r="CG5" s="6"/>
      <c r="CH5" s="6"/>
      <c r="CI5" s="8">
        <f t="shared" si="32"/>
        <v>5</v>
      </c>
      <c r="CJ5" s="15">
        <f t="shared" si="33"/>
        <v>1</v>
      </c>
      <c r="CK5" s="33">
        <f t="shared" si="13"/>
        <v>37</v>
      </c>
      <c r="CL5" s="6">
        <f t="shared" si="14"/>
        <v>1</v>
      </c>
      <c r="CM5" s="6"/>
      <c r="CN5" s="6"/>
      <c r="CO5" s="6"/>
      <c r="CP5" s="6"/>
      <c r="CQ5" s="6"/>
      <c r="CR5" s="6"/>
      <c r="CS5" s="8">
        <f t="shared" si="34"/>
        <v>5</v>
      </c>
      <c r="CT5" s="15">
        <f t="shared" si="35"/>
        <v>2</v>
      </c>
      <c r="CU5" s="32">
        <f t="shared" ref="CU5:CU36" si="39">INT(CK5+DC5)</f>
        <v>42</v>
      </c>
      <c r="CV5" s="6">
        <f t="shared" si="15"/>
        <v>1</v>
      </c>
      <c r="DB5" s="9"/>
      <c r="DC5" s="1">
        <f t="shared" si="36"/>
        <v>5</v>
      </c>
    </row>
    <row r="6" s="2" customFormat="1" spans="5:107">
      <c r="E6" s="25" t="s">
        <v>921</v>
      </c>
      <c r="F6" s="26">
        <v>1</v>
      </c>
      <c r="G6" s="27" t="s">
        <v>1276</v>
      </c>
      <c r="H6" s="27">
        <v>2</v>
      </c>
      <c r="I6" s="27" t="s">
        <v>1276</v>
      </c>
      <c r="J6" s="27"/>
      <c r="K6" s="27"/>
      <c r="L6" s="27"/>
      <c r="M6" s="27"/>
      <c r="N6" s="28"/>
      <c r="O6" s="26"/>
      <c r="P6" s="27"/>
      <c r="Q6" s="27"/>
      <c r="R6" s="29"/>
      <c r="U6" s="2">
        <v>4</v>
      </c>
      <c r="V6" s="1" t="str">
        <f t="shared" si="16"/>
        <v>4</v>
      </c>
      <c r="W6" s="1">
        <v>14</v>
      </c>
      <c r="X6" s="30" t="s">
        <v>145</v>
      </c>
      <c r="Y6" s="3">
        <f>出怪成长!C5</f>
        <v>9</v>
      </c>
      <c r="Z6" s="31" t="str">
        <f>AA6&amp;$AB$2&amp;AB6&amp;$AB$2&amp;AC6&amp;$AC$2&amp;AD6&amp;$AE$2&amp;AE6&amp;$AE$2&amp;AF6&amp;$AG$2&amp;AH6&amp;$AI$2&amp;AI6&amp;$AI$2&amp;AJ6&amp;$AK$2&amp;AL6&amp;$AM$2&amp;AM6&amp;$AM$2&amp;AN6&amp;$AU$2&amp;AV6&amp;$AW$2&amp;AW6&amp;$AW$2&amp;AX6&amp;$BE$2&amp;BF6&amp;$BG$2&amp;BG6&amp;$BG$2&amp;BH6&amp;$BO$2&amp;BP6&amp;$BQ$2&amp;BQ6&amp;$BQ$2&amp;BR6&amp;$BY$2&amp;BZ6&amp;$CA$2&amp;CA6&amp;$CA$2&amp;CB6&amp;$CI$2&amp;CJ6&amp;$CK$2&amp;CK6&amp;$CK$2&amp;CL6</f>
        <v>1:2:1|1:4:1|2:8:1|2:12:1|1:17:1|2:22:1|1:27:1|2:32:1|1:37:1</v>
      </c>
      <c r="AA6" s="5">
        <f t="shared" si="37"/>
        <v>1</v>
      </c>
      <c r="AB6" s="33">
        <f t="shared" si="17"/>
        <v>2</v>
      </c>
      <c r="AC6" s="6">
        <f t="shared" si="0"/>
        <v>1</v>
      </c>
      <c r="AD6" s="5">
        <f t="shared" si="18"/>
        <v>1</v>
      </c>
      <c r="AE6" s="33">
        <f t="shared" si="19"/>
        <v>4</v>
      </c>
      <c r="AF6" s="6">
        <f t="shared" si="20"/>
        <v>1</v>
      </c>
      <c r="AG6" s="7">
        <f t="shared" si="38"/>
        <v>2</v>
      </c>
      <c r="AH6" s="5">
        <f t="shared" si="21"/>
        <v>2</v>
      </c>
      <c r="AI6" s="33">
        <f t="shared" si="1"/>
        <v>8</v>
      </c>
      <c r="AJ6" s="6">
        <f t="shared" si="2"/>
        <v>1</v>
      </c>
      <c r="AK6" s="1">
        <f t="shared" si="22"/>
        <v>4</v>
      </c>
      <c r="AL6" s="5">
        <f t="shared" si="23"/>
        <v>2</v>
      </c>
      <c r="AM6" s="33">
        <f t="shared" si="3"/>
        <v>12</v>
      </c>
      <c r="AN6" s="6">
        <f t="shared" si="4"/>
        <v>1</v>
      </c>
      <c r="AO6" s="6"/>
      <c r="AP6" s="6"/>
      <c r="AQ6" s="6"/>
      <c r="AR6" s="6"/>
      <c r="AS6" s="6"/>
      <c r="AT6" s="6"/>
      <c r="AU6" s="1">
        <f t="shared" si="24"/>
        <v>4</v>
      </c>
      <c r="AV6" s="5">
        <f t="shared" si="25"/>
        <v>1</v>
      </c>
      <c r="AW6" s="33">
        <f t="shared" si="5"/>
        <v>17</v>
      </c>
      <c r="AX6" s="6">
        <f t="shared" si="6"/>
        <v>1</v>
      </c>
      <c r="AY6" s="6"/>
      <c r="AZ6" s="6"/>
      <c r="BA6" s="6"/>
      <c r="BB6" s="6"/>
      <c r="BC6" s="6"/>
      <c r="BD6" s="6"/>
      <c r="BE6" s="8">
        <f t="shared" si="26"/>
        <v>5</v>
      </c>
      <c r="BF6" s="5">
        <f t="shared" si="27"/>
        <v>2</v>
      </c>
      <c r="BG6" s="33">
        <f t="shared" si="7"/>
        <v>22</v>
      </c>
      <c r="BH6" s="6">
        <f t="shared" si="8"/>
        <v>1</v>
      </c>
      <c r="BI6" s="6"/>
      <c r="BJ6" s="6"/>
      <c r="BK6" s="6"/>
      <c r="BL6" s="6"/>
      <c r="BM6" s="6"/>
      <c r="BN6" s="6"/>
      <c r="BO6" s="8">
        <f t="shared" si="28"/>
        <v>5</v>
      </c>
      <c r="BP6" s="5">
        <f t="shared" si="29"/>
        <v>1</v>
      </c>
      <c r="BQ6" s="33">
        <f t="shared" si="9"/>
        <v>27</v>
      </c>
      <c r="BR6" s="6">
        <f t="shared" si="10"/>
        <v>1</v>
      </c>
      <c r="BS6" s="6"/>
      <c r="BT6" s="6"/>
      <c r="BU6" s="6"/>
      <c r="BV6" s="6"/>
      <c r="BW6" s="6"/>
      <c r="BX6" s="6"/>
      <c r="BY6" s="8">
        <f t="shared" si="30"/>
        <v>5</v>
      </c>
      <c r="BZ6" s="5">
        <f t="shared" si="31"/>
        <v>2</v>
      </c>
      <c r="CA6" s="33">
        <f t="shared" si="11"/>
        <v>32</v>
      </c>
      <c r="CB6" s="6">
        <f t="shared" si="12"/>
        <v>1</v>
      </c>
      <c r="CC6" s="6"/>
      <c r="CD6" s="6"/>
      <c r="CE6" s="6"/>
      <c r="CF6" s="6"/>
      <c r="CG6" s="6"/>
      <c r="CH6" s="6"/>
      <c r="CI6" s="8">
        <f t="shared" si="32"/>
        <v>5</v>
      </c>
      <c r="CJ6" s="15">
        <f t="shared" si="33"/>
        <v>1</v>
      </c>
      <c r="CK6" s="33">
        <f t="shared" si="13"/>
        <v>37</v>
      </c>
      <c r="CL6" s="6">
        <f t="shared" si="14"/>
        <v>1</v>
      </c>
      <c r="CM6" s="6"/>
      <c r="CN6" s="6"/>
      <c r="CO6" s="6"/>
      <c r="CP6" s="6"/>
      <c r="CQ6" s="6"/>
      <c r="CR6" s="6"/>
      <c r="CS6" s="8">
        <f t="shared" si="34"/>
        <v>5</v>
      </c>
      <c r="CT6" s="15">
        <f t="shared" si="35"/>
        <v>2</v>
      </c>
      <c r="CU6" s="33">
        <f t="shared" si="39"/>
        <v>42</v>
      </c>
      <c r="CV6" s="6">
        <f t="shared" si="15"/>
        <v>1</v>
      </c>
      <c r="DB6" s="9"/>
      <c r="DC6" s="1">
        <f t="shared" si="36"/>
        <v>5</v>
      </c>
    </row>
    <row r="7" s="2" customFormat="1" spans="5:107">
      <c r="E7" s="25" t="s">
        <v>924</v>
      </c>
      <c r="F7" s="26">
        <v>1</v>
      </c>
      <c r="G7" s="27" t="s">
        <v>1276</v>
      </c>
      <c r="H7" s="27">
        <v>2</v>
      </c>
      <c r="I7" s="27" t="s">
        <v>1276</v>
      </c>
      <c r="J7" s="27"/>
      <c r="K7" s="27"/>
      <c r="L7" s="27"/>
      <c r="M7" s="27"/>
      <c r="N7" s="28"/>
      <c r="O7" s="26"/>
      <c r="P7" s="27"/>
      <c r="Q7" s="27"/>
      <c r="R7" s="29"/>
      <c r="U7" s="2">
        <v>5</v>
      </c>
      <c r="V7" s="1" t="str">
        <f t="shared" si="16"/>
        <v>5</v>
      </c>
      <c r="W7" s="1">
        <v>15</v>
      </c>
      <c r="X7" s="30" t="s">
        <v>145</v>
      </c>
      <c r="Y7" s="3">
        <f>出怪成长!C6</f>
        <v>8</v>
      </c>
      <c r="Z7" s="31" t="str">
        <f>AA7&amp;$AB$2&amp;AB7&amp;$AB$2&amp;AC7&amp;$AC$2&amp;AD7&amp;$AE$2&amp;AE7&amp;$AE$2&amp;AF7&amp;$AG$2&amp;AH7&amp;$AI$2&amp;AI7&amp;$AI$2&amp;AJ7&amp;$AK$2&amp;AL7&amp;$AM$2&amp;AM7&amp;$AM$2&amp;AN7&amp;$AU$2&amp;AV7&amp;$AW$2&amp;AW7&amp;$AW$2&amp;AX7&amp;$BE$2&amp;BF7&amp;$BG$2&amp;BG7&amp;$BG$2&amp;BH7&amp;$BO$2&amp;BP7&amp;$BQ$2&amp;BQ7&amp;$BQ$2&amp;BR7&amp;$BY$2&amp;BZ7&amp;$CA$2&amp;CA7&amp;$CA$2&amp;CB7</f>
        <v>1:3:1|1:5:1|2:9:1|2:13:1|1:18:1|2:23:1|1:28:1|2:33:1</v>
      </c>
      <c r="AA7" s="5">
        <f t="shared" si="37"/>
        <v>1</v>
      </c>
      <c r="AB7" s="33">
        <f t="shared" si="17"/>
        <v>3</v>
      </c>
      <c r="AC7" s="6">
        <f t="shared" si="0"/>
        <v>1</v>
      </c>
      <c r="AD7" s="5">
        <f t="shared" si="18"/>
        <v>1</v>
      </c>
      <c r="AE7" s="33">
        <f t="shared" si="19"/>
        <v>5</v>
      </c>
      <c r="AF7" s="6">
        <f t="shared" si="20"/>
        <v>1</v>
      </c>
      <c r="AG7" s="7">
        <f t="shared" si="38"/>
        <v>2</v>
      </c>
      <c r="AH7" s="5">
        <f t="shared" si="21"/>
        <v>2</v>
      </c>
      <c r="AI7" s="33">
        <f t="shared" si="1"/>
        <v>9</v>
      </c>
      <c r="AJ7" s="6">
        <f t="shared" si="2"/>
        <v>1</v>
      </c>
      <c r="AK7" s="1">
        <f t="shared" si="22"/>
        <v>4</v>
      </c>
      <c r="AL7" s="5">
        <f t="shared" si="23"/>
        <v>2</v>
      </c>
      <c r="AM7" s="33">
        <f t="shared" si="3"/>
        <v>13</v>
      </c>
      <c r="AN7" s="6">
        <f t="shared" si="4"/>
        <v>1</v>
      </c>
      <c r="AO7" s="6"/>
      <c r="AP7" s="6"/>
      <c r="AQ7" s="6"/>
      <c r="AR7" s="6"/>
      <c r="AS7" s="6"/>
      <c r="AT7" s="6"/>
      <c r="AU7" s="1">
        <f t="shared" si="24"/>
        <v>4</v>
      </c>
      <c r="AV7" s="5">
        <f t="shared" si="25"/>
        <v>1</v>
      </c>
      <c r="AW7" s="33">
        <f t="shared" si="5"/>
        <v>18</v>
      </c>
      <c r="AX7" s="6">
        <f t="shared" si="6"/>
        <v>1</v>
      </c>
      <c r="AY7" s="6"/>
      <c r="AZ7" s="6"/>
      <c r="BA7" s="6"/>
      <c r="BB7" s="6"/>
      <c r="BC7" s="6"/>
      <c r="BD7" s="6"/>
      <c r="BE7" s="8">
        <f t="shared" si="26"/>
        <v>5</v>
      </c>
      <c r="BF7" s="5">
        <f t="shared" si="27"/>
        <v>2</v>
      </c>
      <c r="BG7" s="33">
        <f t="shared" si="7"/>
        <v>23</v>
      </c>
      <c r="BH7" s="6">
        <f t="shared" si="8"/>
        <v>1</v>
      </c>
      <c r="BI7" s="6"/>
      <c r="BJ7" s="6"/>
      <c r="BK7" s="6"/>
      <c r="BL7" s="6"/>
      <c r="BM7" s="6"/>
      <c r="BN7" s="6"/>
      <c r="BO7" s="8">
        <f t="shared" si="28"/>
        <v>5</v>
      </c>
      <c r="BP7" s="5">
        <f t="shared" si="29"/>
        <v>1</v>
      </c>
      <c r="BQ7" s="33">
        <f t="shared" si="9"/>
        <v>28</v>
      </c>
      <c r="BR7" s="6">
        <f t="shared" si="10"/>
        <v>1</v>
      </c>
      <c r="BS7" s="6"/>
      <c r="BT7" s="6"/>
      <c r="BU7" s="6"/>
      <c r="BV7" s="6"/>
      <c r="BW7" s="6"/>
      <c r="BX7" s="6"/>
      <c r="BY7" s="8">
        <f t="shared" si="30"/>
        <v>5</v>
      </c>
      <c r="BZ7" s="5">
        <f t="shared" si="31"/>
        <v>2</v>
      </c>
      <c r="CA7" s="33">
        <f t="shared" si="11"/>
        <v>33</v>
      </c>
      <c r="CB7" s="6">
        <f t="shared" si="12"/>
        <v>1</v>
      </c>
      <c r="CC7" s="6"/>
      <c r="CD7" s="6"/>
      <c r="CE7" s="6"/>
      <c r="CF7" s="6"/>
      <c r="CG7" s="6"/>
      <c r="CH7" s="6"/>
      <c r="CI7" s="8">
        <f t="shared" si="32"/>
        <v>5</v>
      </c>
      <c r="CJ7" s="15">
        <f t="shared" si="33"/>
        <v>1</v>
      </c>
      <c r="CK7" s="33">
        <f t="shared" si="13"/>
        <v>38</v>
      </c>
      <c r="CL7" s="6">
        <f t="shared" si="14"/>
        <v>1</v>
      </c>
      <c r="CM7" s="6"/>
      <c r="CN7" s="6"/>
      <c r="CO7" s="6"/>
      <c r="CP7" s="6"/>
      <c r="CQ7" s="6"/>
      <c r="CR7" s="6"/>
      <c r="CS7" s="8">
        <f t="shared" si="34"/>
        <v>5</v>
      </c>
      <c r="CT7" s="15">
        <f t="shared" si="35"/>
        <v>2</v>
      </c>
      <c r="CU7" s="32">
        <f t="shared" si="39"/>
        <v>43</v>
      </c>
      <c r="CV7" s="6">
        <f t="shared" si="15"/>
        <v>1</v>
      </c>
      <c r="DB7" s="9"/>
      <c r="DC7" s="1">
        <f t="shared" si="36"/>
        <v>5</v>
      </c>
    </row>
    <row r="8" s="2" customFormat="1" spans="5:107">
      <c r="E8" s="25" t="s">
        <v>927</v>
      </c>
      <c r="F8" s="26">
        <v>1</v>
      </c>
      <c r="G8" s="27" t="s">
        <v>1276</v>
      </c>
      <c r="H8" s="27">
        <v>2</v>
      </c>
      <c r="I8" s="27" t="s">
        <v>1276</v>
      </c>
      <c r="J8" s="27"/>
      <c r="K8" s="27"/>
      <c r="L8" s="27"/>
      <c r="M8" s="27"/>
      <c r="N8" s="28"/>
      <c r="O8" s="26"/>
      <c r="P8" s="27"/>
      <c r="Q8" s="27"/>
      <c r="R8" s="29"/>
      <c r="U8" s="2">
        <v>6</v>
      </c>
      <c r="V8" s="1" t="str">
        <f t="shared" si="16"/>
        <v>6</v>
      </c>
      <c r="W8" s="1">
        <v>16</v>
      </c>
      <c r="X8" s="30" t="s">
        <v>145</v>
      </c>
      <c r="Y8" s="3">
        <f>出怪成长!C7</f>
        <v>9</v>
      </c>
      <c r="Z8" s="31" t="str">
        <f>AA8&amp;$AB$2&amp;AB8&amp;$AB$2&amp;AC8&amp;$AC$2&amp;AD8&amp;$AE$2&amp;AE8&amp;$AE$2&amp;AF8&amp;$AG$2&amp;AH8&amp;$AI$2&amp;AI8&amp;$AI$2&amp;AJ8&amp;$AK$2&amp;AL8&amp;$AM$2&amp;AM8&amp;$AM$2&amp;AN8&amp;$AU$2&amp;AV8&amp;$AW$2&amp;AW8&amp;$AW$2&amp;AX8&amp;$BE$2&amp;BF8&amp;$BG$2&amp;BG8&amp;$BG$2&amp;BH8&amp;$BO$2&amp;BP8&amp;$BQ$2&amp;BQ8&amp;$BQ$2&amp;BR8&amp;$BY$2&amp;BZ8&amp;$CA$2&amp;CA8&amp;$CA$2&amp;CB8&amp;$CI$2&amp;CJ8&amp;$CK$2&amp;CK8&amp;$CK$2&amp;CL8</f>
        <v>1:3:1|1:5:1|2:9:1|2:13:1|1:18:1|2:23:1|1:28:1|2:33:1|1:38:1</v>
      </c>
      <c r="AA8" s="5">
        <f t="shared" si="37"/>
        <v>1</v>
      </c>
      <c r="AB8" s="33">
        <f t="shared" si="17"/>
        <v>3</v>
      </c>
      <c r="AC8" s="6">
        <f t="shared" si="0"/>
        <v>1</v>
      </c>
      <c r="AD8" s="5">
        <f t="shared" si="18"/>
        <v>1</v>
      </c>
      <c r="AE8" s="33">
        <f t="shared" si="19"/>
        <v>5</v>
      </c>
      <c r="AF8" s="6">
        <f t="shared" si="20"/>
        <v>1</v>
      </c>
      <c r="AG8" s="7">
        <f t="shared" si="38"/>
        <v>2</v>
      </c>
      <c r="AH8" s="5">
        <f t="shared" si="21"/>
        <v>2</v>
      </c>
      <c r="AI8" s="33">
        <f t="shared" si="1"/>
        <v>9</v>
      </c>
      <c r="AJ8" s="6">
        <f t="shared" si="2"/>
        <v>1</v>
      </c>
      <c r="AK8" s="1">
        <f t="shared" si="22"/>
        <v>4</v>
      </c>
      <c r="AL8" s="5">
        <f t="shared" si="23"/>
        <v>2</v>
      </c>
      <c r="AM8" s="33">
        <f t="shared" si="3"/>
        <v>13</v>
      </c>
      <c r="AN8" s="6">
        <f t="shared" si="4"/>
        <v>1</v>
      </c>
      <c r="AO8" s="6"/>
      <c r="AP8" s="6"/>
      <c r="AQ8" s="6"/>
      <c r="AR8" s="6"/>
      <c r="AS8" s="6"/>
      <c r="AT8" s="6"/>
      <c r="AU8" s="1">
        <f t="shared" si="24"/>
        <v>4</v>
      </c>
      <c r="AV8" s="5">
        <f t="shared" si="25"/>
        <v>1</v>
      </c>
      <c r="AW8" s="33">
        <f t="shared" si="5"/>
        <v>18</v>
      </c>
      <c r="AX8" s="6">
        <f t="shared" si="6"/>
        <v>1</v>
      </c>
      <c r="AY8" s="6"/>
      <c r="AZ8" s="6"/>
      <c r="BA8" s="6"/>
      <c r="BB8" s="6"/>
      <c r="BC8" s="6"/>
      <c r="BD8" s="6"/>
      <c r="BE8" s="8">
        <f t="shared" si="26"/>
        <v>5</v>
      </c>
      <c r="BF8" s="5">
        <f t="shared" si="27"/>
        <v>2</v>
      </c>
      <c r="BG8" s="33">
        <f t="shared" si="7"/>
        <v>23</v>
      </c>
      <c r="BH8" s="6">
        <f t="shared" si="8"/>
        <v>1</v>
      </c>
      <c r="BI8" s="6"/>
      <c r="BJ8" s="6"/>
      <c r="BK8" s="6"/>
      <c r="BL8" s="6"/>
      <c r="BM8" s="6"/>
      <c r="BN8" s="6"/>
      <c r="BO8" s="8">
        <f t="shared" si="28"/>
        <v>5</v>
      </c>
      <c r="BP8" s="5">
        <f t="shared" si="29"/>
        <v>1</v>
      </c>
      <c r="BQ8" s="33">
        <f t="shared" si="9"/>
        <v>28</v>
      </c>
      <c r="BR8" s="6">
        <f t="shared" si="10"/>
        <v>1</v>
      </c>
      <c r="BS8" s="6"/>
      <c r="BT8" s="6"/>
      <c r="BU8" s="6"/>
      <c r="BV8" s="6"/>
      <c r="BW8" s="6"/>
      <c r="BX8" s="6"/>
      <c r="BY8" s="8">
        <f t="shared" si="30"/>
        <v>5</v>
      </c>
      <c r="BZ8" s="5">
        <f t="shared" si="31"/>
        <v>2</v>
      </c>
      <c r="CA8" s="33">
        <f t="shared" si="11"/>
        <v>33</v>
      </c>
      <c r="CB8" s="6">
        <f t="shared" si="12"/>
        <v>1</v>
      </c>
      <c r="CC8" s="6"/>
      <c r="CD8" s="6"/>
      <c r="CE8" s="6"/>
      <c r="CF8" s="6"/>
      <c r="CG8" s="6"/>
      <c r="CH8" s="6"/>
      <c r="CI8" s="8">
        <f t="shared" si="32"/>
        <v>5</v>
      </c>
      <c r="CJ8" s="15">
        <f t="shared" si="33"/>
        <v>1</v>
      </c>
      <c r="CK8" s="33">
        <f t="shared" si="13"/>
        <v>38</v>
      </c>
      <c r="CL8" s="6">
        <f t="shared" si="14"/>
        <v>1</v>
      </c>
      <c r="CM8" s="6"/>
      <c r="CN8" s="6"/>
      <c r="CO8" s="6"/>
      <c r="CP8" s="6"/>
      <c r="CQ8" s="6"/>
      <c r="CR8" s="6"/>
      <c r="CS8" s="8">
        <f t="shared" si="34"/>
        <v>5</v>
      </c>
      <c r="CT8" s="15">
        <f t="shared" si="35"/>
        <v>2</v>
      </c>
      <c r="CU8" s="33">
        <f t="shared" si="39"/>
        <v>43</v>
      </c>
      <c r="CV8" s="6">
        <f t="shared" si="15"/>
        <v>1</v>
      </c>
      <c r="DB8" s="9"/>
      <c r="DC8" s="1">
        <f t="shared" si="36"/>
        <v>5</v>
      </c>
    </row>
    <row r="9" s="2" customFormat="1" spans="5:107">
      <c r="E9" s="25" t="s">
        <v>929</v>
      </c>
      <c r="F9" s="26">
        <v>1</v>
      </c>
      <c r="G9" s="27" t="s">
        <v>1276</v>
      </c>
      <c r="H9" s="27">
        <v>2</v>
      </c>
      <c r="I9" s="27" t="s">
        <v>1276</v>
      </c>
      <c r="J9" s="27">
        <v>3</v>
      </c>
      <c r="K9" s="27" t="s">
        <v>1276</v>
      </c>
      <c r="L9" s="27">
        <v>4</v>
      </c>
      <c r="M9" s="27" t="s">
        <v>1276</v>
      </c>
      <c r="N9" s="28"/>
      <c r="O9" s="26"/>
      <c r="P9" s="27"/>
      <c r="Q9" s="27"/>
      <c r="R9" s="29"/>
      <c r="U9" s="2">
        <v>7</v>
      </c>
      <c r="V9" s="1" t="str">
        <f t="shared" si="16"/>
        <v>7</v>
      </c>
      <c r="W9" s="1">
        <v>17</v>
      </c>
      <c r="X9" s="30" t="s">
        <v>145</v>
      </c>
      <c r="Y9" s="3">
        <f>出怪成长!C8</f>
        <v>9</v>
      </c>
      <c r="Z9" s="31" t="str">
        <f>AA9&amp;$AB$2&amp;AB9&amp;$AB$2&amp;AC9&amp;$AC$2&amp;AD9&amp;$AE$2&amp;AE9&amp;$AE$2&amp;AF9&amp;$AG$2&amp;AH9&amp;$AI$2&amp;AI9&amp;$AI$2&amp;AJ9&amp;$AK$2&amp;AL9&amp;$AM$2&amp;AM9&amp;$AM$2&amp;AN9&amp;$AU$2&amp;AV9&amp;$AW$2&amp;AW9&amp;$AW$2&amp;AX9&amp;$BE$2&amp;BF9&amp;$BG$2&amp;BG9&amp;$BG$2&amp;BH9&amp;$BO$2&amp;BP9&amp;$BQ$2&amp;BQ9&amp;$BQ$2&amp;BR9&amp;$BY$2&amp;BZ9&amp;$CA$2&amp;CA9&amp;$CA$2&amp;CB9&amp;$CI$2&amp;CJ9&amp;$CK$2&amp;CK9&amp;$CK$2&amp;CL9</f>
        <v>1:3:1|1:5:1|2:9:1|2:13:1|1:18:1|2:23:1|1:28:1|2:33:1|1:38:1</v>
      </c>
      <c r="AA9" s="5">
        <f t="shared" si="37"/>
        <v>1</v>
      </c>
      <c r="AB9" s="33">
        <f t="shared" si="17"/>
        <v>3</v>
      </c>
      <c r="AC9" s="6">
        <f t="shared" si="0"/>
        <v>1</v>
      </c>
      <c r="AD9" s="5">
        <f t="shared" si="18"/>
        <v>1</v>
      </c>
      <c r="AE9" s="33">
        <f t="shared" si="19"/>
        <v>5</v>
      </c>
      <c r="AF9" s="6">
        <f t="shared" si="20"/>
        <v>1</v>
      </c>
      <c r="AG9" s="7">
        <f t="shared" si="38"/>
        <v>2</v>
      </c>
      <c r="AH9" s="5">
        <f t="shared" si="21"/>
        <v>2</v>
      </c>
      <c r="AI9" s="33">
        <f t="shared" si="1"/>
        <v>9</v>
      </c>
      <c r="AJ9" s="6">
        <f t="shared" si="2"/>
        <v>1</v>
      </c>
      <c r="AK9" s="1">
        <f t="shared" si="22"/>
        <v>4</v>
      </c>
      <c r="AL9" s="5">
        <f t="shared" si="23"/>
        <v>2</v>
      </c>
      <c r="AM9" s="33">
        <f t="shared" si="3"/>
        <v>13</v>
      </c>
      <c r="AN9" s="6">
        <f t="shared" si="4"/>
        <v>1</v>
      </c>
      <c r="AO9" s="6"/>
      <c r="AP9" s="6"/>
      <c r="AQ9" s="6"/>
      <c r="AR9" s="6"/>
      <c r="AS9" s="6"/>
      <c r="AT9" s="6"/>
      <c r="AU9" s="1">
        <f t="shared" si="24"/>
        <v>4</v>
      </c>
      <c r="AV9" s="5">
        <f t="shared" si="25"/>
        <v>1</v>
      </c>
      <c r="AW9" s="33">
        <f t="shared" si="5"/>
        <v>18</v>
      </c>
      <c r="AX9" s="6">
        <f t="shared" si="6"/>
        <v>1</v>
      </c>
      <c r="AY9" s="6"/>
      <c r="AZ9" s="6"/>
      <c r="BA9" s="6"/>
      <c r="BB9" s="6"/>
      <c r="BC9" s="6"/>
      <c r="BD9" s="6"/>
      <c r="BE9" s="8">
        <f t="shared" si="26"/>
        <v>5</v>
      </c>
      <c r="BF9" s="5">
        <f t="shared" si="27"/>
        <v>2</v>
      </c>
      <c r="BG9" s="33">
        <f t="shared" si="7"/>
        <v>23</v>
      </c>
      <c r="BH9" s="6">
        <f t="shared" si="8"/>
        <v>1</v>
      </c>
      <c r="BI9" s="6"/>
      <c r="BJ9" s="6"/>
      <c r="BK9" s="6"/>
      <c r="BL9" s="6"/>
      <c r="BM9" s="6"/>
      <c r="BN9" s="6"/>
      <c r="BO9" s="8">
        <f t="shared" si="28"/>
        <v>5</v>
      </c>
      <c r="BP9" s="5">
        <f t="shared" si="29"/>
        <v>1</v>
      </c>
      <c r="BQ9" s="33">
        <f t="shared" si="9"/>
        <v>28</v>
      </c>
      <c r="BR9" s="6">
        <f t="shared" si="10"/>
        <v>1</v>
      </c>
      <c r="BS9" s="6"/>
      <c r="BT9" s="6"/>
      <c r="BU9" s="6"/>
      <c r="BV9" s="6"/>
      <c r="BW9" s="6"/>
      <c r="BX9" s="6"/>
      <c r="BY9" s="8">
        <f t="shared" si="30"/>
        <v>5</v>
      </c>
      <c r="BZ9" s="5">
        <f t="shared" si="31"/>
        <v>2</v>
      </c>
      <c r="CA9" s="33">
        <f t="shared" si="11"/>
        <v>33</v>
      </c>
      <c r="CB9" s="6">
        <f t="shared" si="12"/>
        <v>1</v>
      </c>
      <c r="CC9" s="6"/>
      <c r="CD9" s="6"/>
      <c r="CE9" s="6"/>
      <c r="CF9" s="6"/>
      <c r="CG9" s="6"/>
      <c r="CH9" s="6"/>
      <c r="CI9" s="8">
        <f t="shared" si="32"/>
        <v>5</v>
      </c>
      <c r="CJ9" s="15">
        <f t="shared" si="33"/>
        <v>1</v>
      </c>
      <c r="CK9" s="33">
        <f t="shared" si="13"/>
        <v>38</v>
      </c>
      <c r="CL9" s="6">
        <f t="shared" si="14"/>
        <v>1</v>
      </c>
      <c r="CM9" s="6"/>
      <c r="CN9" s="6"/>
      <c r="CO9" s="6"/>
      <c r="CP9" s="6"/>
      <c r="CQ9" s="6"/>
      <c r="CR9" s="6"/>
      <c r="CS9" s="8">
        <f t="shared" si="34"/>
        <v>5</v>
      </c>
      <c r="CT9" s="15">
        <f t="shared" si="35"/>
        <v>2</v>
      </c>
      <c r="CU9" s="32">
        <f t="shared" si="39"/>
        <v>43</v>
      </c>
      <c r="CV9" s="6">
        <f t="shared" si="15"/>
        <v>1</v>
      </c>
      <c r="DB9" s="9"/>
      <c r="DC9" s="1">
        <f t="shared" si="36"/>
        <v>5</v>
      </c>
    </row>
    <row r="10" s="2" customFormat="1" spans="5:107">
      <c r="E10" s="25" t="s">
        <v>931</v>
      </c>
      <c r="F10" s="26">
        <v>1</v>
      </c>
      <c r="G10" s="27" t="s">
        <v>1276</v>
      </c>
      <c r="H10" s="27">
        <v>2</v>
      </c>
      <c r="I10" s="27" t="s">
        <v>1276</v>
      </c>
      <c r="J10" s="27">
        <v>3</v>
      </c>
      <c r="K10" s="27" t="s">
        <v>1276</v>
      </c>
      <c r="L10" s="27">
        <v>4</v>
      </c>
      <c r="M10" s="27" t="s">
        <v>1276</v>
      </c>
      <c r="N10" s="28"/>
      <c r="O10" s="26"/>
      <c r="P10" s="27"/>
      <c r="Q10" s="27"/>
      <c r="R10" s="29"/>
      <c r="U10" s="2">
        <v>8</v>
      </c>
      <c r="V10" s="1" t="str">
        <f t="shared" si="16"/>
        <v>8</v>
      </c>
      <c r="W10" s="1">
        <v>18</v>
      </c>
      <c r="X10" s="30" t="s">
        <v>145</v>
      </c>
      <c r="Y10" s="3">
        <f>出怪成长!C9</f>
        <v>10</v>
      </c>
      <c r="Z10" s="31" t="str">
        <f>AA10&amp;$AB$2&amp;AB10&amp;$AB$2&amp;AC10&amp;$AC$2&amp;AD10&amp;$AE$2&amp;AE10&amp;$AE$2&amp;AF10&amp;$AG$2&amp;AH10&amp;$AI$2&amp;AI10&amp;$AI$2&amp;AJ10&amp;$AK$2&amp;AL10&amp;$AM$2&amp;AM10&amp;$AM$2&amp;AN10&amp;$AU$2&amp;AV10&amp;$AW$2&amp;AW10&amp;$AW$2&amp;AX10&amp;$BE$2&amp;BF10&amp;$BG$2&amp;BG10&amp;$BG$2&amp;BH10&amp;$BO$2&amp;BP10&amp;$BQ$2&amp;BQ10&amp;$BQ$2&amp;BR10&amp;$BY$2&amp;BZ10&amp;$CA$2&amp;CA10&amp;$CA$2&amp;CB10&amp;$CI$2&amp;CJ10&amp;$CK$2&amp;CK10&amp;$CK$2&amp;CL10&amp;$CS$2&amp;CT10&amp;$CU$2&amp;CU10&amp;$CU$2&amp;CV10</f>
        <v>1:3:1|1:5:1|2:9:1|2:13:1|1:18:1|2:23:1|1:28:1|2:33:1|1:38:1|2:43:1</v>
      </c>
      <c r="AA10" s="5">
        <f t="shared" si="37"/>
        <v>1</v>
      </c>
      <c r="AB10" s="33">
        <f t="shared" si="17"/>
        <v>3</v>
      </c>
      <c r="AC10" s="6">
        <f t="shared" si="0"/>
        <v>1</v>
      </c>
      <c r="AD10" s="5">
        <f t="shared" si="18"/>
        <v>1</v>
      </c>
      <c r="AE10" s="33">
        <f t="shared" si="19"/>
        <v>5</v>
      </c>
      <c r="AF10" s="6">
        <f t="shared" si="20"/>
        <v>1</v>
      </c>
      <c r="AG10" s="7">
        <f t="shared" si="38"/>
        <v>2</v>
      </c>
      <c r="AH10" s="5">
        <f t="shared" si="21"/>
        <v>2</v>
      </c>
      <c r="AI10" s="33">
        <f t="shared" si="1"/>
        <v>9</v>
      </c>
      <c r="AJ10" s="6">
        <f t="shared" si="2"/>
        <v>1</v>
      </c>
      <c r="AK10" s="1">
        <f t="shared" si="22"/>
        <v>4</v>
      </c>
      <c r="AL10" s="5">
        <f t="shared" si="23"/>
        <v>2</v>
      </c>
      <c r="AM10" s="33">
        <f t="shared" si="3"/>
        <v>13</v>
      </c>
      <c r="AN10" s="6">
        <f t="shared" si="4"/>
        <v>1</v>
      </c>
      <c r="AO10" s="6"/>
      <c r="AP10" s="6"/>
      <c r="AQ10" s="6"/>
      <c r="AR10" s="6"/>
      <c r="AS10" s="6"/>
      <c r="AT10" s="6"/>
      <c r="AU10" s="1">
        <f t="shared" si="24"/>
        <v>4</v>
      </c>
      <c r="AV10" s="5">
        <f t="shared" si="25"/>
        <v>1</v>
      </c>
      <c r="AW10" s="33">
        <f t="shared" si="5"/>
        <v>18</v>
      </c>
      <c r="AX10" s="6">
        <f t="shared" si="6"/>
        <v>1</v>
      </c>
      <c r="AY10" s="6"/>
      <c r="AZ10" s="6"/>
      <c r="BA10" s="6"/>
      <c r="BB10" s="6"/>
      <c r="BC10" s="6"/>
      <c r="BD10" s="6"/>
      <c r="BE10" s="8">
        <f t="shared" si="26"/>
        <v>5</v>
      </c>
      <c r="BF10" s="5">
        <f t="shared" si="27"/>
        <v>2</v>
      </c>
      <c r="BG10" s="33">
        <f t="shared" si="7"/>
        <v>23</v>
      </c>
      <c r="BH10" s="6">
        <f t="shared" si="8"/>
        <v>1</v>
      </c>
      <c r="BI10" s="6"/>
      <c r="BJ10" s="6"/>
      <c r="BK10" s="6"/>
      <c r="BL10" s="6"/>
      <c r="BM10" s="6"/>
      <c r="BN10" s="6"/>
      <c r="BO10" s="8">
        <f t="shared" si="28"/>
        <v>5</v>
      </c>
      <c r="BP10" s="5">
        <f t="shared" si="29"/>
        <v>1</v>
      </c>
      <c r="BQ10" s="33">
        <f t="shared" si="9"/>
        <v>28</v>
      </c>
      <c r="BR10" s="6">
        <f t="shared" si="10"/>
        <v>1</v>
      </c>
      <c r="BS10" s="6"/>
      <c r="BT10" s="6"/>
      <c r="BU10" s="6"/>
      <c r="BV10" s="6"/>
      <c r="BW10" s="6"/>
      <c r="BX10" s="6"/>
      <c r="BY10" s="8">
        <f t="shared" si="30"/>
        <v>5</v>
      </c>
      <c r="BZ10" s="5">
        <f t="shared" si="31"/>
        <v>2</v>
      </c>
      <c r="CA10" s="33">
        <f t="shared" si="11"/>
        <v>33</v>
      </c>
      <c r="CB10" s="6">
        <f t="shared" si="12"/>
        <v>1</v>
      </c>
      <c r="CC10" s="6"/>
      <c r="CD10" s="6"/>
      <c r="CE10" s="6"/>
      <c r="CF10" s="6"/>
      <c r="CG10" s="6"/>
      <c r="CH10" s="6"/>
      <c r="CI10" s="8">
        <f t="shared" si="32"/>
        <v>5</v>
      </c>
      <c r="CJ10" s="15">
        <f t="shared" si="33"/>
        <v>1</v>
      </c>
      <c r="CK10" s="33">
        <f t="shared" si="13"/>
        <v>38</v>
      </c>
      <c r="CL10" s="6">
        <f t="shared" si="14"/>
        <v>1</v>
      </c>
      <c r="CM10" s="6"/>
      <c r="CN10" s="6"/>
      <c r="CO10" s="6"/>
      <c r="CP10" s="6"/>
      <c r="CQ10" s="6"/>
      <c r="CR10" s="6"/>
      <c r="CS10" s="8">
        <f t="shared" si="34"/>
        <v>5</v>
      </c>
      <c r="CT10" s="15">
        <f t="shared" si="35"/>
        <v>2</v>
      </c>
      <c r="CU10" s="33">
        <f t="shared" si="39"/>
        <v>43</v>
      </c>
      <c r="CV10" s="6">
        <f t="shared" ref="CV10:CV41" si="40">IF(CT10=$F10,IF($F10="","",IF((VLOOKUP($F10,$F:$G,2,FALSE)="步兵"),1,2)),IF(CT10=$H10,IF($H10="","",IF((VLOOKUP($H10,$H:$I,2,FALSE)="步兵"),1,2)),IF(CT10=$J10,IF($J10="","",IF((VLOOKUP($J10,$J:$K,2,FALSE)="步兵"),1,2)),IF(CT10=$L10,IF($L10="","",IF((VLOOKUP($L10,$L:$M,2,FALSE)="步兵"),1,2)),IF(CT10=$O10,IF($O10="","",IF((VLOOKUP($O10,$O:$P,2,FALSE)="步兵"),1,2)),IF(CT10=$Q10,IF($Q10="","",IF((VLOOKUP($Q10,$Q:$R,2,FALSE)="步兵"),1,2)),"出怪口错误"))))))</f>
        <v>1</v>
      </c>
      <c r="DB10" s="9"/>
      <c r="DC10" s="1">
        <f t="shared" si="36"/>
        <v>5</v>
      </c>
    </row>
    <row r="11" s="2" customFormat="1" spans="5:107">
      <c r="E11" s="25" t="s">
        <v>933</v>
      </c>
      <c r="F11" s="26">
        <v>1</v>
      </c>
      <c r="G11" s="27" t="s">
        <v>1276</v>
      </c>
      <c r="H11" s="27">
        <v>2</v>
      </c>
      <c r="I11" s="27" t="s">
        <v>1276</v>
      </c>
      <c r="J11" s="27">
        <v>3</v>
      </c>
      <c r="K11" s="27" t="s">
        <v>1276</v>
      </c>
      <c r="L11" s="27"/>
      <c r="M11" s="27"/>
      <c r="N11" s="28"/>
      <c r="O11" s="26"/>
      <c r="P11" s="27"/>
      <c r="Q11" s="27"/>
      <c r="R11" s="29"/>
      <c r="U11" s="2">
        <v>9</v>
      </c>
      <c r="V11" s="1" t="str">
        <f t="shared" si="16"/>
        <v>1</v>
      </c>
      <c r="W11" s="1">
        <v>21</v>
      </c>
      <c r="X11" s="30" t="s">
        <v>163</v>
      </c>
      <c r="Y11" s="3">
        <f>出怪成长!C10</f>
        <v>8</v>
      </c>
      <c r="Z11" s="31" t="str">
        <f>AA11&amp;$AB$2&amp;AB11&amp;$AB$2&amp;AC11&amp;$AC$2&amp;AD11&amp;$AE$2&amp;AE11&amp;$AE$2&amp;AF11&amp;$AG$2&amp;AH11&amp;$AI$2&amp;AI11&amp;$AI$2&amp;AJ11&amp;$AK$2&amp;AL11&amp;$AM$2&amp;AM11&amp;$AM$2&amp;AN11&amp;$AU$2&amp;AV11&amp;$AW$2&amp;AW11&amp;$AW$2&amp;AX11&amp;$BE$2&amp;BF11&amp;$BG$2&amp;BG11&amp;$BG$2&amp;BH11&amp;$BO$2&amp;BP11&amp;$BQ$2&amp;BQ11&amp;$BQ$2&amp;BR11&amp;$BY$2&amp;BZ11&amp;$CA$2&amp;CA11&amp;$CA$2&amp;CB11</f>
        <v>1:2:1|1:4:1|2:8:1|2:13:1|1:19:1|2:25:1|1:31:1|2:37:1</v>
      </c>
      <c r="AA11" s="5">
        <f t="shared" si="37"/>
        <v>1</v>
      </c>
      <c r="AB11" s="33">
        <f t="shared" si="17"/>
        <v>2</v>
      </c>
      <c r="AC11" s="6">
        <f t="shared" si="0"/>
        <v>1</v>
      </c>
      <c r="AD11" s="5">
        <f t="shared" si="18"/>
        <v>1</v>
      </c>
      <c r="AE11" s="33">
        <f t="shared" si="19"/>
        <v>4</v>
      </c>
      <c r="AF11" s="6">
        <f t="shared" si="20"/>
        <v>1</v>
      </c>
      <c r="AG11" s="7">
        <f>AG3+AG$1</f>
        <v>2.5</v>
      </c>
      <c r="AH11" s="5">
        <f t="shared" si="21"/>
        <v>2</v>
      </c>
      <c r="AI11" s="33">
        <f t="shared" si="1"/>
        <v>8</v>
      </c>
      <c r="AJ11" s="6">
        <f t="shared" si="2"/>
        <v>1</v>
      </c>
      <c r="AK11" s="34">
        <f>AK3+AK$1</f>
        <v>4.5</v>
      </c>
      <c r="AL11" s="5">
        <f t="shared" si="23"/>
        <v>2</v>
      </c>
      <c r="AM11" s="33">
        <f t="shared" si="3"/>
        <v>13</v>
      </c>
      <c r="AN11" s="6">
        <f t="shared" si="4"/>
        <v>1</v>
      </c>
      <c r="AO11" s="6"/>
      <c r="AP11" s="6"/>
      <c r="AQ11" s="6"/>
      <c r="AR11" s="6"/>
      <c r="AS11" s="6"/>
      <c r="AT11" s="6"/>
      <c r="AU11" s="34">
        <f>AU3+AU$1</f>
        <v>5</v>
      </c>
      <c r="AV11" s="5">
        <f t="shared" si="25"/>
        <v>1</v>
      </c>
      <c r="AW11" s="33">
        <f t="shared" si="5"/>
        <v>19</v>
      </c>
      <c r="AX11" s="6">
        <f t="shared" si="6"/>
        <v>1</v>
      </c>
      <c r="AY11" s="6"/>
      <c r="AZ11" s="6"/>
      <c r="BA11" s="6"/>
      <c r="BB11" s="6"/>
      <c r="BC11" s="6"/>
      <c r="BD11" s="6"/>
      <c r="BE11" s="7">
        <f>BE3+BE$1</f>
        <v>6</v>
      </c>
      <c r="BF11" s="5">
        <f t="shared" si="27"/>
        <v>2</v>
      </c>
      <c r="BG11" s="33">
        <f t="shared" si="7"/>
        <v>25</v>
      </c>
      <c r="BH11" s="6">
        <f t="shared" si="8"/>
        <v>1</v>
      </c>
      <c r="BI11" s="6"/>
      <c r="BJ11" s="6"/>
      <c r="BK11" s="6"/>
      <c r="BL11" s="6"/>
      <c r="BM11" s="6"/>
      <c r="BN11" s="6"/>
      <c r="BO11" s="7">
        <f>BO3+BO$1</f>
        <v>6.5</v>
      </c>
      <c r="BP11" s="5">
        <f t="shared" si="29"/>
        <v>1</v>
      </c>
      <c r="BQ11" s="33">
        <f t="shared" si="9"/>
        <v>31</v>
      </c>
      <c r="BR11" s="6">
        <f t="shared" si="10"/>
        <v>1</v>
      </c>
      <c r="BS11" s="6"/>
      <c r="BT11" s="6"/>
      <c r="BU11" s="6"/>
      <c r="BV11" s="6"/>
      <c r="BW11" s="6"/>
      <c r="BX11" s="6"/>
      <c r="BY11" s="7">
        <f>BY3+BY$1</f>
        <v>6.5</v>
      </c>
      <c r="BZ11" s="5">
        <f t="shared" si="31"/>
        <v>2</v>
      </c>
      <c r="CA11" s="33">
        <f t="shared" si="11"/>
        <v>37</v>
      </c>
      <c r="CB11" s="6">
        <f t="shared" si="12"/>
        <v>1</v>
      </c>
      <c r="CC11" s="6"/>
      <c r="CD11" s="6"/>
      <c r="CE11" s="6"/>
      <c r="CF11" s="6"/>
      <c r="CG11" s="6"/>
      <c r="CH11" s="6"/>
      <c r="CI11" s="7">
        <f>CI3+CI$1</f>
        <v>6.5</v>
      </c>
      <c r="CJ11" s="15">
        <v>2</v>
      </c>
      <c r="CK11" s="33">
        <f t="shared" si="13"/>
        <v>43</v>
      </c>
      <c r="CL11" s="6">
        <f t="shared" si="14"/>
        <v>1</v>
      </c>
      <c r="CM11" s="6"/>
      <c r="CN11" s="6"/>
      <c r="CO11" s="6"/>
      <c r="CP11" s="6"/>
      <c r="CQ11" s="6"/>
      <c r="CR11" s="6"/>
      <c r="CS11" s="7">
        <f>CS3+CS$1</f>
        <v>6.5</v>
      </c>
      <c r="CT11" s="15">
        <f t="shared" si="35"/>
        <v>2</v>
      </c>
      <c r="CU11" s="32">
        <f t="shared" si="39"/>
        <v>49</v>
      </c>
      <c r="CV11" s="6">
        <f t="shared" si="40"/>
        <v>1</v>
      </c>
      <c r="DB11" s="9"/>
      <c r="DC11" s="34">
        <f>DC3+DC$1</f>
        <v>6.5</v>
      </c>
    </row>
    <row r="12" s="2" customFormat="1" spans="5:107">
      <c r="E12" s="25" t="s">
        <v>935</v>
      </c>
      <c r="F12" s="26">
        <v>1</v>
      </c>
      <c r="G12" s="27" t="s">
        <v>1276</v>
      </c>
      <c r="H12" s="27">
        <v>2</v>
      </c>
      <c r="I12" s="27" t="s">
        <v>1276</v>
      </c>
      <c r="J12" s="27">
        <v>3</v>
      </c>
      <c r="K12" s="27" t="s">
        <v>1276</v>
      </c>
      <c r="L12" s="27"/>
      <c r="M12" s="27"/>
      <c r="N12" s="28"/>
      <c r="O12" s="26"/>
      <c r="P12" s="27"/>
      <c r="Q12" s="27"/>
      <c r="R12" s="29"/>
      <c r="U12" s="2">
        <v>10</v>
      </c>
      <c r="V12" s="1" t="str">
        <f t="shared" si="16"/>
        <v>2</v>
      </c>
      <c r="W12" s="1">
        <v>22</v>
      </c>
      <c r="X12" s="30" t="s">
        <v>163</v>
      </c>
      <c r="Y12" s="3">
        <f>出怪成长!C11</f>
        <v>8</v>
      </c>
      <c r="Z12" s="31" t="str">
        <f>AA12&amp;$AB$2&amp;AB12&amp;$AB$2&amp;AC12&amp;$AC$2&amp;AD12&amp;$AE$2&amp;AE12&amp;$AE$2&amp;AF12&amp;$AG$2&amp;AH12&amp;$AI$2&amp;AI12&amp;$AI$2&amp;AJ12&amp;$AK$2&amp;AL12&amp;$AM$2&amp;AM12&amp;$AM$2&amp;AN12&amp;$AU$2&amp;AV12&amp;$AW$2&amp;AW12&amp;$AW$2&amp;AX12&amp;$BE$2&amp;BF12&amp;$BG$2&amp;BG12&amp;$BG$2&amp;BH12&amp;$BO$2&amp;BP12&amp;$BQ$2&amp;BQ12&amp;$BQ$2&amp;BR12&amp;$BY$2&amp;BZ12&amp;$CA$2&amp;CA12&amp;$CA$2&amp;CB12</f>
        <v>1:2:1|1:4:1|2:8:1|2:13:1|3:19:1|3:25:1|1:31:1|2:37:1</v>
      </c>
      <c r="AA12" s="5">
        <f t="shared" si="37"/>
        <v>1</v>
      </c>
      <c r="AB12" s="33">
        <f t="shared" si="17"/>
        <v>2</v>
      </c>
      <c r="AC12" s="6">
        <f t="shared" si="0"/>
        <v>1</v>
      </c>
      <c r="AD12" s="5">
        <f t="shared" si="18"/>
        <v>1</v>
      </c>
      <c r="AE12" s="33">
        <f t="shared" si="19"/>
        <v>4</v>
      </c>
      <c r="AF12" s="6">
        <f t="shared" si="20"/>
        <v>1</v>
      </c>
      <c r="AG12" s="7">
        <f t="shared" ref="AG12:AG18" si="41">AG11</f>
        <v>2.5</v>
      </c>
      <c r="AH12" s="5">
        <f t="shared" si="21"/>
        <v>2</v>
      </c>
      <c r="AI12" s="33">
        <f t="shared" si="1"/>
        <v>8</v>
      </c>
      <c r="AJ12" s="6">
        <f t="shared" si="2"/>
        <v>1</v>
      </c>
      <c r="AK12" s="1">
        <f t="shared" ref="AK12:AK18" si="42">AK11</f>
        <v>4.5</v>
      </c>
      <c r="AL12" s="5">
        <f t="shared" si="23"/>
        <v>2</v>
      </c>
      <c r="AM12" s="33">
        <f t="shared" si="3"/>
        <v>13</v>
      </c>
      <c r="AN12" s="6">
        <f t="shared" si="4"/>
        <v>1</v>
      </c>
      <c r="AO12" s="6"/>
      <c r="AP12" s="6"/>
      <c r="AQ12" s="6"/>
      <c r="AR12" s="6"/>
      <c r="AS12" s="6"/>
      <c r="AT12" s="6"/>
      <c r="AU12" s="1">
        <f t="shared" ref="AU12:AU18" si="43">AU11</f>
        <v>5</v>
      </c>
      <c r="AV12" s="5">
        <v>3</v>
      </c>
      <c r="AW12" s="33">
        <f t="shared" si="5"/>
        <v>19</v>
      </c>
      <c r="AX12" s="6">
        <f t="shared" si="6"/>
        <v>1</v>
      </c>
      <c r="AY12" s="6"/>
      <c r="AZ12" s="6"/>
      <c r="BA12" s="6"/>
      <c r="BB12" s="6"/>
      <c r="BC12" s="6"/>
      <c r="BD12" s="6"/>
      <c r="BE12" s="8">
        <f t="shared" ref="BE12:BE18" si="44">BE11</f>
        <v>6</v>
      </c>
      <c r="BF12" s="5">
        <v>3</v>
      </c>
      <c r="BG12" s="33">
        <f t="shared" si="7"/>
        <v>25</v>
      </c>
      <c r="BH12" s="6">
        <f t="shared" si="8"/>
        <v>1</v>
      </c>
      <c r="BI12" s="6"/>
      <c r="BJ12" s="6"/>
      <c r="BK12" s="6"/>
      <c r="BL12" s="6"/>
      <c r="BM12" s="6"/>
      <c r="BN12" s="6"/>
      <c r="BO12" s="8">
        <f t="shared" ref="BO12:BO18" si="45">BO11</f>
        <v>6.5</v>
      </c>
      <c r="BP12" s="5">
        <f t="shared" si="29"/>
        <v>1</v>
      </c>
      <c r="BQ12" s="33">
        <f t="shared" si="9"/>
        <v>31</v>
      </c>
      <c r="BR12" s="6">
        <f t="shared" si="10"/>
        <v>1</v>
      </c>
      <c r="BS12" s="6"/>
      <c r="BT12" s="6"/>
      <c r="BU12" s="6"/>
      <c r="BV12" s="6"/>
      <c r="BW12" s="6"/>
      <c r="BX12" s="6"/>
      <c r="BY12" s="8">
        <f t="shared" ref="BY12:BY18" si="46">BY11</f>
        <v>6.5</v>
      </c>
      <c r="BZ12" s="5">
        <f t="shared" si="31"/>
        <v>2</v>
      </c>
      <c r="CA12" s="33">
        <f t="shared" si="11"/>
        <v>37</v>
      </c>
      <c r="CB12" s="6">
        <f t="shared" si="12"/>
        <v>1</v>
      </c>
      <c r="CC12" s="6"/>
      <c r="CD12" s="6"/>
      <c r="CE12" s="6"/>
      <c r="CF12" s="6"/>
      <c r="CG12" s="6"/>
      <c r="CH12" s="6"/>
      <c r="CI12" s="8">
        <f t="shared" ref="CI12:CI18" si="47">CI11</f>
        <v>6.5</v>
      </c>
      <c r="CJ12" s="15">
        <v>3</v>
      </c>
      <c r="CK12" s="33">
        <f t="shared" si="13"/>
        <v>43</v>
      </c>
      <c r="CL12" s="6">
        <f t="shared" si="14"/>
        <v>1</v>
      </c>
      <c r="CM12" s="6"/>
      <c r="CN12" s="6"/>
      <c r="CO12" s="6"/>
      <c r="CP12" s="6"/>
      <c r="CQ12" s="6"/>
      <c r="CR12" s="6"/>
      <c r="CS12" s="8">
        <f t="shared" ref="CS12:CS18" si="48">CS11</f>
        <v>6.5</v>
      </c>
      <c r="CT12" s="15">
        <v>3</v>
      </c>
      <c r="CU12" s="33">
        <f t="shared" si="39"/>
        <v>49</v>
      </c>
      <c r="CV12" s="6">
        <f t="shared" si="40"/>
        <v>1</v>
      </c>
      <c r="DB12" s="9"/>
      <c r="DC12" s="1">
        <f t="shared" ref="DC12:DC18" si="49">DC11</f>
        <v>6.5</v>
      </c>
    </row>
    <row r="13" s="2" customFormat="1" spans="5:107">
      <c r="E13" s="25" t="s">
        <v>937</v>
      </c>
      <c r="F13" s="26">
        <v>1</v>
      </c>
      <c r="G13" s="27" t="s">
        <v>1276</v>
      </c>
      <c r="H13" s="27">
        <v>2</v>
      </c>
      <c r="I13" s="27" t="s">
        <v>1276</v>
      </c>
      <c r="J13" s="27">
        <v>3</v>
      </c>
      <c r="K13" s="27" t="s">
        <v>1276</v>
      </c>
      <c r="L13" s="27"/>
      <c r="M13" s="27"/>
      <c r="N13" s="28"/>
      <c r="O13" s="26"/>
      <c r="P13" s="27"/>
      <c r="Q13" s="27"/>
      <c r="R13" s="29"/>
      <c r="U13" s="2">
        <v>11</v>
      </c>
      <c r="V13" s="1" t="str">
        <f t="shared" si="16"/>
        <v>3</v>
      </c>
      <c r="W13" s="1">
        <v>23</v>
      </c>
      <c r="X13" s="30" t="s">
        <v>163</v>
      </c>
      <c r="Y13" s="3">
        <f>出怪成长!C12</f>
        <v>9</v>
      </c>
      <c r="Z13" s="31" t="str">
        <f>AA13&amp;$AB$2&amp;AB13&amp;$AB$2&amp;AC13&amp;$AC$2&amp;AD13&amp;$AE$2&amp;AE13&amp;$AE$2&amp;AF13&amp;$AG$2&amp;AH13&amp;$AI$2&amp;AI13&amp;$AI$2&amp;AJ13&amp;$AK$2&amp;AL13&amp;$AM$2&amp;AM13&amp;$AM$2&amp;AN13&amp;$AU$2&amp;AV13&amp;$AW$2&amp;AW13&amp;$AW$2&amp;AX13&amp;$BE$2&amp;BF13&amp;$BG$2&amp;BG13&amp;$BG$2&amp;BH13&amp;$BO$2&amp;BP13&amp;$BQ$2&amp;BQ13&amp;$BQ$2&amp;BR13&amp;$BY$2&amp;BZ13&amp;$CA$2&amp;CA13&amp;$CA$2&amp;CB13&amp;$CI$2&amp;CJ13&amp;$CK$2&amp;CK13&amp;$CK$2&amp;CL13</f>
        <v>1:2:1|1:4:1|2:8:1|2:13:1|3:19:1|3:25:1|1:31:1|2:37:1|3:43:1</v>
      </c>
      <c r="AA13" s="5">
        <f t="shared" si="37"/>
        <v>1</v>
      </c>
      <c r="AB13" s="33">
        <f t="shared" si="17"/>
        <v>2</v>
      </c>
      <c r="AC13" s="6">
        <f t="shared" si="0"/>
        <v>1</v>
      </c>
      <c r="AD13" s="5">
        <f t="shared" si="18"/>
        <v>1</v>
      </c>
      <c r="AE13" s="33">
        <f t="shared" si="19"/>
        <v>4</v>
      </c>
      <c r="AF13" s="6">
        <f t="shared" si="20"/>
        <v>1</v>
      </c>
      <c r="AG13" s="7">
        <f t="shared" si="41"/>
        <v>2.5</v>
      </c>
      <c r="AH13" s="5">
        <f t="shared" si="21"/>
        <v>2</v>
      </c>
      <c r="AI13" s="33">
        <f t="shared" si="1"/>
        <v>8</v>
      </c>
      <c r="AJ13" s="6">
        <f t="shared" si="2"/>
        <v>1</v>
      </c>
      <c r="AK13" s="1">
        <f t="shared" si="42"/>
        <v>4.5</v>
      </c>
      <c r="AL13" s="5">
        <f t="shared" si="23"/>
        <v>2</v>
      </c>
      <c r="AM13" s="33">
        <f t="shared" si="3"/>
        <v>13</v>
      </c>
      <c r="AN13" s="6">
        <f t="shared" si="4"/>
        <v>1</v>
      </c>
      <c r="AO13" s="6"/>
      <c r="AP13" s="6"/>
      <c r="AQ13" s="6"/>
      <c r="AR13" s="6"/>
      <c r="AS13" s="6"/>
      <c r="AT13" s="6"/>
      <c r="AU13" s="1">
        <f t="shared" si="43"/>
        <v>5</v>
      </c>
      <c r="AV13" s="5">
        <v>3</v>
      </c>
      <c r="AW13" s="33">
        <f t="shared" si="5"/>
        <v>19</v>
      </c>
      <c r="AX13" s="6">
        <f t="shared" si="6"/>
        <v>1</v>
      </c>
      <c r="AY13" s="6"/>
      <c r="AZ13" s="6"/>
      <c r="BA13" s="6"/>
      <c r="BB13" s="6"/>
      <c r="BC13" s="6"/>
      <c r="BD13" s="6"/>
      <c r="BE13" s="8">
        <f t="shared" si="44"/>
        <v>6</v>
      </c>
      <c r="BF13" s="5">
        <v>3</v>
      </c>
      <c r="BG13" s="33">
        <f t="shared" si="7"/>
        <v>25</v>
      </c>
      <c r="BH13" s="6">
        <f t="shared" si="8"/>
        <v>1</v>
      </c>
      <c r="BI13" s="6"/>
      <c r="BJ13" s="6"/>
      <c r="BK13" s="6"/>
      <c r="BL13" s="6"/>
      <c r="BM13" s="6"/>
      <c r="BN13" s="6"/>
      <c r="BO13" s="8">
        <f t="shared" si="45"/>
        <v>6.5</v>
      </c>
      <c r="BP13" s="5">
        <f t="shared" si="29"/>
        <v>1</v>
      </c>
      <c r="BQ13" s="33">
        <f t="shared" si="9"/>
        <v>31</v>
      </c>
      <c r="BR13" s="6">
        <f t="shared" si="10"/>
        <v>1</v>
      </c>
      <c r="BS13" s="6"/>
      <c r="BT13" s="6"/>
      <c r="BU13" s="6"/>
      <c r="BV13" s="6"/>
      <c r="BW13" s="6"/>
      <c r="BX13" s="6"/>
      <c r="BY13" s="8">
        <f t="shared" si="46"/>
        <v>6.5</v>
      </c>
      <c r="BZ13" s="5">
        <f t="shared" si="31"/>
        <v>2</v>
      </c>
      <c r="CA13" s="33">
        <f t="shared" si="11"/>
        <v>37</v>
      </c>
      <c r="CB13" s="6">
        <f t="shared" si="12"/>
        <v>1</v>
      </c>
      <c r="CC13" s="6"/>
      <c r="CD13" s="6"/>
      <c r="CE13" s="6"/>
      <c r="CF13" s="6"/>
      <c r="CG13" s="6"/>
      <c r="CH13" s="6"/>
      <c r="CI13" s="8">
        <f t="shared" si="47"/>
        <v>6.5</v>
      </c>
      <c r="CJ13" s="15">
        <v>3</v>
      </c>
      <c r="CK13" s="33">
        <f t="shared" si="13"/>
        <v>43</v>
      </c>
      <c r="CL13" s="6">
        <f t="shared" si="14"/>
        <v>1</v>
      </c>
      <c r="CM13" s="6"/>
      <c r="CN13" s="6"/>
      <c r="CO13" s="6"/>
      <c r="CP13" s="6"/>
      <c r="CQ13" s="6"/>
      <c r="CR13" s="6"/>
      <c r="CS13" s="8">
        <f t="shared" si="48"/>
        <v>6.5</v>
      </c>
      <c r="CT13" s="15">
        <v>3</v>
      </c>
      <c r="CU13" s="32">
        <f t="shared" si="39"/>
        <v>49</v>
      </c>
      <c r="CV13" s="6">
        <f t="shared" si="40"/>
        <v>1</v>
      </c>
      <c r="DB13" s="9"/>
      <c r="DC13" s="1">
        <f t="shared" si="49"/>
        <v>6.5</v>
      </c>
    </row>
    <row r="14" s="2" customFormat="1" spans="5:107">
      <c r="E14" s="25" t="s">
        <v>939</v>
      </c>
      <c r="F14" s="26">
        <v>1</v>
      </c>
      <c r="G14" s="27" t="s">
        <v>1276</v>
      </c>
      <c r="H14" s="27">
        <v>2</v>
      </c>
      <c r="I14" s="27" t="s">
        <v>1276</v>
      </c>
      <c r="J14" s="27">
        <v>3</v>
      </c>
      <c r="K14" s="27" t="s">
        <v>1276</v>
      </c>
      <c r="L14" s="27"/>
      <c r="M14" s="27"/>
      <c r="N14" s="28"/>
      <c r="O14" s="26">
        <v>4</v>
      </c>
      <c r="P14" s="27" t="s">
        <v>1277</v>
      </c>
      <c r="Q14" s="27">
        <v>5</v>
      </c>
      <c r="R14" s="27" t="s">
        <v>1277</v>
      </c>
      <c r="U14" s="2">
        <v>12</v>
      </c>
      <c r="V14" s="1" t="str">
        <f t="shared" si="16"/>
        <v>4</v>
      </c>
      <c r="W14" s="1">
        <v>24</v>
      </c>
      <c r="X14" s="30" t="s">
        <v>163</v>
      </c>
      <c r="Y14" s="3">
        <f>出怪成长!C13</f>
        <v>10</v>
      </c>
      <c r="Z14" s="31" t="str">
        <f>AA14&amp;$AB$2&amp;AB14&amp;$AB$2&amp;AC14&amp;$AC$2&amp;AD14&amp;$AE$2&amp;AE14&amp;$AE$2&amp;AF14&amp;$AG$2&amp;AH14&amp;$AI$2&amp;AI14&amp;$AI$2&amp;AJ14&amp;$AK$2&amp;AL14&amp;$AM$2&amp;AM14&amp;$AM$2&amp;AN14&amp;$AU$2&amp;AV14&amp;$AW$2&amp;AW14&amp;$AW$2&amp;AX14&amp;$BE$2&amp;BF14&amp;$BG$2&amp;BG14&amp;$BG$2&amp;BH14&amp;$BO$2&amp;BP14&amp;$BQ$2&amp;BQ14&amp;$BQ$2&amp;BR14&amp;$BY$2&amp;BZ14&amp;$CA$2&amp;CA14&amp;$CA$2&amp;CB14&amp;$CI$2&amp;CJ14&amp;$CK$2&amp;CK14&amp;$CK$2&amp;CL14&amp;$CS$2&amp;CT14&amp;$CU$2&amp;CU14&amp;$CU$2&amp;CV14</f>
        <v>1:2:1|1:4:1|2:8:1|2:13:1|3:19:1|3:25:1|1:31:1|2:37:1|3:43:1|3:49:1</v>
      </c>
      <c r="AA14" s="5">
        <f t="shared" si="37"/>
        <v>1</v>
      </c>
      <c r="AB14" s="33">
        <f t="shared" si="17"/>
        <v>2</v>
      </c>
      <c r="AC14" s="6">
        <f t="shared" si="0"/>
        <v>1</v>
      </c>
      <c r="AD14" s="5">
        <f t="shared" si="18"/>
        <v>1</v>
      </c>
      <c r="AE14" s="33">
        <f t="shared" si="19"/>
        <v>4</v>
      </c>
      <c r="AF14" s="6">
        <f t="shared" si="20"/>
        <v>1</v>
      </c>
      <c r="AG14" s="7">
        <f t="shared" si="41"/>
        <v>2.5</v>
      </c>
      <c r="AH14" s="5">
        <f t="shared" si="21"/>
        <v>2</v>
      </c>
      <c r="AI14" s="33">
        <f t="shared" si="1"/>
        <v>8</v>
      </c>
      <c r="AJ14" s="6">
        <f t="shared" si="2"/>
        <v>1</v>
      </c>
      <c r="AK14" s="1">
        <f t="shared" si="42"/>
        <v>4.5</v>
      </c>
      <c r="AL14" s="5">
        <f t="shared" si="23"/>
        <v>2</v>
      </c>
      <c r="AM14" s="33">
        <f t="shared" si="3"/>
        <v>13</v>
      </c>
      <c r="AN14" s="6">
        <f t="shared" si="4"/>
        <v>1</v>
      </c>
      <c r="AO14" s="6"/>
      <c r="AP14" s="6"/>
      <c r="AQ14" s="6"/>
      <c r="AR14" s="6"/>
      <c r="AS14" s="6"/>
      <c r="AT14" s="6"/>
      <c r="AU14" s="1">
        <f t="shared" si="43"/>
        <v>5</v>
      </c>
      <c r="AV14" s="5">
        <f t="shared" si="25"/>
        <v>3</v>
      </c>
      <c r="AW14" s="33">
        <f t="shared" si="5"/>
        <v>19</v>
      </c>
      <c r="AX14" s="6">
        <f t="shared" si="6"/>
        <v>1</v>
      </c>
      <c r="AY14" s="6"/>
      <c r="AZ14" s="6"/>
      <c r="BA14" s="6"/>
      <c r="BB14" s="6"/>
      <c r="BC14" s="6"/>
      <c r="BD14" s="6"/>
      <c r="BE14" s="8">
        <f t="shared" si="44"/>
        <v>6</v>
      </c>
      <c r="BF14" s="5">
        <f t="shared" si="27"/>
        <v>3</v>
      </c>
      <c r="BG14" s="33">
        <f t="shared" si="7"/>
        <v>25</v>
      </c>
      <c r="BH14" s="6">
        <f t="shared" si="8"/>
        <v>1</v>
      </c>
      <c r="BI14" s="6"/>
      <c r="BJ14" s="6"/>
      <c r="BK14" s="6"/>
      <c r="BL14" s="6"/>
      <c r="BM14" s="6"/>
      <c r="BN14" s="6"/>
      <c r="BO14" s="8">
        <f t="shared" si="45"/>
        <v>6.5</v>
      </c>
      <c r="BP14" s="5">
        <f t="shared" si="29"/>
        <v>1</v>
      </c>
      <c r="BQ14" s="33">
        <f t="shared" si="9"/>
        <v>31</v>
      </c>
      <c r="BR14" s="6">
        <f t="shared" si="10"/>
        <v>1</v>
      </c>
      <c r="BS14" s="6"/>
      <c r="BT14" s="6"/>
      <c r="BU14" s="6"/>
      <c r="BV14" s="6"/>
      <c r="BW14" s="6"/>
      <c r="BX14" s="6"/>
      <c r="BY14" s="8">
        <f t="shared" si="46"/>
        <v>6.5</v>
      </c>
      <c r="BZ14" s="5">
        <f t="shared" si="31"/>
        <v>2</v>
      </c>
      <c r="CA14" s="33">
        <f t="shared" si="11"/>
        <v>37</v>
      </c>
      <c r="CB14" s="6">
        <f t="shared" si="12"/>
        <v>1</v>
      </c>
      <c r="CC14" s="6"/>
      <c r="CD14" s="6"/>
      <c r="CE14" s="6"/>
      <c r="CF14" s="6"/>
      <c r="CG14" s="6"/>
      <c r="CH14" s="6"/>
      <c r="CI14" s="8">
        <f t="shared" si="47"/>
        <v>6.5</v>
      </c>
      <c r="CJ14" s="15">
        <f t="shared" si="33"/>
        <v>3</v>
      </c>
      <c r="CK14" s="33">
        <f t="shared" si="13"/>
        <v>43</v>
      </c>
      <c r="CL14" s="6">
        <f t="shared" si="14"/>
        <v>1</v>
      </c>
      <c r="CM14" s="6"/>
      <c r="CN14" s="6"/>
      <c r="CO14" s="6"/>
      <c r="CP14" s="6"/>
      <c r="CQ14" s="6"/>
      <c r="CR14" s="6"/>
      <c r="CS14" s="8">
        <f t="shared" si="48"/>
        <v>6.5</v>
      </c>
      <c r="CT14" s="15">
        <f t="shared" si="35"/>
        <v>3</v>
      </c>
      <c r="CU14" s="33">
        <f t="shared" si="39"/>
        <v>49</v>
      </c>
      <c r="CV14" s="6">
        <f t="shared" si="40"/>
        <v>1</v>
      </c>
      <c r="DB14" s="9"/>
      <c r="DC14" s="1">
        <f t="shared" si="49"/>
        <v>6.5</v>
      </c>
    </row>
    <row r="15" s="2" customFormat="1" spans="5:107">
      <c r="E15" s="25" t="s">
        <v>941</v>
      </c>
      <c r="F15" s="26">
        <v>1</v>
      </c>
      <c r="G15" s="27" t="s">
        <v>1276</v>
      </c>
      <c r="H15" s="27">
        <v>2</v>
      </c>
      <c r="I15" s="27" t="s">
        <v>1276</v>
      </c>
      <c r="J15" s="27">
        <v>3</v>
      </c>
      <c r="K15" s="27" t="s">
        <v>1276</v>
      </c>
      <c r="L15" s="27"/>
      <c r="M15" s="27"/>
      <c r="N15" s="28"/>
      <c r="O15" s="26"/>
      <c r="P15" s="27"/>
      <c r="Q15" s="27"/>
      <c r="R15" s="29"/>
      <c r="U15" s="2">
        <v>13</v>
      </c>
      <c r="V15" s="1" t="str">
        <f t="shared" si="16"/>
        <v>5</v>
      </c>
      <c r="W15" s="1">
        <v>25</v>
      </c>
      <c r="X15" s="30" t="s">
        <v>163</v>
      </c>
      <c r="Y15" s="3">
        <f>出怪成长!C14</f>
        <v>9</v>
      </c>
      <c r="Z15" s="31" t="str">
        <f>AA15&amp;$AB$2&amp;AB15&amp;$AB$2&amp;AC15&amp;$AC$2&amp;AD15&amp;$AE$2&amp;AE15&amp;$AE$2&amp;AF15&amp;$AG$2&amp;AH15&amp;$AI$2&amp;AI15&amp;$AI$2&amp;AJ15&amp;$AK$2&amp;AL15&amp;$AM$2&amp;AM15&amp;$AM$2&amp;AN15&amp;$AU$2&amp;AV15&amp;$AW$2&amp;AW15&amp;$AW$2&amp;AX15&amp;$BE$2&amp;BF15&amp;$BG$2&amp;BG15&amp;$BG$2&amp;BH15&amp;$BO$2&amp;BP15&amp;$BQ$2&amp;BQ15&amp;$BQ$2&amp;BR15&amp;$BY$2&amp;BZ15&amp;$CA$2&amp;CA15&amp;$CA$2&amp;CB15&amp;$CI$2&amp;CJ15&amp;$CK$2&amp;CK15&amp;$CK$2&amp;CL15</f>
        <v>1:3:1|1:5:1|2:9:1|2:14:1|3:20:1|3:26:1|1:32:1|2:38:1|3:44:1</v>
      </c>
      <c r="AA15" s="5">
        <f t="shared" si="37"/>
        <v>1</v>
      </c>
      <c r="AB15" s="33">
        <f t="shared" si="17"/>
        <v>3</v>
      </c>
      <c r="AC15" s="6">
        <f t="shared" si="0"/>
        <v>1</v>
      </c>
      <c r="AD15" s="5">
        <f t="shared" si="18"/>
        <v>1</v>
      </c>
      <c r="AE15" s="33">
        <f t="shared" si="19"/>
        <v>5</v>
      </c>
      <c r="AF15" s="6">
        <f t="shared" si="20"/>
        <v>1</v>
      </c>
      <c r="AG15" s="7">
        <f t="shared" si="41"/>
        <v>2.5</v>
      </c>
      <c r="AH15" s="5">
        <f t="shared" si="21"/>
        <v>2</v>
      </c>
      <c r="AI15" s="33">
        <f t="shared" si="1"/>
        <v>9</v>
      </c>
      <c r="AJ15" s="6">
        <f t="shared" si="2"/>
        <v>1</v>
      </c>
      <c r="AK15" s="1">
        <f t="shared" si="42"/>
        <v>4.5</v>
      </c>
      <c r="AL15" s="5">
        <f t="shared" si="23"/>
        <v>2</v>
      </c>
      <c r="AM15" s="33">
        <f t="shared" si="3"/>
        <v>14</v>
      </c>
      <c r="AN15" s="6">
        <f t="shared" si="4"/>
        <v>1</v>
      </c>
      <c r="AO15" s="6"/>
      <c r="AP15" s="6"/>
      <c r="AQ15" s="6"/>
      <c r="AR15" s="6"/>
      <c r="AS15" s="6"/>
      <c r="AT15" s="6"/>
      <c r="AU15" s="1">
        <f t="shared" si="43"/>
        <v>5</v>
      </c>
      <c r="AV15" s="5">
        <f t="shared" si="25"/>
        <v>3</v>
      </c>
      <c r="AW15" s="33">
        <f t="shared" si="5"/>
        <v>20</v>
      </c>
      <c r="AX15" s="6">
        <f t="shared" si="6"/>
        <v>1</v>
      </c>
      <c r="AY15" s="6"/>
      <c r="AZ15" s="6"/>
      <c r="BA15" s="6"/>
      <c r="BB15" s="6"/>
      <c r="BC15" s="6"/>
      <c r="BD15" s="6"/>
      <c r="BE15" s="8">
        <f t="shared" si="44"/>
        <v>6</v>
      </c>
      <c r="BF15" s="5">
        <f t="shared" si="27"/>
        <v>3</v>
      </c>
      <c r="BG15" s="33">
        <f t="shared" si="7"/>
        <v>26</v>
      </c>
      <c r="BH15" s="6">
        <f t="shared" si="8"/>
        <v>1</v>
      </c>
      <c r="BI15" s="6"/>
      <c r="BJ15" s="6"/>
      <c r="BK15" s="6"/>
      <c r="BL15" s="6"/>
      <c r="BM15" s="6"/>
      <c r="BN15" s="6"/>
      <c r="BO15" s="8">
        <f t="shared" si="45"/>
        <v>6.5</v>
      </c>
      <c r="BP15" s="5">
        <f t="shared" si="29"/>
        <v>1</v>
      </c>
      <c r="BQ15" s="33">
        <f t="shared" si="9"/>
        <v>32</v>
      </c>
      <c r="BR15" s="6">
        <f t="shared" si="10"/>
        <v>1</v>
      </c>
      <c r="BS15" s="6"/>
      <c r="BT15" s="6"/>
      <c r="BU15" s="6"/>
      <c r="BV15" s="6"/>
      <c r="BW15" s="6"/>
      <c r="BX15" s="6"/>
      <c r="BY15" s="8">
        <f t="shared" si="46"/>
        <v>6.5</v>
      </c>
      <c r="BZ15" s="5">
        <f t="shared" si="31"/>
        <v>2</v>
      </c>
      <c r="CA15" s="33">
        <f t="shared" si="11"/>
        <v>38</v>
      </c>
      <c r="CB15" s="6">
        <f t="shared" si="12"/>
        <v>1</v>
      </c>
      <c r="CC15" s="6"/>
      <c r="CD15" s="6"/>
      <c r="CE15" s="6"/>
      <c r="CF15" s="6"/>
      <c r="CG15" s="6"/>
      <c r="CH15" s="6"/>
      <c r="CI15" s="8">
        <f t="shared" si="47"/>
        <v>6.5</v>
      </c>
      <c r="CJ15" s="15">
        <f t="shared" si="33"/>
        <v>3</v>
      </c>
      <c r="CK15" s="33">
        <f t="shared" si="13"/>
        <v>44</v>
      </c>
      <c r="CL15" s="6">
        <f t="shared" si="14"/>
        <v>1</v>
      </c>
      <c r="CM15" s="6"/>
      <c r="CN15" s="6"/>
      <c r="CO15" s="6"/>
      <c r="CP15" s="6"/>
      <c r="CQ15" s="6"/>
      <c r="CR15" s="6"/>
      <c r="CS15" s="8">
        <f t="shared" si="48"/>
        <v>6.5</v>
      </c>
      <c r="CT15" s="15">
        <f t="shared" si="35"/>
        <v>3</v>
      </c>
      <c r="CU15" s="32">
        <f t="shared" si="39"/>
        <v>50</v>
      </c>
      <c r="CV15" s="6">
        <f t="shared" si="40"/>
        <v>1</v>
      </c>
      <c r="DB15" s="9"/>
      <c r="DC15" s="1">
        <f t="shared" si="49"/>
        <v>6.5</v>
      </c>
    </row>
    <row r="16" s="2" customFormat="1" spans="5:107">
      <c r="E16" s="25" t="s">
        <v>943</v>
      </c>
      <c r="F16" s="26">
        <v>1</v>
      </c>
      <c r="G16" s="27" t="s">
        <v>1276</v>
      </c>
      <c r="H16" s="27">
        <v>2</v>
      </c>
      <c r="I16" s="27" t="s">
        <v>1276</v>
      </c>
      <c r="J16" s="27"/>
      <c r="K16" s="27"/>
      <c r="L16" s="27"/>
      <c r="M16" s="27"/>
      <c r="N16" s="28"/>
      <c r="O16" s="26"/>
      <c r="P16" s="27"/>
      <c r="Q16" s="27"/>
      <c r="R16" s="29"/>
      <c r="U16" s="2">
        <v>14</v>
      </c>
      <c r="V16" s="1" t="str">
        <f t="shared" si="16"/>
        <v>6</v>
      </c>
      <c r="W16" s="1">
        <v>26</v>
      </c>
      <c r="X16" s="30" t="s">
        <v>163</v>
      </c>
      <c r="Y16" s="3">
        <f>出怪成长!C15</f>
        <v>9</v>
      </c>
      <c r="Z16" s="31" t="str">
        <f>AA16&amp;$AB$2&amp;AB16&amp;$AB$2&amp;AC16&amp;$AC$2&amp;AD16&amp;$AE$2&amp;AE16&amp;$AE$2&amp;AF16&amp;$AG$2&amp;AH16&amp;$AI$2&amp;AI16&amp;$AI$2&amp;AJ16&amp;$AK$2&amp;AL16&amp;$AM$2&amp;AM16&amp;$AM$2&amp;AN16&amp;$AU$2&amp;AV16&amp;$AW$2&amp;AW16&amp;$AW$2&amp;AX16&amp;$BE$2&amp;BF16&amp;$BG$2&amp;BG16&amp;$BG$2&amp;BH16&amp;$BO$2&amp;BP16&amp;$BQ$2&amp;BQ16&amp;$BQ$2&amp;BR16&amp;$BY$2&amp;BZ16&amp;$CA$2&amp;CA16&amp;$CA$2&amp;CB16&amp;$CI$2&amp;CJ16&amp;$CK$2&amp;CK16&amp;$CK$2&amp;CL16</f>
        <v>1:3:1|1:5:1|2:9:1|2:14:1|1:20:1|2:26:1|1:32:1|2:38:1|2:44:1</v>
      </c>
      <c r="AA16" s="5">
        <f t="shared" si="37"/>
        <v>1</v>
      </c>
      <c r="AB16" s="33">
        <f t="shared" si="17"/>
        <v>3</v>
      </c>
      <c r="AC16" s="6">
        <f t="shared" si="0"/>
        <v>1</v>
      </c>
      <c r="AD16" s="5">
        <f t="shared" si="18"/>
        <v>1</v>
      </c>
      <c r="AE16" s="33">
        <f t="shared" si="19"/>
        <v>5</v>
      </c>
      <c r="AF16" s="6">
        <f t="shared" si="20"/>
        <v>1</v>
      </c>
      <c r="AG16" s="7">
        <f t="shared" si="41"/>
        <v>2.5</v>
      </c>
      <c r="AH16" s="5">
        <f t="shared" si="21"/>
        <v>2</v>
      </c>
      <c r="AI16" s="33">
        <f t="shared" si="1"/>
        <v>9</v>
      </c>
      <c r="AJ16" s="6">
        <f t="shared" si="2"/>
        <v>1</v>
      </c>
      <c r="AK16" s="1">
        <f t="shared" si="42"/>
        <v>4.5</v>
      </c>
      <c r="AL16" s="5">
        <f t="shared" si="23"/>
        <v>2</v>
      </c>
      <c r="AM16" s="33">
        <f t="shared" si="3"/>
        <v>14</v>
      </c>
      <c r="AN16" s="6">
        <f t="shared" si="4"/>
        <v>1</v>
      </c>
      <c r="AO16" s="6"/>
      <c r="AP16" s="6"/>
      <c r="AQ16" s="6"/>
      <c r="AR16" s="6"/>
      <c r="AS16" s="6"/>
      <c r="AT16" s="6"/>
      <c r="AU16" s="1">
        <f t="shared" si="43"/>
        <v>5</v>
      </c>
      <c r="AV16" s="5">
        <v>1</v>
      </c>
      <c r="AW16" s="33">
        <f t="shared" si="5"/>
        <v>20</v>
      </c>
      <c r="AX16" s="6">
        <f t="shared" si="6"/>
        <v>1</v>
      </c>
      <c r="AY16" s="6"/>
      <c r="AZ16" s="6"/>
      <c r="BA16" s="6"/>
      <c r="BB16" s="6"/>
      <c r="BC16" s="6"/>
      <c r="BD16" s="6"/>
      <c r="BE16" s="8">
        <f t="shared" si="44"/>
        <v>6</v>
      </c>
      <c r="BF16" s="5">
        <v>2</v>
      </c>
      <c r="BG16" s="33">
        <f t="shared" si="7"/>
        <v>26</v>
      </c>
      <c r="BH16" s="6">
        <f t="shared" si="8"/>
        <v>1</v>
      </c>
      <c r="BI16" s="6"/>
      <c r="BJ16" s="6"/>
      <c r="BK16" s="6"/>
      <c r="BL16" s="6"/>
      <c r="BM16" s="6"/>
      <c r="BN16" s="6"/>
      <c r="BO16" s="8">
        <f t="shared" si="45"/>
        <v>6.5</v>
      </c>
      <c r="BP16" s="5">
        <f t="shared" si="29"/>
        <v>1</v>
      </c>
      <c r="BQ16" s="33">
        <f t="shared" si="9"/>
        <v>32</v>
      </c>
      <c r="BR16" s="6">
        <f t="shared" si="10"/>
        <v>1</v>
      </c>
      <c r="BS16" s="6"/>
      <c r="BT16" s="6"/>
      <c r="BU16" s="6"/>
      <c r="BV16" s="6"/>
      <c r="BW16" s="6"/>
      <c r="BX16" s="6"/>
      <c r="BY16" s="8">
        <f t="shared" si="46"/>
        <v>6.5</v>
      </c>
      <c r="BZ16" s="5">
        <f t="shared" si="31"/>
        <v>2</v>
      </c>
      <c r="CA16" s="33">
        <f t="shared" si="11"/>
        <v>38</v>
      </c>
      <c r="CB16" s="6">
        <f t="shared" si="12"/>
        <v>1</v>
      </c>
      <c r="CC16" s="6"/>
      <c r="CD16" s="6"/>
      <c r="CE16" s="6"/>
      <c r="CF16" s="6"/>
      <c r="CG16" s="6"/>
      <c r="CH16" s="6"/>
      <c r="CI16" s="8">
        <f t="shared" si="47"/>
        <v>6.5</v>
      </c>
      <c r="CJ16" s="15">
        <v>2</v>
      </c>
      <c r="CK16" s="33">
        <f t="shared" si="13"/>
        <v>44</v>
      </c>
      <c r="CL16" s="6">
        <f t="shared" si="14"/>
        <v>1</v>
      </c>
      <c r="CM16" s="6"/>
      <c r="CN16" s="6"/>
      <c r="CO16" s="6"/>
      <c r="CP16" s="6"/>
      <c r="CQ16" s="6"/>
      <c r="CR16" s="6"/>
      <c r="CS16" s="8">
        <f t="shared" si="48"/>
        <v>6.5</v>
      </c>
      <c r="CT16" s="15">
        <v>2</v>
      </c>
      <c r="CU16" s="33">
        <f t="shared" si="39"/>
        <v>50</v>
      </c>
      <c r="CV16" s="6">
        <f t="shared" si="40"/>
        <v>1</v>
      </c>
      <c r="DB16" s="9"/>
      <c r="DC16" s="1">
        <f t="shared" si="49"/>
        <v>6.5</v>
      </c>
    </row>
    <row r="17" s="2" customFormat="1" spans="5:107">
      <c r="E17" s="25" t="s">
        <v>945</v>
      </c>
      <c r="F17" s="26">
        <v>1</v>
      </c>
      <c r="G17" s="27" t="s">
        <v>1276</v>
      </c>
      <c r="H17" s="27">
        <v>2</v>
      </c>
      <c r="I17" s="27" t="s">
        <v>1276</v>
      </c>
      <c r="J17" s="27">
        <v>3</v>
      </c>
      <c r="K17" s="27" t="s">
        <v>1276</v>
      </c>
      <c r="L17" s="27"/>
      <c r="M17" s="27"/>
      <c r="N17" s="28"/>
      <c r="O17" s="26"/>
      <c r="P17" s="27"/>
      <c r="Q17" s="27"/>
      <c r="R17" s="29"/>
      <c r="U17" s="2">
        <v>15</v>
      </c>
      <c r="V17" s="1" t="str">
        <f t="shared" si="16"/>
        <v>7</v>
      </c>
      <c r="W17" s="1">
        <v>27</v>
      </c>
      <c r="X17" s="30" t="s">
        <v>163</v>
      </c>
      <c r="Y17" s="3">
        <f>出怪成长!C16</f>
        <v>9</v>
      </c>
      <c r="Z17" s="31" t="str">
        <f>AA17&amp;$AB$2&amp;AB17&amp;$AB$2&amp;AC17&amp;$AC$2&amp;AD17&amp;$AE$2&amp;AE17&amp;$AE$2&amp;AF17&amp;$AG$2&amp;AH17&amp;$AI$2&amp;AI17&amp;$AI$2&amp;AJ17&amp;$AK$2&amp;AL17&amp;$AM$2&amp;AM17&amp;$AM$2&amp;AN17&amp;$AU$2&amp;AV17&amp;$AW$2&amp;AW17&amp;$AW$2&amp;AX17&amp;$BE$2&amp;BF17&amp;$BG$2&amp;BG17&amp;$BG$2&amp;BH17&amp;$BO$2&amp;BP17&amp;$BQ$2&amp;BQ17&amp;$BQ$2&amp;BR17&amp;$BY$2&amp;BZ17&amp;$CA$2&amp;CA17&amp;$CA$2&amp;CB17&amp;$CI$2&amp;CJ17&amp;$CK$2&amp;CK17&amp;$CK$2&amp;CL17</f>
        <v>1:3:1|1:5:1|2:9:1|2:14:1|3:20:1|3:26:1|1:32:1|2:38:1|1:44:1</v>
      </c>
      <c r="AA17" s="5">
        <f t="shared" si="37"/>
        <v>1</v>
      </c>
      <c r="AB17" s="33">
        <f t="shared" si="17"/>
        <v>3</v>
      </c>
      <c r="AC17" s="6">
        <f t="shared" si="0"/>
        <v>1</v>
      </c>
      <c r="AD17" s="5">
        <f t="shared" si="18"/>
        <v>1</v>
      </c>
      <c r="AE17" s="33">
        <f t="shared" si="19"/>
        <v>5</v>
      </c>
      <c r="AF17" s="6">
        <f t="shared" si="20"/>
        <v>1</v>
      </c>
      <c r="AG17" s="7">
        <f t="shared" si="41"/>
        <v>2.5</v>
      </c>
      <c r="AH17" s="5">
        <f t="shared" si="21"/>
        <v>2</v>
      </c>
      <c r="AI17" s="33">
        <f t="shared" si="1"/>
        <v>9</v>
      </c>
      <c r="AJ17" s="6">
        <f t="shared" si="2"/>
        <v>1</v>
      </c>
      <c r="AK17" s="1">
        <f t="shared" si="42"/>
        <v>4.5</v>
      </c>
      <c r="AL17" s="5">
        <f t="shared" si="23"/>
        <v>2</v>
      </c>
      <c r="AM17" s="33">
        <f t="shared" si="3"/>
        <v>14</v>
      </c>
      <c r="AN17" s="6">
        <f t="shared" si="4"/>
        <v>1</v>
      </c>
      <c r="AO17" s="6"/>
      <c r="AP17" s="6"/>
      <c r="AQ17" s="6"/>
      <c r="AR17" s="6"/>
      <c r="AS17" s="6"/>
      <c r="AT17" s="6"/>
      <c r="AU17" s="1">
        <f t="shared" si="43"/>
        <v>5</v>
      </c>
      <c r="AV17" s="5">
        <v>3</v>
      </c>
      <c r="AW17" s="33">
        <f t="shared" si="5"/>
        <v>20</v>
      </c>
      <c r="AX17" s="6">
        <f t="shared" si="6"/>
        <v>1</v>
      </c>
      <c r="AY17" s="6"/>
      <c r="AZ17" s="6"/>
      <c r="BA17" s="6"/>
      <c r="BB17" s="6"/>
      <c r="BC17" s="6"/>
      <c r="BD17" s="6"/>
      <c r="BE17" s="8">
        <f t="shared" si="44"/>
        <v>6</v>
      </c>
      <c r="BF17" s="5">
        <v>3</v>
      </c>
      <c r="BG17" s="33">
        <f t="shared" si="7"/>
        <v>26</v>
      </c>
      <c r="BH17" s="6">
        <f t="shared" si="8"/>
        <v>1</v>
      </c>
      <c r="BI17" s="6"/>
      <c r="BJ17" s="6"/>
      <c r="BK17" s="6"/>
      <c r="BL17" s="6"/>
      <c r="BM17" s="6"/>
      <c r="BN17" s="6"/>
      <c r="BO17" s="8">
        <f t="shared" si="45"/>
        <v>6.5</v>
      </c>
      <c r="BP17" s="5">
        <f t="shared" si="29"/>
        <v>1</v>
      </c>
      <c r="BQ17" s="33">
        <f t="shared" si="9"/>
        <v>32</v>
      </c>
      <c r="BR17" s="6">
        <f t="shared" si="10"/>
        <v>1</v>
      </c>
      <c r="BS17" s="6"/>
      <c r="BT17" s="6"/>
      <c r="BU17" s="6"/>
      <c r="BV17" s="6"/>
      <c r="BW17" s="6"/>
      <c r="BX17" s="6"/>
      <c r="BY17" s="8">
        <f t="shared" si="46"/>
        <v>6.5</v>
      </c>
      <c r="BZ17" s="5">
        <f t="shared" si="31"/>
        <v>2</v>
      </c>
      <c r="CA17" s="33">
        <f t="shared" si="11"/>
        <v>38</v>
      </c>
      <c r="CB17" s="6">
        <f t="shared" si="12"/>
        <v>1</v>
      </c>
      <c r="CC17" s="6"/>
      <c r="CD17" s="6"/>
      <c r="CE17" s="6"/>
      <c r="CF17" s="6"/>
      <c r="CG17" s="6"/>
      <c r="CH17" s="6"/>
      <c r="CI17" s="8">
        <f t="shared" si="47"/>
        <v>6.5</v>
      </c>
      <c r="CJ17" s="15">
        <v>1</v>
      </c>
      <c r="CK17" s="33">
        <f t="shared" si="13"/>
        <v>44</v>
      </c>
      <c r="CL17" s="6">
        <f t="shared" si="14"/>
        <v>1</v>
      </c>
      <c r="CM17" s="6"/>
      <c r="CN17" s="6"/>
      <c r="CO17" s="6"/>
      <c r="CP17" s="6"/>
      <c r="CQ17" s="6"/>
      <c r="CR17" s="6"/>
      <c r="CS17" s="8">
        <f t="shared" si="48"/>
        <v>6.5</v>
      </c>
      <c r="CT17" s="15">
        <v>2</v>
      </c>
      <c r="CU17" s="32">
        <f t="shared" si="39"/>
        <v>50</v>
      </c>
      <c r="CV17" s="6">
        <f t="shared" si="40"/>
        <v>1</v>
      </c>
      <c r="DB17" s="9"/>
      <c r="DC17" s="1">
        <f t="shared" si="49"/>
        <v>6.5</v>
      </c>
    </row>
    <row r="18" s="2" customFormat="1" spans="5:107">
      <c r="E18" s="25" t="s">
        <v>947</v>
      </c>
      <c r="F18" s="26">
        <v>1</v>
      </c>
      <c r="G18" s="27" t="s">
        <v>1276</v>
      </c>
      <c r="H18" s="27">
        <v>2</v>
      </c>
      <c r="I18" s="27" t="s">
        <v>1276</v>
      </c>
      <c r="J18" s="27">
        <v>3</v>
      </c>
      <c r="K18" s="27" t="s">
        <v>1276</v>
      </c>
      <c r="L18" s="27">
        <v>4</v>
      </c>
      <c r="M18" s="27" t="s">
        <v>1276</v>
      </c>
      <c r="N18" s="28"/>
      <c r="O18" s="26"/>
      <c r="P18" s="27"/>
      <c r="Q18" s="27"/>
      <c r="R18" s="29"/>
      <c r="U18" s="2">
        <v>16</v>
      </c>
      <c r="V18" s="1" t="str">
        <f t="shared" si="16"/>
        <v>8</v>
      </c>
      <c r="W18" s="1">
        <v>28</v>
      </c>
      <c r="X18" s="30" t="s">
        <v>163</v>
      </c>
      <c r="Y18" s="3">
        <f>出怪成长!C17</f>
        <v>10</v>
      </c>
      <c r="Z18" s="31" t="str">
        <f>AA18&amp;$AB$2&amp;AB18&amp;$AB$2&amp;AC18&amp;$AC$2&amp;AD18&amp;$AE$2&amp;AE18&amp;$AE$2&amp;AF18&amp;$AG$2&amp;AH18&amp;$AI$2&amp;AI18&amp;$AI$2&amp;AJ18&amp;$AK$2&amp;AL18&amp;$AM$2&amp;AM18&amp;$AM$2&amp;AN18&amp;$AU$2&amp;AV18&amp;$AW$2&amp;AW18&amp;$AW$2&amp;AX18&amp;$BE$2&amp;BF18&amp;$BG$2&amp;BG18&amp;$BG$2&amp;BH18&amp;$BO$2&amp;BP18&amp;$BQ$2&amp;BQ18&amp;$BQ$2&amp;BR18&amp;$BY$2&amp;BZ18&amp;$CA$2&amp;CA18&amp;$CA$2&amp;CB18&amp;$CI$2&amp;CJ18&amp;$CK$2&amp;CK18&amp;$CK$2&amp;CL18&amp;$CS$2&amp;CT18&amp;$CU$2&amp;CU18&amp;$CU$2&amp;CV18</f>
        <v>1:3:1|1:5:1|2:9:1|2:14:1|3:20:1|3:26:1|1:32:1|2:38:1|1:44:1|2:50:1</v>
      </c>
      <c r="AA18" s="5">
        <f t="shared" si="37"/>
        <v>1</v>
      </c>
      <c r="AB18" s="33">
        <f t="shared" si="17"/>
        <v>3</v>
      </c>
      <c r="AC18" s="6">
        <f t="shared" si="0"/>
        <v>1</v>
      </c>
      <c r="AD18" s="5">
        <f t="shared" si="18"/>
        <v>1</v>
      </c>
      <c r="AE18" s="33">
        <f t="shared" si="19"/>
        <v>5</v>
      </c>
      <c r="AF18" s="6">
        <f t="shared" si="20"/>
        <v>1</v>
      </c>
      <c r="AG18" s="7">
        <f t="shared" si="41"/>
        <v>2.5</v>
      </c>
      <c r="AH18" s="5">
        <f t="shared" si="21"/>
        <v>2</v>
      </c>
      <c r="AI18" s="33">
        <f t="shared" si="1"/>
        <v>9</v>
      </c>
      <c r="AJ18" s="6">
        <f t="shared" si="2"/>
        <v>1</v>
      </c>
      <c r="AK18" s="1">
        <f t="shared" si="42"/>
        <v>4.5</v>
      </c>
      <c r="AL18" s="5">
        <f t="shared" si="23"/>
        <v>2</v>
      </c>
      <c r="AM18" s="33">
        <f t="shared" si="3"/>
        <v>14</v>
      </c>
      <c r="AN18" s="6">
        <f t="shared" si="4"/>
        <v>1</v>
      </c>
      <c r="AO18" s="6"/>
      <c r="AP18" s="6"/>
      <c r="AQ18" s="6"/>
      <c r="AR18" s="6"/>
      <c r="AS18" s="6"/>
      <c r="AT18" s="6"/>
      <c r="AU18" s="1">
        <f t="shared" si="43"/>
        <v>5</v>
      </c>
      <c r="AV18" s="5">
        <f t="shared" si="25"/>
        <v>3</v>
      </c>
      <c r="AW18" s="33">
        <f t="shared" si="5"/>
        <v>20</v>
      </c>
      <c r="AX18" s="6">
        <f t="shared" si="6"/>
        <v>1</v>
      </c>
      <c r="AY18" s="6"/>
      <c r="AZ18" s="6"/>
      <c r="BA18" s="6"/>
      <c r="BB18" s="6"/>
      <c r="BC18" s="6"/>
      <c r="BD18" s="6"/>
      <c r="BE18" s="8">
        <f t="shared" si="44"/>
        <v>6</v>
      </c>
      <c r="BF18" s="5">
        <f t="shared" si="27"/>
        <v>3</v>
      </c>
      <c r="BG18" s="33">
        <f t="shared" si="7"/>
        <v>26</v>
      </c>
      <c r="BH18" s="6">
        <f t="shared" si="8"/>
        <v>1</v>
      </c>
      <c r="BI18" s="6"/>
      <c r="BJ18" s="6"/>
      <c r="BK18" s="6"/>
      <c r="BL18" s="6"/>
      <c r="BM18" s="6"/>
      <c r="BN18" s="6"/>
      <c r="BO18" s="8">
        <f t="shared" si="45"/>
        <v>6.5</v>
      </c>
      <c r="BP18" s="5">
        <f t="shared" si="29"/>
        <v>1</v>
      </c>
      <c r="BQ18" s="33">
        <f t="shared" si="9"/>
        <v>32</v>
      </c>
      <c r="BR18" s="6">
        <f t="shared" si="10"/>
        <v>1</v>
      </c>
      <c r="BS18" s="6"/>
      <c r="BT18" s="6"/>
      <c r="BU18" s="6"/>
      <c r="BV18" s="6"/>
      <c r="BW18" s="6"/>
      <c r="BX18" s="6"/>
      <c r="BY18" s="8">
        <f t="shared" si="46"/>
        <v>6.5</v>
      </c>
      <c r="BZ18" s="5">
        <f t="shared" si="31"/>
        <v>2</v>
      </c>
      <c r="CA18" s="33">
        <f t="shared" si="11"/>
        <v>38</v>
      </c>
      <c r="CB18" s="6">
        <f t="shared" si="12"/>
        <v>1</v>
      </c>
      <c r="CC18" s="6"/>
      <c r="CD18" s="6"/>
      <c r="CE18" s="6"/>
      <c r="CF18" s="6"/>
      <c r="CG18" s="6"/>
      <c r="CH18" s="6"/>
      <c r="CI18" s="8">
        <f t="shared" si="47"/>
        <v>6.5</v>
      </c>
      <c r="CJ18" s="15">
        <f t="shared" si="33"/>
        <v>1</v>
      </c>
      <c r="CK18" s="33">
        <f t="shared" si="13"/>
        <v>44</v>
      </c>
      <c r="CL18" s="6">
        <f t="shared" si="14"/>
        <v>1</v>
      </c>
      <c r="CM18" s="6"/>
      <c r="CN18" s="6"/>
      <c r="CO18" s="6"/>
      <c r="CP18" s="6"/>
      <c r="CQ18" s="6"/>
      <c r="CR18" s="6"/>
      <c r="CS18" s="8">
        <f t="shared" si="48"/>
        <v>6.5</v>
      </c>
      <c r="CT18" s="15">
        <f t="shared" si="35"/>
        <v>2</v>
      </c>
      <c r="CU18" s="33">
        <f t="shared" si="39"/>
        <v>50</v>
      </c>
      <c r="CV18" s="6">
        <f t="shared" si="40"/>
        <v>1</v>
      </c>
      <c r="DB18" s="9"/>
      <c r="DC18" s="1">
        <f t="shared" si="49"/>
        <v>6.5</v>
      </c>
    </row>
    <row r="19" s="2" customFormat="1" spans="5:107">
      <c r="E19" s="25" t="s">
        <v>949</v>
      </c>
      <c r="F19" s="26">
        <v>1</v>
      </c>
      <c r="G19" s="27" t="s">
        <v>1276</v>
      </c>
      <c r="H19" s="27">
        <v>2</v>
      </c>
      <c r="I19" s="27" t="s">
        <v>1276</v>
      </c>
      <c r="J19" s="27">
        <v>3</v>
      </c>
      <c r="K19" s="27" t="s">
        <v>1276</v>
      </c>
      <c r="L19" s="27"/>
      <c r="M19" s="27"/>
      <c r="N19" s="28"/>
      <c r="O19" s="26">
        <v>4</v>
      </c>
      <c r="P19" s="27" t="s">
        <v>1277</v>
      </c>
      <c r="Q19" s="27">
        <v>5</v>
      </c>
      <c r="R19" s="27" t="s">
        <v>1277</v>
      </c>
      <c r="U19" s="2">
        <v>17</v>
      </c>
      <c r="V19" s="1" t="str">
        <f t="shared" si="16"/>
        <v>1</v>
      </c>
      <c r="W19" s="1">
        <v>31</v>
      </c>
      <c r="X19" s="30" t="s">
        <v>149</v>
      </c>
      <c r="Y19" s="3">
        <f>出怪成长!C18</f>
        <v>8</v>
      </c>
      <c r="Z19" s="31" t="str">
        <f>AA19&amp;$AB$2&amp;AB19&amp;$AB$2&amp;AC19&amp;$AC$2&amp;AD19&amp;$AE$2&amp;AE19&amp;$AE$2&amp;AF19&amp;$AG$2&amp;AH19&amp;$AI$2&amp;AI19&amp;$AI$2&amp;AJ19&amp;$AK$2&amp;AL19&amp;$AM$2&amp;AM19&amp;$AM$2&amp;AN19&amp;$AL$1&amp;AO19&amp;$AM$2&amp;AP19&amp;$AM$2&amp;AQ19&amp;$AL$1&amp;AR19&amp;$AM$2&amp;AS19&amp;$AM$2&amp;AT19&amp;$AU$2&amp;AV19&amp;$AW$2&amp;AW19&amp;$AW$2&amp;AX19&amp;$AV$1&amp;AY19&amp;$AW$2&amp;AZ19&amp;$AW$2&amp;BA19&amp;$AV$1&amp;BB19&amp;$AW$2&amp;BC19&amp;$AW$2&amp;BD19&amp;$BE$2&amp;BF19&amp;$BG$2&amp;BG19&amp;$BG$2&amp;BH19&amp;$BF$1&amp;BI19&amp;$BG$2&amp;BJ19&amp;$BG$2&amp;BK19&amp;$BF$1&amp;BL19&amp;$BG$2&amp;BM19&amp;$BG$2&amp;BN19&amp;$BO$2&amp;BP19&amp;$BQ$2&amp;BQ19&amp;$BQ$2&amp;BR19&amp;$BP$1&amp;BS19&amp;$BQ$2&amp;BT19&amp;$BQ$2&amp;BU19&amp;$BP$1&amp;BV19&amp;$BQ$2&amp;BW19&amp;$BQ$2&amp;BX19&amp;$BY$2&amp;BZ19&amp;$CA$2&amp;CA19&amp;$CA$2&amp;CB19&amp;$BZ$1&amp;CC19&amp;$CA$2&amp;CD19&amp;$CA$2&amp;CE19&amp;$BZ$1&amp;CF19&amp;$CA$2&amp;CG19&amp;$CA$2&amp;CH19</f>
        <v>1:2:1|1:5:1|2:10:1|2:5:1#2:5:1#3:5:1|3:4:1#2:4:1#3:4:1|3:5:1#2:5:1#3:5:1|1:6:1#2:6:1#3:6:1|2:7:1#2:7:1#3:7:1</v>
      </c>
      <c r="AA19" s="5">
        <v>1</v>
      </c>
      <c r="AB19" s="33">
        <f t="shared" si="17"/>
        <v>2</v>
      </c>
      <c r="AC19" s="6">
        <f t="shared" si="0"/>
        <v>1</v>
      </c>
      <c r="AD19" s="5">
        <v>1</v>
      </c>
      <c r="AE19" s="33">
        <f t="shared" si="19"/>
        <v>5</v>
      </c>
      <c r="AF19" s="6">
        <f t="shared" si="20"/>
        <v>1</v>
      </c>
      <c r="AG19" s="7">
        <f>AG11+AG$1</f>
        <v>3</v>
      </c>
      <c r="AH19" s="5">
        <v>2</v>
      </c>
      <c r="AI19" s="33">
        <f t="shared" si="1"/>
        <v>10</v>
      </c>
      <c r="AJ19" s="6">
        <f t="shared" si="2"/>
        <v>1</v>
      </c>
      <c r="AK19" s="34">
        <f>AK11+AK$1</f>
        <v>5</v>
      </c>
      <c r="AL19" s="5">
        <v>2</v>
      </c>
      <c r="AM19" s="33">
        <f>INT((AI19+AU19)/$AP$1)</f>
        <v>5</v>
      </c>
      <c r="AN19" s="6">
        <f t="shared" si="4"/>
        <v>1</v>
      </c>
      <c r="AO19" s="35">
        <v>2</v>
      </c>
      <c r="AP19" s="33">
        <f>AM19</f>
        <v>5</v>
      </c>
      <c r="AQ19" s="6">
        <f t="shared" ref="AQ19:AQ82" si="50">IF(AO19=$F19,IF($F19="","",IF((VLOOKUP($F19,$F:$G,2,FALSE)="步兵"),1,2)),IF(AO19=$H19,IF($H19="","",IF((VLOOKUP($H19,$H:$I,2,FALSE)="步兵"),1,2)),IF(AO19=$J19,IF($J19="","",IF((VLOOKUP($J19,$J:$K,2,FALSE)="步兵"),1,2)),IF(AO19=$L19,IF($L19="","",IF((VLOOKUP($L19,$L:$M,2,FALSE)="步兵"),1,2)),IF(AO19=$O19,IF($O19="","",IF((VLOOKUP($O19,$O:$P,2,FALSE)="步兵"),1,2)),IF(AO19=$Q19,IF($Q19="","",IF((VLOOKUP($Q19,$Q:$R,2,FALSE)="步兵"),1,2)),"出怪口错误"))))))</f>
        <v>1</v>
      </c>
      <c r="AR19" s="35">
        <v>3</v>
      </c>
      <c r="AS19" s="33">
        <f>AM19</f>
        <v>5</v>
      </c>
      <c r="AT19" s="6">
        <f t="shared" ref="AT19:AT82" si="51">IF(AR19=$F19,IF($F19="","",IF((VLOOKUP($F19,$F:$G,2,FALSE)="步兵"),1,2)),IF(AR19=$H19,IF($H19="","",IF((VLOOKUP($H19,$H:$I,2,FALSE)="步兵"),1,2)),IF(AR19=$J19,IF($J19="","",IF((VLOOKUP($J19,$J:$K,2,FALSE)="步兵"),1,2)),IF(AR19=$L19,IF($L19="","",IF((VLOOKUP($L19,$L:$M,2,FALSE)="步兵"),1,2)),IF(AR19=$O19,IF($O19="","",IF((VLOOKUP($O19,$O:$P,2,FALSE)="步兵"),1,2)),IF(AR19=$Q19,IF($Q19="","",IF((VLOOKUP($Q19,$Q:$R,2,FALSE)="步兵"),1,2)),"出怪口错误"))))))</f>
        <v>1</v>
      </c>
      <c r="AU19" s="34">
        <f>AU11+AU$1</f>
        <v>6</v>
      </c>
      <c r="AV19" s="5">
        <v>3</v>
      </c>
      <c r="AW19" s="33">
        <f>INT((AM19+BE19)/$AZ$1)</f>
        <v>4</v>
      </c>
      <c r="AX19" s="6">
        <f t="shared" si="6"/>
        <v>1</v>
      </c>
      <c r="AY19" s="35">
        <v>2</v>
      </c>
      <c r="AZ19" s="33">
        <f>AW19</f>
        <v>4</v>
      </c>
      <c r="BA19" s="6">
        <f t="shared" ref="BA19:BA82" si="52">IF(AY19=$F19,IF($F19="","",IF((VLOOKUP($F19,$F:$G,2,FALSE)="步兵"),1,2)),IF(AY19=$H19,IF($H19="","",IF((VLOOKUP($H19,$H:$I,2,FALSE)="步兵"),1,2)),IF(AY19=$J19,IF($J19="","",IF((VLOOKUP($J19,$J:$K,2,FALSE)="步兵"),1,2)),IF(AY19=$L19,IF($L19="","",IF((VLOOKUP($L19,$L:$M,2,FALSE)="步兵"),1,2)),IF(AY19=$O19,IF($O19="","",IF((VLOOKUP($O19,$O:$P,2,FALSE)="步兵"),1,2)),IF(AY19=$Q19,IF($Q19="","",IF((VLOOKUP($Q19,$Q:$R,2,FALSE)="步兵"),1,2)),"出怪口错误"))))))</f>
        <v>1</v>
      </c>
      <c r="BB19" s="35">
        <v>3</v>
      </c>
      <c r="BC19" s="33">
        <f>AW19</f>
        <v>4</v>
      </c>
      <c r="BD19" s="6">
        <f t="shared" ref="BD19:BD82" si="53">IF(BB19=$F19,IF($F19="","",IF((VLOOKUP($F19,$F:$G,2,FALSE)="步兵"),1,2)),IF(BB19=$H19,IF($H19="","",IF((VLOOKUP($H19,$H:$I,2,FALSE)="步兵"),1,2)),IF(BB19=$J19,IF($J19="","",IF((VLOOKUP($J19,$J:$K,2,FALSE)="步兵"),1,2)),IF(BB19=$L19,IF($L19="","",IF((VLOOKUP($L19,$L:$M,2,FALSE)="步兵"),1,2)),IF(BB19=$O19,IF($O19="","",IF((VLOOKUP($O19,$O:$P,2,FALSE)="步兵"),1,2)),IF(BB19=$Q19,IF($Q19="","",IF((VLOOKUP($Q19,$Q:$R,2,FALSE)="步兵"),1,2)),"出怪口错误"))))))</f>
        <v>1</v>
      </c>
      <c r="BE19" s="7">
        <f>BE11+BE$1</f>
        <v>7</v>
      </c>
      <c r="BF19" s="5">
        <v>3</v>
      </c>
      <c r="BG19" s="33">
        <f>INT((AW19+BO19)/$BJ$1)</f>
        <v>5</v>
      </c>
      <c r="BH19" s="6">
        <f t="shared" si="8"/>
        <v>1</v>
      </c>
      <c r="BI19" s="35">
        <v>2</v>
      </c>
      <c r="BJ19" s="33">
        <f>BG19</f>
        <v>5</v>
      </c>
      <c r="BK19" s="6">
        <f t="shared" ref="BK19:BK82" si="54">IF(BI19=$F19,IF($F19="","",IF((VLOOKUP($F19,$F:$G,2,FALSE)="步兵"),1,2)),IF(BI19=$H19,IF($H19="","",IF((VLOOKUP($H19,$H:$I,2,FALSE)="步兵"),1,2)),IF(BI19=$J19,IF($J19="","",IF((VLOOKUP($J19,$J:$K,2,FALSE)="步兵"),1,2)),IF(BI19=$L19,IF($L19="","",IF((VLOOKUP($L19,$L:$M,2,FALSE)="步兵"),1,2)),IF(BI19=$O19,IF($O19="","",IF((VLOOKUP($O19,$O:$P,2,FALSE)="步兵"),1,2)),IF(BI19=$Q19,IF($Q19="","",IF((VLOOKUP($Q19,$Q:$R,2,FALSE)="步兵"),1,2)),"出怪口错误"))))))</f>
        <v>1</v>
      </c>
      <c r="BL19" s="35">
        <v>3</v>
      </c>
      <c r="BM19" s="33">
        <f>BG19</f>
        <v>5</v>
      </c>
      <c r="BN19" s="6">
        <f t="shared" ref="BN19:BN82" si="55">IF(BL19=$F19,IF($F19="","",IF((VLOOKUP($F19,$F:$G,2,FALSE)="步兵"),1,2)),IF(BL19=$H19,IF($H19="","",IF((VLOOKUP($H19,$H:$I,2,FALSE)="步兵"),1,2)),IF(BL19=$J19,IF($J19="","",IF((VLOOKUP($J19,$J:$K,2,FALSE)="步兵"),1,2)),IF(BL19=$L19,IF($L19="","",IF((VLOOKUP($L19,$L:$M,2,FALSE)="步兵"),1,2)),IF(BL19=$O19,IF($O19="","",IF((VLOOKUP($O19,$O:$P,2,FALSE)="步兵"),1,2)),IF(BL19=$Q19,IF($Q19="","",IF((VLOOKUP($Q19,$Q:$R,2,FALSE)="步兵"),1,2)),"出怪口错误"))))))</f>
        <v>1</v>
      </c>
      <c r="BO19" s="7">
        <f>BO11+BO$1</f>
        <v>8</v>
      </c>
      <c r="BP19" s="5">
        <f t="shared" ref="BP4:BP67" si="56">BP18</f>
        <v>1</v>
      </c>
      <c r="BQ19" s="33">
        <f>INT((BG19+BY19)/$BT$1)</f>
        <v>6</v>
      </c>
      <c r="BR19" s="6">
        <f t="shared" si="10"/>
        <v>1</v>
      </c>
      <c r="BS19" s="35">
        <v>2</v>
      </c>
      <c r="BT19" s="33">
        <f>BQ19</f>
        <v>6</v>
      </c>
      <c r="BU19" s="6">
        <f t="shared" ref="BU19:BU82" si="57">IF(BS19=$F19,IF($F19="","",IF((VLOOKUP($F19,$F:$G,2,FALSE)="步兵"),1,2)),IF(BS19=$H19,IF($H19="","",IF((VLOOKUP($H19,$H:$I,2,FALSE)="步兵"),1,2)),IF(BS19=$J19,IF($J19="","",IF((VLOOKUP($J19,$J:$K,2,FALSE)="步兵"),1,2)),IF(BS19=$L19,IF($L19="","",IF((VLOOKUP($L19,$L:$M,2,FALSE)="步兵"),1,2)),IF(BS19=$O19,IF($O19="","",IF((VLOOKUP($O19,$O:$P,2,FALSE)="步兵"),1,2)),IF(BS19=$Q19,IF($Q19="","",IF((VLOOKUP($Q19,$Q:$R,2,FALSE)="步兵"),1,2)),"出怪口错误"))))))</f>
        <v>1</v>
      </c>
      <c r="BV19" s="35">
        <v>3</v>
      </c>
      <c r="BW19" s="33">
        <f>BQ19</f>
        <v>6</v>
      </c>
      <c r="BX19" s="6">
        <f t="shared" ref="BX19:BX82" si="58">IF(BV19=$F19,IF($F19="","",IF((VLOOKUP($F19,$F:$G,2,FALSE)="步兵"),1,2)),IF(BV19=$H19,IF($H19="","",IF((VLOOKUP($H19,$H:$I,2,FALSE)="步兵"),1,2)),IF(BV19=$J19,IF($J19="","",IF((VLOOKUP($J19,$J:$K,2,FALSE)="步兵"),1,2)),IF(BV19=$L19,IF($L19="","",IF((VLOOKUP($L19,$L:$M,2,FALSE)="步兵"),1,2)),IF(BV19=$O19,IF($O19="","",IF((VLOOKUP($O19,$O:$P,2,FALSE)="步兵"),1,2)),IF(BV19=$Q19,IF($Q19="","",IF((VLOOKUP($Q19,$Q:$R,2,FALSE)="步兵"),1,2)),"出怪口错误"))))))</f>
        <v>1</v>
      </c>
      <c r="BY19" s="7">
        <f>BY11+BY$1</f>
        <v>8</v>
      </c>
      <c r="BZ19" s="5">
        <f t="shared" ref="BZ4:BZ67" si="59">BZ18</f>
        <v>2</v>
      </c>
      <c r="CA19" s="33">
        <f>INT((BQ19+CI19)/$CD$1)</f>
        <v>7</v>
      </c>
      <c r="CB19" s="6">
        <f t="shared" si="12"/>
        <v>1</v>
      </c>
      <c r="CC19" s="35">
        <v>2</v>
      </c>
      <c r="CD19" s="33">
        <f>CA19</f>
        <v>7</v>
      </c>
      <c r="CE19" s="6">
        <f t="shared" ref="CE19:CE82" si="60">IF(CC19=$F19,IF($F19="","",IF((VLOOKUP($F19,$F:$G,2,FALSE)="步兵"),1,2)),IF(CC19=$H19,IF($H19="","",IF((VLOOKUP($H19,$H:$I,2,FALSE)="步兵"),1,2)),IF(CC19=$J19,IF($J19="","",IF((VLOOKUP($J19,$J:$K,2,FALSE)="步兵"),1,2)),IF(CC19=$L19,IF($L19="","",IF((VLOOKUP($L19,$L:$M,2,FALSE)="步兵"),1,2)),IF(CC19=$O19,IF($O19="","",IF((VLOOKUP($O19,$O:$P,2,FALSE)="步兵"),1,2)),IF(CC19=$Q19,IF($Q19="","",IF((VLOOKUP($Q19,$Q:$R,2,FALSE)="步兵"),1,2)),"出怪口错误"))))))</f>
        <v>1</v>
      </c>
      <c r="CF19" s="35">
        <v>3</v>
      </c>
      <c r="CG19" s="33">
        <f>CA19</f>
        <v>7</v>
      </c>
      <c r="CH19" s="6">
        <f t="shared" ref="CH19:CH82" si="61">IF(CF19=$F19,IF($F19="","",IF((VLOOKUP($F19,$F:$G,2,FALSE)="步兵"),1,2)),IF(CF19=$H19,IF($H19="","",IF((VLOOKUP($H19,$H:$I,2,FALSE)="步兵"),1,2)),IF(CF19=$J19,IF($J19="","",IF((VLOOKUP($J19,$J:$K,2,FALSE)="步兵"),1,2)),IF(CF19=$L19,IF($L19="","",IF((VLOOKUP($L19,$L:$M,2,FALSE)="步兵"),1,2)),IF(CF19=$O19,IF($O19="","",IF((VLOOKUP($O19,$O:$P,2,FALSE)="步兵"),1,2)),IF(CF19=$Q19,IF($Q19="","",IF((VLOOKUP($Q19,$Q:$R,2,FALSE)="步兵"),1,2)),"出怪口错误"))))))</f>
        <v>1</v>
      </c>
      <c r="CI19" s="7">
        <f>CI11+CI$1</f>
        <v>8</v>
      </c>
      <c r="CJ19" s="15">
        <f t="shared" si="33"/>
        <v>1</v>
      </c>
      <c r="CK19" s="33">
        <f>INT((CA19+CS19)/$CN$1)</f>
        <v>10</v>
      </c>
      <c r="CL19" s="6">
        <f t="shared" si="14"/>
        <v>1</v>
      </c>
      <c r="CM19" s="35">
        <v>2</v>
      </c>
      <c r="CN19" s="33">
        <f>CK19</f>
        <v>10</v>
      </c>
      <c r="CO19" s="6">
        <f t="shared" ref="CO19:CO82" si="62">IF(CM19=$F19,IF($F19="","",IF((VLOOKUP($F19,$F:$G,2,FALSE)="步兵"),1,2)),IF(CM19=$H19,IF($H19="","",IF((VLOOKUP($H19,$H:$I,2,FALSE)="步兵"),1,2)),IF(CM19=$J19,IF($J19="","",IF((VLOOKUP($J19,$J:$K,2,FALSE)="步兵"),1,2)),IF(CM19=$L19,IF($L19="","",IF((VLOOKUP($L19,$L:$M,2,FALSE)="步兵"),1,2)),IF(CM19=$O19,IF($O19="","",IF((VLOOKUP($O19,$O:$P,2,FALSE)="步兵"),1,2)),IF(CM19=$Q19,IF($Q19="","",IF((VLOOKUP($Q19,$Q:$R,2,FALSE)="步兵"),1,2)),"出怪口错误"))))))</f>
        <v>1</v>
      </c>
      <c r="CP19" s="35">
        <v>3</v>
      </c>
      <c r="CQ19" s="33">
        <f>CK19</f>
        <v>10</v>
      </c>
      <c r="CR19" s="6">
        <f t="shared" ref="CR19:CR82" si="63">IF(CP19=$F19,IF($F19="","",IF((VLOOKUP($F19,$F:$G,2,FALSE)="步兵"),1,2)),IF(CP19=$H19,IF($H19="","",IF((VLOOKUP($H19,$H:$I,2,FALSE)="步兵"),1,2)),IF(CP19=$J19,IF($J19="","",IF((VLOOKUP($J19,$J:$K,2,FALSE)="步兵"),1,2)),IF(CP19=$L19,IF($L19="","",IF((VLOOKUP($L19,$L:$M,2,FALSE)="步兵"),1,2)),IF(CP19=$O19,IF($O19="","",IF((VLOOKUP($O19,$O:$P,2,FALSE)="步兵"),1,2)),IF(CP19=$Q19,IF($Q19="","",IF((VLOOKUP($Q19,$Q:$R,2,FALSE)="步兵"),1,2)),"出怪口错误"))))))</f>
        <v>1</v>
      </c>
      <c r="CS19" s="7">
        <f>CS11+CS$1</f>
        <v>8</v>
      </c>
      <c r="CT19" s="15">
        <f t="shared" si="35"/>
        <v>2</v>
      </c>
      <c r="CU19" s="32">
        <f t="shared" si="39"/>
        <v>18</v>
      </c>
      <c r="CV19" s="6">
        <f t="shared" si="40"/>
        <v>1</v>
      </c>
      <c r="CW19" s="35">
        <v>2</v>
      </c>
      <c r="CX19" s="33">
        <f>CU19</f>
        <v>18</v>
      </c>
      <c r="CY19" s="6">
        <f t="shared" ref="CY19:CY82" si="64">IF(CW19=$F19,IF($F19="","",IF((VLOOKUP($F19,$F:$G,2,FALSE)="步兵"),1,2)),IF(CW19=$H19,IF($H19="","",IF((VLOOKUP($H19,$H:$I,2,FALSE)="步兵"),1,2)),IF(CW19=$J19,IF($J19="","",IF((VLOOKUP($J19,$J:$K,2,FALSE)="步兵"),1,2)),IF(CW19=$L19,IF($L19="","",IF((VLOOKUP($L19,$L:$M,2,FALSE)="步兵"),1,2)),IF(CW19=$O19,IF($O19="","",IF((VLOOKUP($O19,$O:$P,2,FALSE)="步兵"),1,2)),IF(CW19=$Q19,IF($Q19="","",IF((VLOOKUP($Q19,$Q:$R,2,FALSE)="步兵"),1,2)),"出怪口错误"))))))</f>
        <v>1</v>
      </c>
      <c r="CZ19" s="35">
        <v>3</v>
      </c>
      <c r="DA19" s="33">
        <f>CU19</f>
        <v>18</v>
      </c>
      <c r="DB19" s="6">
        <f t="shared" ref="DB19:DB82" si="65">IF(CZ19=$F19,IF($F19="","",IF((VLOOKUP($F19,$F:$G,2,FALSE)="步兵"),1,2)),IF(CZ19=$H19,IF($H19="","",IF((VLOOKUP($H19,$H:$I,2,FALSE)="步兵"),1,2)),IF(CZ19=$J19,IF($J19="","",IF((VLOOKUP($J19,$J:$K,2,FALSE)="步兵"),1,2)),IF(CZ19=$L19,IF($L19="","",IF((VLOOKUP($L19,$L:$M,2,FALSE)="步兵"),1,2)),IF(CZ19=$O19,IF($O19="","",IF((VLOOKUP($O19,$O:$P,2,FALSE)="步兵"),1,2)),IF(CZ19=$Q19,IF($Q19="","",IF((VLOOKUP($Q19,$Q:$R,2,FALSE)="步兵"),1,2)),"出怪口错误"))))))</f>
        <v>1</v>
      </c>
      <c r="DC19" s="34">
        <f>DC11+DC$1</f>
        <v>8</v>
      </c>
    </row>
    <row r="20" s="2" customFormat="1" spans="5:107">
      <c r="E20" s="25" t="s">
        <v>951</v>
      </c>
      <c r="F20" s="26">
        <v>1</v>
      </c>
      <c r="G20" s="27" t="s">
        <v>1276</v>
      </c>
      <c r="H20" s="27">
        <v>2</v>
      </c>
      <c r="I20" s="27" t="s">
        <v>1276</v>
      </c>
      <c r="J20" s="27">
        <v>3</v>
      </c>
      <c r="K20" s="27" t="s">
        <v>1276</v>
      </c>
      <c r="L20" s="27"/>
      <c r="M20" s="27"/>
      <c r="N20" s="28"/>
      <c r="O20" s="26">
        <v>4</v>
      </c>
      <c r="P20" s="27" t="s">
        <v>1277</v>
      </c>
      <c r="Q20" s="27">
        <v>5</v>
      </c>
      <c r="R20" s="27" t="s">
        <v>1277</v>
      </c>
      <c r="U20" s="2">
        <v>18</v>
      </c>
      <c r="V20" s="1" t="str">
        <f t="shared" si="16"/>
        <v>2</v>
      </c>
      <c r="W20" s="1">
        <v>32</v>
      </c>
      <c r="X20" s="30" t="s">
        <v>149</v>
      </c>
      <c r="Y20" s="3">
        <f>出怪成长!C19</f>
        <v>8</v>
      </c>
      <c r="Z20" s="31" t="str">
        <f>AA20&amp;$AB$2&amp;AB20&amp;$AB$2&amp;AC20&amp;$AC$2&amp;AD20&amp;$AE$2&amp;AE20&amp;$AE$2&amp;AF20&amp;$AG$2&amp;AH20&amp;$AI$2&amp;AI20&amp;$AI$2&amp;AJ20&amp;$AK$2&amp;AL20&amp;$AM$2&amp;AM20&amp;$AM$2&amp;AN20&amp;$AL$1&amp;AO20&amp;$AM$2&amp;AP20&amp;$AM$2&amp;AQ20&amp;$AL$1&amp;AR20&amp;$AM$2&amp;AS20&amp;$AM$2&amp;AT20&amp;$AU$2&amp;AV20&amp;$AW$2&amp;AW20&amp;$AW$2&amp;AX20&amp;$AV$1&amp;AY20&amp;$AW$2&amp;AZ20&amp;$AW$2&amp;BA20&amp;$AV$1&amp;BB20&amp;$AW$2&amp;BC20&amp;$AW$2&amp;BD20&amp;$BE$2&amp;BF20&amp;$BG$2&amp;BG20&amp;$BG$2&amp;BH20&amp;$BF$1&amp;BI20&amp;$BG$2&amp;BJ20&amp;$BG$2&amp;BK20&amp;$BF$1&amp;BL20&amp;$BG$2&amp;BM20&amp;$BG$2&amp;BN20&amp;$BO$2&amp;BP20&amp;$BQ$2&amp;BQ20&amp;$BQ$2&amp;BR20&amp;$BP$1&amp;BS20&amp;$BQ$2&amp;BT20&amp;$BQ$2&amp;BU20&amp;$BP$1&amp;BV20&amp;$BQ$2&amp;BW20&amp;$BQ$2&amp;BX20&amp;$BY$2&amp;BZ20&amp;$CA$2&amp;CA20&amp;$CA$2&amp;CB20&amp;$BZ$1&amp;CC20&amp;$CA$2&amp;CD20&amp;$CA$2&amp;CE20&amp;$BZ$1&amp;CF20&amp;$CA$2&amp;CG20&amp;$CA$2&amp;CH20</f>
        <v>1:2:1|1:5:1|2:10:1|2:5:1#2:5:1#3:5:1|3:4:1#2:4:1#3:4:1|3:5:1#2:5:1#3:5:1|1:6:1#2:6:1#3:6:1|2:7:1#2:7:1#3:7:1</v>
      </c>
      <c r="AA20" s="5">
        <f t="shared" si="37"/>
        <v>1</v>
      </c>
      <c r="AB20" s="33">
        <f t="shared" si="17"/>
        <v>2</v>
      </c>
      <c r="AC20" s="6">
        <f t="shared" si="0"/>
        <v>1</v>
      </c>
      <c r="AD20" s="5">
        <f t="shared" si="18"/>
        <v>1</v>
      </c>
      <c r="AE20" s="33">
        <f t="shared" si="19"/>
        <v>5</v>
      </c>
      <c r="AF20" s="6">
        <f t="shared" si="20"/>
        <v>1</v>
      </c>
      <c r="AG20" s="7">
        <f t="shared" ref="AG20:AG26" si="66">AG19</f>
        <v>3</v>
      </c>
      <c r="AH20" s="5">
        <f t="shared" si="21"/>
        <v>2</v>
      </c>
      <c r="AI20" s="33">
        <f t="shared" si="1"/>
        <v>10</v>
      </c>
      <c r="AJ20" s="6">
        <f t="shared" si="2"/>
        <v>1</v>
      </c>
      <c r="AK20" s="1">
        <f t="shared" ref="AK20:AK26" si="67">AK19</f>
        <v>5</v>
      </c>
      <c r="AL20" s="5">
        <f t="shared" si="23"/>
        <v>2</v>
      </c>
      <c r="AM20" s="33">
        <f t="shared" ref="AM20:AM51" si="68">INT((AI20+AU20)/$AP$1)</f>
        <v>5</v>
      </c>
      <c r="AN20" s="6">
        <f t="shared" si="4"/>
        <v>1</v>
      </c>
      <c r="AO20" s="35">
        <v>2</v>
      </c>
      <c r="AP20" s="33">
        <f t="shared" ref="AP20:AP51" si="69">AM20</f>
        <v>5</v>
      </c>
      <c r="AQ20" s="6">
        <f t="shared" si="50"/>
        <v>1</v>
      </c>
      <c r="AR20" s="35">
        <v>3</v>
      </c>
      <c r="AS20" s="33">
        <f t="shared" ref="AS20:AS51" si="70">AM20</f>
        <v>5</v>
      </c>
      <c r="AT20" s="6">
        <f t="shared" si="51"/>
        <v>1</v>
      </c>
      <c r="AU20" s="1">
        <f t="shared" ref="AU20:AU26" si="71">AU19</f>
        <v>6</v>
      </c>
      <c r="AV20" s="5">
        <f t="shared" ref="AV4:AV67" si="72">AV19</f>
        <v>3</v>
      </c>
      <c r="AW20" s="33">
        <f t="shared" ref="AW20:AW51" si="73">INT((AM20+BE20)/$AZ$1)</f>
        <v>4</v>
      </c>
      <c r="AX20" s="6">
        <f t="shared" si="6"/>
        <v>1</v>
      </c>
      <c r="AY20" s="35">
        <v>2</v>
      </c>
      <c r="AZ20" s="33">
        <f t="shared" ref="AZ20:AZ51" si="74">AW20</f>
        <v>4</v>
      </c>
      <c r="BA20" s="6">
        <f t="shared" si="52"/>
        <v>1</v>
      </c>
      <c r="BB20" s="35">
        <v>3</v>
      </c>
      <c r="BC20" s="33">
        <f t="shared" ref="BC20:BC51" si="75">AW20</f>
        <v>4</v>
      </c>
      <c r="BD20" s="6">
        <f t="shared" si="53"/>
        <v>1</v>
      </c>
      <c r="BE20" s="8">
        <f t="shared" ref="BE20:BE26" si="76">BE19</f>
        <v>7</v>
      </c>
      <c r="BF20" s="5">
        <f t="shared" ref="BF4:BF67" si="77">BF19</f>
        <v>3</v>
      </c>
      <c r="BG20" s="33">
        <f t="shared" ref="BG20:BG51" si="78">INT((AW20+BO20)/$BJ$1)</f>
        <v>5</v>
      </c>
      <c r="BH20" s="6">
        <f t="shared" si="8"/>
        <v>1</v>
      </c>
      <c r="BI20" s="35">
        <v>2</v>
      </c>
      <c r="BJ20" s="33">
        <f t="shared" ref="BJ20:BJ51" si="79">BG20</f>
        <v>5</v>
      </c>
      <c r="BK20" s="6">
        <f t="shared" si="54"/>
        <v>1</v>
      </c>
      <c r="BL20" s="35">
        <v>3</v>
      </c>
      <c r="BM20" s="33">
        <f>BG20</f>
        <v>5</v>
      </c>
      <c r="BN20" s="6">
        <f t="shared" si="55"/>
        <v>1</v>
      </c>
      <c r="BO20" s="8">
        <f t="shared" ref="BO20:BO26" si="80">BO19</f>
        <v>8</v>
      </c>
      <c r="BP20" s="5">
        <f t="shared" si="56"/>
        <v>1</v>
      </c>
      <c r="BQ20" s="33">
        <f t="shared" ref="BQ20:BQ51" si="81">INT((BG20+BY20)/$BT$1)</f>
        <v>6</v>
      </c>
      <c r="BR20" s="6">
        <f t="shared" si="10"/>
        <v>1</v>
      </c>
      <c r="BS20" s="35">
        <v>2</v>
      </c>
      <c r="BT20" s="33">
        <f t="shared" ref="BT20:BT51" si="82">BQ20</f>
        <v>6</v>
      </c>
      <c r="BU20" s="6">
        <f t="shared" si="57"/>
        <v>1</v>
      </c>
      <c r="BV20" s="35">
        <v>3</v>
      </c>
      <c r="BW20" s="33">
        <f t="shared" ref="BW20:BW51" si="83">BQ20</f>
        <v>6</v>
      </c>
      <c r="BX20" s="6">
        <f t="shared" si="58"/>
        <v>1</v>
      </c>
      <c r="BY20" s="8">
        <f t="shared" ref="BY20:BY26" si="84">BY19</f>
        <v>8</v>
      </c>
      <c r="BZ20" s="5">
        <f t="shared" si="59"/>
        <v>2</v>
      </c>
      <c r="CA20" s="33">
        <f t="shared" ref="CA20:CA51" si="85">INT((BQ20+CI20)/$CD$1)</f>
        <v>7</v>
      </c>
      <c r="CB20" s="6">
        <f t="shared" si="12"/>
        <v>1</v>
      </c>
      <c r="CC20" s="35">
        <v>2</v>
      </c>
      <c r="CD20" s="33">
        <f t="shared" ref="CD20:CD51" si="86">CA20</f>
        <v>7</v>
      </c>
      <c r="CE20" s="6">
        <f t="shared" si="60"/>
        <v>1</v>
      </c>
      <c r="CF20" s="35">
        <v>3</v>
      </c>
      <c r="CG20" s="33">
        <f t="shared" ref="CG20:CG51" si="87">CA20</f>
        <v>7</v>
      </c>
      <c r="CH20" s="6">
        <f t="shared" si="61"/>
        <v>1</v>
      </c>
      <c r="CI20" s="8">
        <f t="shared" ref="CI20:CI26" si="88">CI19</f>
        <v>8</v>
      </c>
      <c r="CJ20" s="15">
        <f t="shared" si="33"/>
        <v>1</v>
      </c>
      <c r="CK20" s="33">
        <f t="shared" ref="CK20:CK51" si="89">INT((CA20+CS20)/$CN$1)</f>
        <v>10</v>
      </c>
      <c r="CL20" s="6">
        <f t="shared" si="14"/>
        <v>1</v>
      </c>
      <c r="CM20" s="35">
        <v>2</v>
      </c>
      <c r="CN20" s="33">
        <f t="shared" ref="CN20:CN51" si="90">CK20</f>
        <v>10</v>
      </c>
      <c r="CO20" s="6">
        <f t="shared" si="62"/>
        <v>1</v>
      </c>
      <c r="CP20" s="35">
        <v>3</v>
      </c>
      <c r="CQ20" s="33">
        <f t="shared" ref="CQ20:CQ51" si="91">CK20</f>
        <v>10</v>
      </c>
      <c r="CR20" s="6">
        <f t="shared" si="63"/>
        <v>1</v>
      </c>
      <c r="CS20" s="8">
        <f t="shared" ref="CS20:CS26" si="92">CS19</f>
        <v>8</v>
      </c>
      <c r="CT20" s="15">
        <f t="shared" si="35"/>
        <v>2</v>
      </c>
      <c r="CU20" s="33">
        <f t="shared" si="39"/>
        <v>18</v>
      </c>
      <c r="CV20" s="6">
        <f t="shared" si="40"/>
        <v>1</v>
      </c>
      <c r="CW20" s="35">
        <v>2</v>
      </c>
      <c r="CX20" s="33">
        <f t="shared" ref="CX20:CX51" si="93">INT(CK20*1.2)</f>
        <v>12</v>
      </c>
      <c r="CY20" s="6">
        <f t="shared" si="64"/>
        <v>1</v>
      </c>
      <c r="CZ20" s="35">
        <v>3</v>
      </c>
      <c r="DA20" s="33">
        <f t="shared" ref="DA20:DA51" si="94">CU20</f>
        <v>18</v>
      </c>
      <c r="DB20" s="6">
        <f t="shared" si="65"/>
        <v>1</v>
      </c>
      <c r="DC20" s="1">
        <f t="shared" ref="DC20:DC26" si="95">DC19</f>
        <v>8</v>
      </c>
    </row>
    <row r="21" s="2" customFormat="1" spans="5:107">
      <c r="E21" s="25" t="s">
        <v>953</v>
      </c>
      <c r="F21" s="26">
        <v>1</v>
      </c>
      <c r="G21" s="27" t="s">
        <v>1276</v>
      </c>
      <c r="H21" s="27">
        <v>2</v>
      </c>
      <c r="I21" s="27" t="s">
        <v>1276</v>
      </c>
      <c r="J21" s="27">
        <v>3</v>
      </c>
      <c r="K21" s="27" t="s">
        <v>1276</v>
      </c>
      <c r="L21" s="27">
        <v>4</v>
      </c>
      <c r="M21" s="27" t="s">
        <v>1276</v>
      </c>
      <c r="N21" s="28"/>
      <c r="O21" s="26">
        <v>5</v>
      </c>
      <c r="P21" s="27" t="s">
        <v>1277</v>
      </c>
      <c r="Q21" s="27">
        <v>6</v>
      </c>
      <c r="R21" s="27" t="s">
        <v>1277</v>
      </c>
      <c r="U21" s="2">
        <v>19</v>
      </c>
      <c r="V21" s="1" t="str">
        <f t="shared" si="16"/>
        <v>3</v>
      </c>
      <c r="W21" s="1">
        <v>33</v>
      </c>
      <c r="X21" s="30" t="s">
        <v>149</v>
      </c>
      <c r="Y21" s="3">
        <f>出怪成长!C20</f>
        <v>8</v>
      </c>
      <c r="Z21" s="31" t="str">
        <f>AA21&amp;$AB$2&amp;AB21&amp;$AB$2&amp;AC21&amp;$AC$2&amp;AD21&amp;$AE$2&amp;AE21&amp;$AE$2&amp;AF21&amp;$AG$2&amp;AH21&amp;$AI$2&amp;AI21&amp;$AI$2&amp;AJ21&amp;$AK$2&amp;AL21&amp;$AM$2&amp;AM21&amp;$AM$2&amp;AN21&amp;$AL$1&amp;AO21&amp;$AM$2&amp;AP21&amp;$AM$2&amp;AQ21&amp;$AL$1&amp;AR21&amp;$AM$2&amp;AS21&amp;$AM$2&amp;AT21&amp;$AU$2&amp;AV21&amp;$AW$2&amp;AW21&amp;$AW$2&amp;AX21&amp;$AV$1&amp;AY21&amp;$AW$2&amp;AZ21&amp;$AW$2&amp;BA21&amp;$AV$1&amp;BB21&amp;$AW$2&amp;BC21&amp;$AW$2&amp;BD21&amp;$BE$2&amp;BF21&amp;$BG$2&amp;BG21&amp;$BG$2&amp;BH21&amp;$BF$1&amp;BI21&amp;$BG$2&amp;BJ21&amp;$BG$2&amp;BK21&amp;$BF$1&amp;BL21&amp;$BG$2&amp;BM21&amp;$BG$2&amp;BN21&amp;$BO$2&amp;BP21&amp;$BQ$2&amp;BQ21&amp;$BQ$2&amp;BR21&amp;$BP$1&amp;BS21&amp;$BQ$2&amp;BT21&amp;$BQ$2&amp;BU21&amp;$BP$1&amp;BV21&amp;$BQ$2&amp;BW21&amp;$BQ$2&amp;BX21&amp;$BY$2&amp;BZ21&amp;$CA$2&amp;CA21&amp;$CA$2&amp;CB21&amp;$BZ$1&amp;CC21&amp;$CA$2&amp;CD21&amp;$CA$2&amp;CE21&amp;$BZ$1&amp;CF21&amp;$CA$2&amp;CG21&amp;$CA$2&amp;CH21</f>
        <v>1:2:1|1:5:1|2:10:1|2:5:1#2:5:1#3:5:1|3:4:1#2:4:1#3:4:1|3:5:1#2:5:1#3:5:1|1:6:1#2:6:1#3:6:1|2:7:1#2:7:1#3:7:1</v>
      </c>
      <c r="AA21" s="5">
        <f t="shared" si="37"/>
        <v>1</v>
      </c>
      <c r="AB21" s="33">
        <f t="shared" si="17"/>
        <v>2</v>
      </c>
      <c r="AC21" s="6">
        <f t="shared" si="0"/>
        <v>1</v>
      </c>
      <c r="AD21" s="5">
        <f t="shared" si="18"/>
        <v>1</v>
      </c>
      <c r="AE21" s="33">
        <f t="shared" si="19"/>
        <v>5</v>
      </c>
      <c r="AF21" s="6">
        <f t="shared" si="20"/>
        <v>1</v>
      </c>
      <c r="AG21" s="7">
        <f t="shared" si="66"/>
        <v>3</v>
      </c>
      <c r="AH21" s="5">
        <f t="shared" si="21"/>
        <v>2</v>
      </c>
      <c r="AI21" s="33">
        <f t="shared" si="1"/>
        <v>10</v>
      </c>
      <c r="AJ21" s="6">
        <f t="shared" si="2"/>
        <v>1</v>
      </c>
      <c r="AK21" s="1">
        <f t="shared" si="67"/>
        <v>5</v>
      </c>
      <c r="AL21" s="5">
        <f t="shared" si="23"/>
        <v>2</v>
      </c>
      <c r="AM21" s="33">
        <f t="shared" si="68"/>
        <v>5</v>
      </c>
      <c r="AN21" s="6">
        <f t="shared" si="4"/>
        <v>1</v>
      </c>
      <c r="AO21" s="35">
        <v>2</v>
      </c>
      <c r="AP21" s="33">
        <f t="shared" si="69"/>
        <v>5</v>
      </c>
      <c r="AQ21" s="6">
        <f t="shared" si="50"/>
        <v>1</v>
      </c>
      <c r="AR21" s="35">
        <v>3</v>
      </c>
      <c r="AS21" s="33">
        <f t="shared" si="70"/>
        <v>5</v>
      </c>
      <c r="AT21" s="6">
        <f t="shared" si="51"/>
        <v>1</v>
      </c>
      <c r="AU21" s="1">
        <f t="shared" si="71"/>
        <v>6</v>
      </c>
      <c r="AV21" s="5">
        <f t="shared" si="72"/>
        <v>3</v>
      </c>
      <c r="AW21" s="33">
        <f t="shared" si="73"/>
        <v>4</v>
      </c>
      <c r="AX21" s="6">
        <f t="shared" si="6"/>
        <v>1</v>
      </c>
      <c r="AY21" s="35">
        <v>2</v>
      </c>
      <c r="AZ21" s="33">
        <f t="shared" si="74"/>
        <v>4</v>
      </c>
      <c r="BA21" s="6">
        <f t="shared" si="52"/>
        <v>1</v>
      </c>
      <c r="BB21" s="35">
        <v>3</v>
      </c>
      <c r="BC21" s="33">
        <f t="shared" si="75"/>
        <v>4</v>
      </c>
      <c r="BD21" s="6">
        <f t="shared" si="53"/>
        <v>1</v>
      </c>
      <c r="BE21" s="8">
        <f t="shared" si="76"/>
        <v>7</v>
      </c>
      <c r="BF21" s="5">
        <f t="shared" si="77"/>
        <v>3</v>
      </c>
      <c r="BG21" s="33">
        <f t="shared" si="78"/>
        <v>5</v>
      </c>
      <c r="BH21" s="6">
        <f t="shared" si="8"/>
        <v>1</v>
      </c>
      <c r="BI21" s="35">
        <v>2</v>
      </c>
      <c r="BJ21" s="33">
        <f t="shared" si="79"/>
        <v>5</v>
      </c>
      <c r="BK21" s="6">
        <f t="shared" si="54"/>
        <v>1</v>
      </c>
      <c r="BL21" s="35">
        <v>3</v>
      </c>
      <c r="BM21" s="33">
        <f t="shared" ref="BM21:BM52" si="96">BG21</f>
        <v>5</v>
      </c>
      <c r="BN21" s="6">
        <f t="shared" si="55"/>
        <v>1</v>
      </c>
      <c r="BO21" s="8">
        <f t="shared" si="80"/>
        <v>8</v>
      </c>
      <c r="BP21" s="5">
        <f t="shared" si="56"/>
        <v>1</v>
      </c>
      <c r="BQ21" s="33">
        <f t="shared" si="81"/>
        <v>6</v>
      </c>
      <c r="BR21" s="6">
        <f t="shared" si="10"/>
        <v>1</v>
      </c>
      <c r="BS21" s="35">
        <v>2</v>
      </c>
      <c r="BT21" s="33">
        <f t="shared" si="82"/>
        <v>6</v>
      </c>
      <c r="BU21" s="6">
        <f t="shared" si="57"/>
        <v>1</v>
      </c>
      <c r="BV21" s="35">
        <v>3</v>
      </c>
      <c r="BW21" s="33">
        <f t="shared" si="83"/>
        <v>6</v>
      </c>
      <c r="BX21" s="6">
        <f t="shared" si="58"/>
        <v>1</v>
      </c>
      <c r="BY21" s="8">
        <f t="shared" si="84"/>
        <v>8</v>
      </c>
      <c r="BZ21" s="5">
        <f t="shared" si="59"/>
        <v>2</v>
      </c>
      <c r="CA21" s="33">
        <f t="shared" si="85"/>
        <v>7</v>
      </c>
      <c r="CB21" s="6">
        <f t="shared" si="12"/>
        <v>1</v>
      </c>
      <c r="CC21" s="35">
        <v>2</v>
      </c>
      <c r="CD21" s="33">
        <f t="shared" si="86"/>
        <v>7</v>
      </c>
      <c r="CE21" s="6">
        <f t="shared" si="60"/>
        <v>1</v>
      </c>
      <c r="CF21" s="35">
        <v>3</v>
      </c>
      <c r="CG21" s="33">
        <f t="shared" si="87"/>
        <v>7</v>
      </c>
      <c r="CH21" s="6">
        <f t="shared" si="61"/>
        <v>1</v>
      </c>
      <c r="CI21" s="8">
        <f t="shared" si="88"/>
        <v>8</v>
      </c>
      <c r="CJ21" s="15">
        <f t="shared" si="33"/>
        <v>1</v>
      </c>
      <c r="CK21" s="33">
        <f t="shared" si="89"/>
        <v>10</v>
      </c>
      <c r="CL21" s="6">
        <f t="shared" si="14"/>
        <v>1</v>
      </c>
      <c r="CM21" s="35">
        <v>2</v>
      </c>
      <c r="CN21" s="33">
        <f t="shared" si="90"/>
        <v>10</v>
      </c>
      <c r="CO21" s="6">
        <f t="shared" si="62"/>
        <v>1</v>
      </c>
      <c r="CP21" s="35">
        <v>3</v>
      </c>
      <c r="CQ21" s="33">
        <f t="shared" si="91"/>
        <v>10</v>
      </c>
      <c r="CR21" s="6">
        <f t="shared" si="63"/>
        <v>1</v>
      </c>
      <c r="CS21" s="8">
        <f t="shared" si="92"/>
        <v>8</v>
      </c>
      <c r="CT21" s="15">
        <f t="shared" si="35"/>
        <v>2</v>
      </c>
      <c r="CU21" s="32">
        <f t="shared" si="39"/>
        <v>18</v>
      </c>
      <c r="CV21" s="6">
        <f t="shared" si="40"/>
        <v>1</v>
      </c>
      <c r="CW21" s="35">
        <v>2</v>
      </c>
      <c r="CX21" s="33">
        <f t="shared" si="93"/>
        <v>12</v>
      </c>
      <c r="CY21" s="6">
        <f t="shared" si="64"/>
        <v>1</v>
      </c>
      <c r="CZ21" s="35">
        <v>3</v>
      </c>
      <c r="DA21" s="33">
        <f t="shared" si="94"/>
        <v>18</v>
      </c>
      <c r="DB21" s="6">
        <f t="shared" si="65"/>
        <v>1</v>
      </c>
      <c r="DC21" s="1">
        <f t="shared" si="95"/>
        <v>8</v>
      </c>
    </row>
    <row r="22" s="2" customFormat="1" spans="5:107">
      <c r="E22" s="25" t="s">
        <v>955</v>
      </c>
      <c r="F22" s="26">
        <v>1</v>
      </c>
      <c r="G22" s="27" t="s">
        <v>1276</v>
      </c>
      <c r="H22" s="27">
        <v>2</v>
      </c>
      <c r="I22" s="27" t="s">
        <v>1276</v>
      </c>
      <c r="J22" s="27"/>
      <c r="K22" s="27"/>
      <c r="L22" s="27"/>
      <c r="M22" s="27"/>
      <c r="N22" s="28"/>
      <c r="O22" s="26">
        <v>3</v>
      </c>
      <c r="P22" s="27" t="s">
        <v>1277</v>
      </c>
      <c r="Q22" s="27">
        <v>4</v>
      </c>
      <c r="R22" s="27" t="s">
        <v>1277</v>
      </c>
      <c r="U22" s="2">
        <v>20</v>
      </c>
      <c r="V22" s="1" t="str">
        <f t="shared" si="16"/>
        <v>4</v>
      </c>
      <c r="W22" s="1">
        <v>34</v>
      </c>
      <c r="X22" s="30" t="s">
        <v>149</v>
      </c>
      <c r="Y22" s="3">
        <f>出怪成长!C21</f>
        <v>9</v>
      </c>
      <c r="Z22" s="31" t="str">
        <f>AA22&amp;$AB$2&amp;AB22&amp;$AB$2&amp;AC22&amp;$AC$2&amp;AD22&amp;$AE$2&amp;AE22&amp;$AE$2&amp;AF22&amp;$AG$2&amp;AH22&amp;$AI$2&amp;AI22&amp;$AI$2&amp;AJ22&amp;$AK$2&amp;AL22&amp;$AM$2&amp;AM22&amp;$AM$2&amp;AN22&amp;$AL$1&amp;AO22&amp;$AM$2&amp;AP22&amp;$AM$2&amp;AQ22&amp;$AL$1&amp;AR22&amp;$AM$2&amp;AS22&amp;$AM$2&amp;AT22&amp;$AU$2&amp;AV22&amp;$AW$2&amp;AW22&amp;$AW$2&amp;AX22&amp;$AV$1&amp;AY22&amp;$AW$2&amp;AZ22&amp;$AW$2&amp;BA22&amp;$AV$1&amp;BB22&amp;$AW$2&amp;BC22&amp;$AW$2&amp;BD22&amp;$BE$2&amp;BF22&amp;$BG$2&amp;BG22&amp;$BG$2&amp;BH22&amp;$BF$1&amp;BI22&amp;$BG$2&amp;BJ22&amp;$BG$2&amp;BK22&amp;$BF$1&amp;BL22&amp;$BG$2&amp;BM22&amp;$BG$2&amp;BN22&amp;$BO$2&amp;BP22&amp;$BQ$2&amp;BQ22&amp;$BQ$2&amp;BR22&amp;$BP$1&amp;BS22&amp;$BQ$2&amp;BT22&amp;$BQ$2&amp;BU22&amp;$BP$1&amp;BV22&amp;$BQ$2&amp;BW22&amp;$BQ$2&amp;BX22&amp;$BY$2&amp;BZ22&amp;$CA$2&amp;CA22&amp;$CA$2&amp;CB22&amp;$BZ$1&amp;CC22&amp;$CA$2&amp;CD22&amp;$CA$2&amp;CE22&amp;$BZ$1&amp;CF22&amp;$CA$2&amp;CG22&amp;$CA$2&amp;CH22&amp;$CI$2&amp;CJ22&amp;$CK$2&amp;CK22&amp;$CK$2&amp;CL22&amp;$CJ$1&amp;CM22&amp;$CK$2&amp;CN22&amp;$CK$2&amp;CO22&amp;$CJ$1&amp;CP22&amp;$CK$2&amp;CQ22&amp;$CK$2&amp;CR22</f>
        <v>1:2:1|1:5:1|2:10:1|2:5:1#2:5:1#3:5:2|3:4:2#2:4:1#3:4:2|3:5:2#2:5:1#3:5:2|1:6:1#2:6:1#3:6:2|2:7:1#2:7:1#3:7:2|1:10:1#2:10:1#3:10:2</v>
      </c>
      <c r="AA22" s="5">
        <f t="shared" si="37"/>
        <v>1</v>
      </c>
      <c r="AB22" s="33">
        <f t="shared" si="17"/>
        <v>2</v>
      </c>
      <c r="AC22" s="6">
        <f t="shared" si="0"/>
        <v>1</v>
      </c>
      <c r="AD22" s="5">
        <f t="shared" si="18"/>
        <v>1</v>
      </c>
      <c r="AE22" s="33">
        <f t="shared" si="19"/>
        <v>5</v>
      </c>
      <c r="AF22" s="6">
        <f t="shared" si="20"/>
        <v>1</v>
      </c>
      <c r="AG22" s="7">
        <f t="shared" si="66"/>
        <v>3</v>
      </c>
      <c r="AH22" s="5">
        <f t="shared" si="21"/>
        <v>2</v>
      </c>
      <c r="AI22" s="33">
        <f t="shared" si="1"/>
        <v>10</v>
      </c>
      <c r="AJ22" s="6">
        <f t="shared" si="2"/>
        <v>1</v>
      </c>
      <c r="AK22" s="1">
        <f t="shared" si="67"/>
        <v>5</v>
      </c>
      <c r="AL22" s="5">
        <f t="shared" si="23"/>
        <v>2</v>
      </c>
      <c r="AM22" s="33">
        <f t="shared" si="68"/>
        <v>5</v>
      </c>
      <c r="AN22" s="6">
        <f t="shared" si="4"/>
        <v>1</v>
      </c>
      <c r="AO22" s="35">
        <v>2</v>
      </c>
      <c r="AP22" s="33">
        <f t="shared" si="69"/>
        <v>5</v>
      </c>
      <c r="AQ22" s="6">
        <f t="shared" si="50"/>
        <v>1</v>
      </c>
      <c r="AR22" s="35">
        <v>3</v>
      </c>
      <c r="AS22" s="33">
        <f t="shared" si="70"/>
        <v>5</v>
      </c>
      <c r="AT22" s="6">
        <f t="shared" si="51"/>
        <v>2</v>
      </c>
      <c r="AU22" s="1">
        <f t="shared" si="71"/>
        <v>6</v>
      </c>
      <c r="AV22" s="5">
        <f t="shared" si="72"/>
        <v>3</v>
      </c>
      <c r="AW22" s="33">
        <f t="shared" si="73"/>
        <v>4</v>
      </c>
      <c r="AX22" s="6">
        <f t="shared" si="6"/>
        <v>2</v>
      </c>
      <c r="AY22" s="35">
        <v>2</v>
      </c>
      <c r="AZ22" s="33">
        <f t="shared" si="74"/>
        <v>4</v>
      </c>
      <c r="BA22" s="6">
        <f t="shared" si="52"/>
        <v>1</v>
      </c>
      <c r="BB22" s="35">
        <v>3</v>
      </c>
      <c r="BC22" s="33">
        <f t="shared" si="75"/>
        <v>4</v>
      </c>
      <c r="BD22" s="6">
        <f t="shared" si="53"/>
        <v>2</v>
      </c>
      <c r="BE22" s="8">
        <f t="shared" si="76"/>
        <v>7</v>
      </c>
      <c r="BF22" s="5">
        <f t="shared" si="77"/>
        <v>3</v>
      </c>
      <c r="BG22" s="33">
        <f t="shared" si="78"/>
        <v>5</v>
      </c>
      <c r="BH22" s="6">
        <f t="shared" si="8"/>
        <v>2</v>
      </c>
      <c r="BI22" s="35">
        <v>2</v>
      </c>
      <c r="BJ22" s="33">
        <f t="shared" si="79"/>
        <v>5</v>
      </c>
      <c r="BK22" s="6">
        <f t="shared" si="54"/>
        <v>1</v>
      </c>
      <c r="BL22" s="35">
        <v>3</v>
      </c>
      <c r="BM22" s="33">
        <f t="shared" si="96"/>
        <v>5</v>
      </c>
      <c r="BN22" s="6">
        <f t="shared" si="55"/>
        <v>2</v>
      </c>
      <c r="BO22" s="8">
        <f t="shared" si="80"/>
        <v>8</v>
      </c>
      <c r="BP22" s="5">
        <f t="shared" si="56"/>
        <v>1</v>
      </c>
      <c r="BQ22" s="33">
        <f t="shared" si="81"/>
        <v>6</v>
      </c>
      <c r="BR22" s="6">
        <f t="shared" si="10"/>
        <v>1</v>
      </c>
      <c r="BS22" s="35">
        <v>2</v>
      </c>
      <c r="BT22" s="33">
        <f t="shared" si="82"/>
        <v>6</v>
      </c>
      <c r="BU22" s="6">
        <f t="shared" si="57"/>
        <v>1</v>
      </c>
      <c r="BV22" s="35">
        <v>3</v>
      </c>
      <c r="BW22" s="33">
        <f t="shared" si="83"/>
        <v>6</v>
      </c>
      <c r="BX22" s="6">
        <f t="shared" si="58"/>
        <v>2</v>
      </c>
      <c r="BY22" s="8">
        <f t="shared" si="84"/>
        <v>8</v>
      </c>
      <c r="BZ22" s="5">
        <f t="shared" si="59"/>
        <v>2</v>
      </c>
      <c r="CA22" s="33">
        <f t="shared" si="85"/>
        <v>7</v>
      </c>
      <c r="CB22" s="6">
        <f t="shared" si="12"/>
        <v>1</v>
      </c>
      <c r="CC22" s="35">
        <v>2</v>
      </c>
      <c r="CD22" s="33">
        <f t="shared" si="86"/>
        <v>7</v>
      </c>
      <c r="CE22" s="6">
        <f t="shared" si="60"/>
        <v>1</v>
      </c>
      <c r="CF22" s="35">
        <v>3</v>
      </c>
      <c r="CG22" s="33">
        <f t="shared" si="87"/>
        <v>7</v>
      </c>
      <c r="CH22" s="6">
        <f t="shared" si="61"/>
        <v>2</v>
      </c>
      <c r="CI22" s="8">
        <f t="shared" si="88"/>
        <v>8</v>
      </c>
      <c r="CJ22" s="15">
        <f t="shared" si="33"/>
        <v>1</v>
      </c>
      <c r="CK22" s="33">
        <f t="shared" si="89"/>
        <v>10</v>
      </c>
      <c r="CL22" s="6">
        <f t="shared" si="14"/>
        <v>1</v>
      </c>
      <c r="CM22" s="35">
        <v>2</v>
      </c>
      <c r="CN22" s="33">
        <f t="shared" si="90"/>
        <v>10</v>
      </c>
      <c r="CO22" s="6">
        <f t="shared" si="62"/>
        <v>1</v>
      </c>
      <c r="CP22" s="35">
        <v>3</v>
      </c>
      <c r="CQ22" s="33">
        <f t="shared" si="91"/>
        <v>10</v>
      </c>
      <c r="CR22" s="6">
        <f t="shared" si="63"/>
        <v>2</v>
      </c>
      <c r="CS22" s="8">
        <f t="shared" si="92"/>
        <v>8</v>
      </c>
      <c r="CT22" s="15">
        <f t="shared" si="35"/>
        <v>2</v>
      </c>
      <c r="CU22" s="33">
        <f t="shared" si="39"/>
        <v>18</v>
      </c>
      <c r="CV22" s="6">
        <f t="shared" si="40"/>
        <v>1</v>
      </c>
      <c r="CW22" s="35">
        <v>2</v>
      </c>
      <c r="CX22" s="33">
        <f t="shared" si="93"/>
        <v>12</v>
      </c>
      <c r="CY22" s="6">
        <f t="shared" si="64"/>
        <v>1</v>
      </c>
      <c r="CZ22" s="35">
        <v>3</v>
      </c>
      <c r="DA22" s="33">
        <f t="shared" si="94"/>
        <v>18</v>
      </c>
      <c r="DB22" s="6">
        <f t="shared" si="65"/>
        <v>2</v>
      </c>
      <c r="DC22" s="1">
        <f t="shared" si="95"/>
        <v>8</v>
      </c>
    </row>
    <row r="23" s="2" customFormat="1" spans="5:107">
      <c r="E23" s="25" t="s">
        <v>957</v>
      </c>
      <c r="F23" s="26">
        <v>1</v>
      </c>
      <c r="G23" s="27" t="s">
        <v>1276</v>
      </c>
      <c r="H23" s="27">
        <v>2</v>
      </c>
      <c r="I23" s="27" t="s">
        <v>1276</v>
      </c>
      <c r="J23" s="27"/>
      <c r="K23" s="27"/>
      <c r="L23" s="27"/>
      <c r="M23" s="27"/>
      <c r="N23" s="28"/>
      <c r="O23" s="26">
        <v>3</v>
      </c>
      <c r="P23" s="27" t="s">
        <v>1277</v>
      </c>
      <c r="Q23" s="27">
        <v>4</v>
      </c>
      <c r="R23" s="27" t="s">
        <v>1277</v>
      </c>
      <c r="U23" s="2">
        <v>21</v>
      </c>
      <c r="V23" s="1" t="str">
        <f t="shared" si="16"/>
        <v>5</v>
      </c>
      <c r="W23" s="1">
        <v>35</v>
      </c>
      <c r="X23" s="30" t="s">
        <v>149</v>
      </c>
      <c r="Y23" s="3">
        <f>出怪成长!C22</f>
        <v>8</v>
      </c>
      <c r="Z23" s="31" t="str">
        <f>AA23&amp;$AB$2&amp;AB23&amp;$AB$2&amp;AC23&amp;$AC$2&amp;AD23&amp;$AE$2&amp;AE23&amp;$AE$2&amp;AF23&amp;$AG$2&amp;AH23&amp;$AI$2&amp;AI23&amp;$AI$2&amp;AJ23&amp;$AK$2&amp;AL23&amp;$AM$2&amp;AM23&amp;$AM$2&amp;AN23&amp;$AL$1&amp;AO23&amp;$AM$2&amp;AP23&amp;$AM$2&amp;AQ23&amp;$AL$1&amp;AR23&amp;$AM$2&amp;AS23&amp;$AM$2&amp;AT23&amp;$AU$2&amp;AV23&amp;$AW$2&amp;AW23&amp;$AW$2&amp;AX23&amp;$AV$1&amp;AY23&amp;$AW$2&amp;AZ23&amp;$AW$2&amp;BA23&amp;$AV$1&amp;BB23&amp;$AW$2&amp;BC23&amp;$AW$2&amp;BD23&amp;$BE$2&amp;BF23&amp;$BG$2&amp;BG23&amp;$BG$2&amp;BH23&amp;$BF$1&amp;BI23&amp;$BG$2&amp;BJ23&amp;$BG$2&amp;BK23&amp;$BF$1&amp;BL23&amp;$BG$2&amp;BM23&amp;$BG$2&amp;BN23&amp;$BO$2&amp;BP23&amp;$BQ$2&amp;BQ23&amp;$BQ$2&amp;BR23&amp;$BP$1&amp;BS23&amp;$BQ$2&amp;BT23&amp;$BQ$2&amp;BU23&amp;$BP$1&amp;BV23&amp;$BQ$2&amp;BW23&amp;$BQ$2&amp;BX23&amp;$BY$2&amp;BZ23&amp;$CA$2&amp;CA23&amp;$CA$2&amp;CB23&amp;$BZ$1&amp;CC23&amp;$CA$2&amp;CD23&amp;$CA$2&amp;CE23&amp;$BZ$1&amp;CF23&amp;$CA$2&amp;CG23&amp;$CA$2&amp;CH23</f>
        <v>1:3:1|1:6:1|2:11:1|2:5:1#2:5:1#3:5:2|3:4:2#2:4:1#3:4:2|3:5:2#2:5:1#3:5:2|1:6:1#2:6:1#3:6:2|2:7:1#2:7:1#3:7:2</v>
      </c>
      <c r="AA23" s="5">
        <f t="shared" si="37"/>
        <v>1</v>
      </c>
      <c r="AB23" s="33">
        <f t="shared" si="17"/>
        <v>3</v>
      </c>
      <c r="AC23" s="6">
        <f t="shared" si="0"/>
        <v>1</v>
      </c>
      <c r="AD23" s="5">
        <f t="shared" si="18"/>
        <v>1</v>
      </c>
      <c r="AE23" s="33">
        <f t="shared" si="19"/>
        <v>6</v>
      </c>
      <c r="AF23" s="6">
        <f t="shared" si="20"/>
        <v>1</v>
      </c>
      <c r="AG23" s="7">
        <f t="shared" si="66"/>
        <v>3</v>
      </c>
      <c r="AH23" s="5">
        <f t="shared" si="21"/>
        <v>2</v>
      </c>
      <c r="AI23" s="33">
        <f t="shared" si="1"/>
        <v>11</v>
      </c>
      <c r="AJ23" s="6">
        <f t="shared" si="2"/>
        <v>1</v>
      </c>
      <c r="AK23" s="1">
        <f t="shared" si="67"/>
        <v>5</v>
      </c>
      <c r="AL23" s="5">
        <f t="shared" si="23"/>
        <v>2</v>
      </c>
      <c r="AM23" s="33">
        <f t="shared" si="68"/>
        <v>5</v>
      </c>
      <c r="AN23" s="6">
        <f t="shared" si="4"/>
        <v>1</v>
      </c>
      <c r="AO23" s="35">
        <v>2</v>
      </c>
      <c r="AP23" s="33">
        <f t="shared" si="69"/>
        <v>5</v>
      </c>
      <c r="AQ23" s="6">
        <f t="shared" si="50"/>
        <v>1</v>
      </c>
      <c r="AR23" s="35">
        <v>3</v>
      </c>
      <c r="AS23" s="33">
        <f t="shared" si="70"/>
        <v>5</v>
      </c>
      <c r="AT23" s="6">
        <f t="shared" si="51"/>
        <v>2</v>
      </c>
      <c r="AU23" s="1">
        <f t="shared" si="71"/>
        <v>6</v>
      </c>
      <c r="AV23" s="5">
        <f t="shared" si="72"/>
        <v>3</v>
      </c>
      <c r="AW23" s="33">
        <f t="shared" si="73"/>
        <v>4</v>
      </c>
      <c r="AX23" s="6">
        <f t="shared" si="6"/>
        <v>2</v>
      </c>
      <c r="AY23" s="35">
        <v>2</v>
      </c>
      <c r="AZ23" s="33">
        <f t="shared" si="74"/>
        <v>4</v>
      </c>
      <c r="BA23" s="6">
        <f t="shared" si="52"/>
        <v>1</v>
      </c>
      <c r="BB23" s="35">
        <v>3</v>
      </c>
      <c r="BC23" s="33">
        <f t="shared" si="75"/>
        <v>4</v>
      </c>
      <c r="BD23" s="6">
        <f t="shared" si="53"/>
        <v>2</v>
      </c>
      <c r="BE23" s="8">
        <f t="shared" si="76"/>
        <v>7</v>
      </c>
      <c r="BF23" s="5">
        <f t="shared" si="77"/>
        <v>3</v>
      </c>
      <c r="BG23" s="33">
        <f t="shared" si="78"/>
        <v>5</v>
      </c>
      <c r="BH23" s="6">
        <f t="shared" si="8"/>
        <v>2</v>
      </c>
      <c r="BI23" s="35">
        <v>2</v>
      </c>
      <c r="BJ23" s="33">
        <f t="shared" si="79"/>
        <v>5</v>
      </c>
      <c r="BK23" s="6">
        <f t="shared" si="54"/>
        <v>1</v>
      </c>
      <c r="BL23" s="35">
        <v>3</v>
      </c>
      <c r="BM23" s="33">
        <f t="shared" si="96"/>
        <v>5</v>
      </c>
      <c r="BN23" s="6">
        <f t="shared" si="55"/>
        <v>2</v>
      </c>
      <c r="BO23" s="8">
        <f t="shared" si="80"/>
        <v>8</v>
      </c>
      <c r="BP23" s="5">
        <f t="shared" si="56"/>
        <v>1</v>
      </c>
      <c r="BQ23" s="33">
        <f t="shared" si="81"/>
        <v>6</v>
      </c>
      <c r="BR23" s="6">
        <f t="shared" si="10"/>
        <v>1</v>
      </c>
      <c r="BS23" s="35">
        <v>2</v>
      </c>
      <c r="BT23" s="33">
        <f t="shared" si="82"/>
        <v>6</v>
      </c>
      <c r="BU23" s="6">
        <f t="shared" si="57"/>
        <v>1</v>
      </c>
      <c r="BV23" s="35">
        <v>3</v>
      </c>
      <c r="BW23" s="33">
        <f t="shared" si="83"/>
        <v>6</v>
      </c>
      <c r="BX23" s="6">
        <f t="shared" si="58"/>
        <v>2</v>
      </c>
      <c r="BY23" s="8">
        <f t="shared" si="84"/>
        <v>8</v>
      </c>
      <c r="BZ23" s="5">
        <f t="shared" si="59"/>
        <v>2</v>
      </c>
      <c r="CA23" s="33">
        <f t="shared" si="85"/>
        <v>7</v>
      </c>
      <c r="CB23" s="6">
        <f t="shared" si="12"/>
        <v>1</v>
      </c>
      <c r="CC23" s="35">
        <v>2</v>
      </c>
      <c r="CD23" s="33">
        <f t="shared" si="86"/>
        <v>7</v>
      </c>
      <c r="CE23" s="6">
        <f t="shared" si="60"/>
        <v>1</v>
      </c>
      <c r="CF23" s="35">
        <v>3</v>
      </c>
      <c r="CG23" s="33">
        <f t="shared" si="87"/>
        <v>7</v>
      </c>
      <c r="CH23" s="6">
        <f t="shared" si="61"/>
        <v>2</v>
      </c>
      <c r="CI23" s="8">
        <f t="shared" si="88"/>
        <v>8</v>
      </c>
      <c r="CJ23" s="15">
        <f t="shared" si="33"/>
        <v>1</v>
      </c>
      <c r="CK23" s="33">
        <f t="shared" si="89"/>
        <v>10</v>
      </c>
      <c r="CL23" s="6">
        <f t="shared" si="14"/>
        <v>1</v>
      </c>
      <c r="CM23" s="35">
        <v>2</v>
      </c>
      <c r="CN23" s="33">
        <f t="shared" si="90"/>
        <v>10</v>
      </c>
      <c r="CO23" s="6">
        <f t="shared" si="62"/>
        <v>1</v>
      </c>
      <c r="CP23" s="35">
        <v>3</v>
      </c>
      <c r="CQ23" s="33">
        <f t="shared" si="91"/>
        <v>10</v>
      </c>
      <c r="CR23" s="6">
        <f t="shared" si="63"/>
        <v>2</v>
      </c>
      <c r="CS23" s="8">
        <f t="shared" si="92"/>
        <v>8</v>
      </c>
      <c r="CT23" s="15">
        <f t="shared" si="35"/>
        <v>2</v>
      </c>
      <c r="CU23" s="32">
        <f t="shared" si="39"/>
        <v>18</v>
      </c>
      <c r="CV23" s="6">
        <f t="shared" si="40"/>
        <v>1</v>
      </c>
      <c r="CW23" s="35">
        <v>2</v>
      </c>
      <c r="CX23" s="33">
        <f t="shared" si="93"/>
        <v>12</v>
      </c>
      <c r="CY23" s="6">
        <f t="shared" si="64"/>
        <v>1</v>
      </c>
      <c r="CZ23" s="35">
        <v>3</v>
      </c>
      <c r="DA23" s="33">
        <f t="shared" si="94"/>
        <v>18</v>
      </c>
      <c r="DB23" s="6">
        <f t="shared" si="65"/>
        <v>2</v>
      </c>
      <c r="DC23" s="1">
        <f t="shared" si="95"/>
        <v>8</v>
      </c>
    </row>
    <row r="24" s="2" customFormat="1" spans="5:107">
      <c r="E24" s="25" t="s">
        <v>959</v>
      </c>
      <c r="F24" s="26">
        <v>1</v>
      </c>
      <c r="G24" s="27" t="s">
        <v>1276</v>
      </c>
      <c r="H24" s="27">
        <v>2</v>
      </c>
      <c r="I24" s="27" t="s">
        <v>1276</v>
      </c>
      <c r="J24" s="27"/>
      <c r="K24" s="27"/>
      <c r="L24" s="27"/>
      <c r="M24" s="27"/>
      <c r="N24" s="28"/>
      <c r="O24" s="26">
        <v>3</v>
      </c>
      <c r="P24" s="27" t="s">
        <v>1277</v>
      </c>
      <c r="Q24" s="27">
        <v>4</v>
      </c>
      <c r="R24" s="27" t="s">
        <v>1277</v>
      </c>
      <c r="U24" s="2">
        <v>22</v>
      </c>
      <c r="V24" s="1" t="str">
        <f t="shared" si="16"/>
        <v>6</v>
      </c>
      <c r="W24" s="1">
        <v>36</v>
      </c>
      <c r="X24" s="30" t="s">
        <v>149</v>
      </c>
      <c r="Y24" s="3">
        <f>出怪成长!C23</f>
        <v>8</v>
      </c>
      <c r="Z24" s="31" t="str">
        <f>AA24&amp;$AB$2&amp;AB24&amp;$AB$2&amp;AC24&amp;$AC$2&amp;AD24&amp;$AE$2&amp;AE24&amp;$AE$2&amp;AF24&amp;$AG$2&amp;AH24&amp;$AI$2&amp;AI24&amp;$AI$2&amp;AJ24&amp;$AK$2&amp;AL24&amp;$AM$2&amp;AM24&amp;$AM$2&amp;AN24&amp;$AL$1&amp;AO24&amp;$AM$2&amp;AP24&amp;$AM$2&amp;AQ24&amp;$AL$1&amp;AR24&amp;$AM$2&amp;AS24&amp;$AM$2&amp;AT24&amp;$AU$2&amp;AV24&amp;$AW$2&amp;AW24&amp;$AW$2&amp;AX24&amp;$AV$1&amp;AY24&amp;$AW$2&amp;AZ24&amp;$AW$2&amp;BA24&amp;$AV$1&amp;BB24&amp;$AW$2&amp;BC24&amp;$AW$2&amp;BD24&amp;$BE$2&amp;BF24&amp;$BG$2&amp;BG24&amp;$BG$2&amp;BH24&amp;$BF$1&amp;BI24&amp;$BG$2&amp;BJ24&amp;$BG$2&amp;BK24&amp;$BF$1&amp;BL24&amp;$BG$2&amp;BM24&amp;$BG$2&amp;BN24&amp;$BO$2&amp;BP24&amp;$BQ$2&amp;BQ24&amp;$BQ$2&amp;BR24&amp;$BP$1&amp;BS24&amp;$BQ$2&amp;BT24&amp;$BQ$2&amp;BU24&amp;$BP$1&amp;BV24&amp;$BQ$2&amp;BW24&amp;$BQ$2&amp;BX24&amp;$BY$2&amp;BZ24&amp;$CA$2&amp;CA24&amp;$CA$2&amp;CB24&amp;$BZ$1&amp;CC24&amp;$CA$2&amp;CD24&amp;$CA$2&amp;CE24&amp;$BZ$1&amp;CF24&amp;$CA$2&amp;CG24&amp;$CA$2&amp;CH24</f>
        <v>1:3:1|1:6:1|2:11:1|2:5:1#2:5:1#3:5:2|3:4:2#2:4:1#3:4:2|3:5:2#2:5:1#3:5:2|1:6:1#2:6:1#3:6:2|2:7:1#2:7:1#3:7:2</v>
      </c>
      <c r="AA24" s="5">
        <f t="shared" si="37"/>
        <v>1</v>
      </c>
      <c r="AB24" s="33">
        <f t="shared" si="17"/>
        <v>3</v>
      </c>
      <c r="AC24" s="6">
        <f t="shared" si="0"/>
        <v>1</v>
      </c>
      <c r="AD24" s="5">
        <f t="shared" si="18"/>
        <v>1</v>
      </c>
      <c r="AE24" s="33">
        <f t="shared" si="19"/>
        <v>6</v>
      </c>
      <c r="AF24" s="6">
        <f t="shared" si="20"/>
        <v>1</v>
      </c>
      <c r="AG24" s="7">
        <f t="shared" si="66"/>
        <v>3</v>
      </c>
      <c r="AH24" s="5">
        <f t="shared" si="21"/>
        <v>2</v>
      </c>
      <c r="AI24" s="33">
        <f t="shared" si="1"/>
        <v>11</v>
      </c>
      <c r="AJ24" s="6">
        <f t="shared" si="2"/>
        <v>1</v>
      </c>
      <c r="AK24" s="1">
        <f t="shared" si="67"/>
        <v>5</v>
      </c>
      <c r="AL24" s="5">
        <f t="shared" si="23"/>
        <v>2</v>
      </c>
      <c r="AM24" s="33">
        <f t="shared" si="68"/>
        <v>5</v>
      </c>
      <c r="AN24" s="6">
        <f t="shared" si="4"/>
        <v>1</v>
      </c>
      <c r="AO24" s="35">
        <v>2</v>
      </c>
      <c r="AP24" s="33">
        <f t="shared" si="69"/>
        <v>5</v>
      </c>
      <c r="AQ24" s="6">
        <f t="shared" si="50"/>
        <v>1</v>
      </c>
      <c r="AR24" s="35">
        <v>3</v>
      </c>
      <c r="AS24" s="33">
        <f t="shared" si="70"/>
        <v>5</v>
      </c>
      <c r="AT24" s="6">
        <f t="shared" si="51"/>
        <v>2</v>
      </c>
      <c r="AU24" s="1">
        <f t="shared" si="71"/>
        <v>6</v>
      </c>
      <c r="AV24" s="5">
        <f t="shared" si="72"/>
        <v>3</v>
      </c>
      <c r="AW24" s="33">
        <f t="shared" si="73"/>
        <v>4</v>
      </c>
      <c r="AX24" s="6">
        <f t="shared" si="6"/>
        <v>2</v>
      </c>
      <c r="AY24" s="35">
        <v>2</v>
      </c>
      <c r="AZ24" s="33">
        <f t="shared" si="74"/>
        <v>4</v>
      </c>
      <c r="BA24" s="6">
        <f t="shared" si="52"/>
        <v>1</v>
      </c>
      <c r="BB24" s="35">
        <v>3</v>
      </c>
      <c r="BC24" s="33">
        <f t="shared" si="75"/>
        <v>4</v>
      </c>
      <c r="BD24" s="6">
        <f t="shared" si="53"/>
        <v>2</v>
      </c>
      <c r="BE24" s="8">
        <f t="shared" si="76"/>
        <v>7</v>
      </c>
      <c r="BF24" s="5">
        <f t="shared" si="77"/>
        <v>3</v>
      </c>
      <c r="BG24" s="33">
        <f t="shared" si="78"/>
        <v>5</v>
      </c>
      <c r="BH24" s="6">
        <f t="shared" si="8"/>
        <v>2</v>
      </c>
      <c r="BI24" s="35">
        <v>2</v>
      </c>
      <c r="BJ24" s="33">
        <f t="shared" si="79"/>
        <v>5</v>
      </c>
      <c r="BK24" s="6">
        <f t="shared" si="54"/>
        <v>1</v>
      </c>
      <c r="BL24" s="35">
        <v>3</v>
      </c>
      <c r="BM24" s="33">
        <f t="shared" si="96"/>
        <v>5</v>
      </c>
      <c r="BN24" s="6">
        <f t="shared" si="55"/>
        <v>2</v>
      </c>
      <c r="BO24" s="8">
        <f t="shared" si="80"/>
        <v>8</v>
      </c>
      <c r="BP24" s="5">
        <f t="shared" si="56"/>
        <v>1</v>
      </c>
      <c r="BQ24" s="33">
        <f t="shared" si="81"/>
        <v>6</v>
      </c>
      <c r="BR24" s="6">
        <f t="shared" si="10"/>
        <v>1</v>
      </c>
      <c r="BS24" s="35">
        <v>2</v>
      </c>
      <c r="BT24" s="33">
        <f t="shared" si="82"/>
        <v>6</v>
      </c>
      <c r="BU24" s="6">
        <f t="shared" si="57"/>
        <v>1</v>
      </c>
      <c r="BV24" s="35">
        <v>3</v>
      </c>
      <c r="BW24" s="33">
        <f t="shared" si="83"/>
        <v>6</v>
      </c>
      <c r="BX24" s="6">
        <f t="shared" si="58"/>
        <v>2</v>
      </c>
      <c r="BY24" s="8">
        <f t="shared" si="84"/>
        <v>8</v>
      </c>
      <c r="BZ24" s="5">
        <f t="shared" si="59"/>
        <v>2</v>
      </c>
      <c r="CA24" s="33">
        <f t="shared" si="85"/>
        <v>7</v>
      </c>
      <c r="CB24" s="6">
        <f t="shared" si="12"/>
        <v>1</v>
      </c>
      <c r="CC24" s="35">
        <v>2</v>
      </c>
      <c r="CD24" s="33">
        <f t="shared" si="86"/>
        <v>7</v>
      </c>
      <c r="CE24" s="6">
        <f t="shared" si="60"/>
        <v>1</v>
      </c>
      <c r="CF24" s="35">
        <v>3</v>
      </c>
      <c r="CG24" s="33">
        <f t="shared" si="87"/>
        <v>7</v>
      </c>
      <c r="CH24" s="6">
        <f t="shared" si="61"/>
        <v>2</v>
      </c>
      <c r="CI24" s="8">
        <f t="shared" si="88"/>
        <v>8</v>
      </c>
      <c r="CJ24" s="15">
        <f t="shared" si="33"/>
        <v>1</v>
      </c>
      <c r="CK24" s="33">
        <f t="shared" si="89"/>
        <v>10</v>
      </c>
      <c r="CL24" s="6">
        <f t="shared" si="14"/>
        <v>1</v>
      </c>
      <c r="CM24" s="35">
        <v>2</v>
      </c>
      <c r="CN24" s="33">
        <f t="shared" si="90"/>
        <v>10</v>
      </c>
      <c r="CO24" s="6">
        <f t="shared" si="62"/>
        <v>1</v>
      </c>
      <c r="CP24" s="35">
        <v>3</v>
      </c>
      <c r="CQ24" s="33">
        <f t="shared" si="91"/>
        <v>10</v>
      </c>
      <c r="CR24" s="6">
        <f t="shared" si="63"/>
        <v>2</v>
      </c>
      <c r="CS24" s="8">
        <f t="shared" si="92"/>
        <v>8</v>
      </c>
      <c r="CT24" s="15">
        <f t="shared" si="35"/>
        <v>2</v>
      </c>
      <c r="CU24" s="33">
        <f t="shared" si="39"/>
        <v>18</v>
      </c>
      <c r="CV24" s="6">
        <f t="shared" si="40"/>
        <v>1</v>
      </c>
      <c r="CW24" s="35">
        <v>2</v>
      </c>
      <c r="CX24" s="33">
        <f t="shared" si="93"/>
        <v>12</v>
      </c>
      <c r="CY24" s="6">
        <f t="shared" si="64"/>
        <v>1</v>
      </c>
      <c r="CZ24" s="35">
        <v>3</v>
      </c>
      <c r="DA24" s="33">
        <f t="shared" si="94"/>
        <v>18</v>
      </c>
      <c r="DB24" s="6">
        <f t="shared" si="65"/>
        <v>2</v>
      </c>
      <c r="DC24" s="1">
        <f t="shared" si="95"/>
        <v>8</v>
      </c>
    </row>
    <row r="25" s="2" customFormat="1" spans="5:107">
      <c r="E25" s="25" t="s">
        <v>961</v>
      </c>
      <c r="F25" s="26">
        <v>1</v>
      </c>
      <c r="G25" s="27" t="s">
        <v>1276</v>
      </c>
      <c r="H25" s="27">
        <v>2</v>
      </c>
      <c r="I25" s="27" t="s">
        <v>1276</v>
      </c>
      <c r="J25" s="27"/>
      <c r="K25" s="27"/>
      <c r="L25" s="27"/>
      <c r="M25" s="27"/>
      <c r="N25" s="28"/>
      <c r="O25" s="26">
        <v>3</v>
      </c>
      <c r="P25" s="27" t="s">
        <v>1277</v>
      </c>
      <c r="Q25" s="27">
        <v>4</v>
      </c>
      <c r="R25" s="27" t="s">
        <v>1277</v>
      </c>
      <c r="U25" s="2">
        <v>23</v>
      </c>
      <c r="V25" s="1" t="str">
        <f t="shared" si="16"/>
        <v>7</v>
      </c>
      <c r="W25" s="1">
        <v>37</v>
      </c>
      <c r="X25" s="30" t="s">
        <v>149</v>
      </c>
      <c r="Y25" s="3">
        <f>出怪成长!C24</f>
        <v>9</v>
      </c>
      <c r="Z25" s="31" t="str">
        <f>AA25&amp;$AB$2&amp;AB25&amp;$AB$2&amp;AC25&amp;$AC$2&amp;AD25&amp;$AE$2&amp;AE25&amp;$AE$2&amp;AF25&amp;$AG$2&amp;AH25&amp;$AI$2&amp;AI25&amp;$AI$2&amp;AJ25&amp;$AK$2&amp;AL25&amp;$AM$2&amp;AM25&amp;$AM$2&amp;AN25&amp;$AL$1&amp;AO25&amp;$AM$2&amp;AP25&amp;$AM$2&amp;AQ25&amp;$AL$1&amp;AR25&amp;$AM$2&amp;AS25&amp;$AM$2&amp;AT25&amp;$AU$2&amp;AV25&amp;$AW$2&amp;AW25&amp;$AW$2&amp;AX25&amp;$AV$1&amp;AY25&amp;$AW$2&amp;AZ25&amp;$AW$2&amp;BA25&amp;$AV$1&amp;BB25&amp;$AW$2&amp;BC25&amp;$AW$2&amp;BD25&amp;$BE$2&amp;BF25&amp;$BG$2&amp;BG25&amp;$BG$2&amp;BH25&amp;$BF$1&amp;BI25&amp;$BG$2&amp;BJ25&amp;$BG$2&amp;BK25&amp;$BF$1&amp;BL25&amp;$BG$2&amp;BM25&amp;$BG$2&amp;BN25&amp;$BO$2&amp;BP25&amp;$BQ$2&amp;BQ25&amp;$BQ$2&amp;BR25&amp;$BP$1&amp;BS25&amp;$BQ$2&amp;BT25&amp;$BQ$2&amp;BU25&amp;$BP$1&amp;BV25&amp;$BQ$2&amp;BW25&amp;$BQ$2&amp;BX25&amp;$BY$2&amp;BZ25&amp;$CA$2&amp;CA25&amp;$CA$2&amp;CB25&amp;$BZ$1&amp;CC25&amp;$CA$2&amp;CD25&amp;$CA$2&amp;CE25&amp;$BZ$1&amp;CF25&amp;$CA$2&amp;CG25&amp;$CA$2&amp;CH25&amp;$CI$2&amp;CJ25&amp;$CK$2&amp;CK25&amp;$CK$2&amp;CL25&amp;$CJ$1&amp;CM25&amp;$CK$2&amp;CN25&amp;$CK$2&amp;CO25&amp;$CJ$1&amp;CP25&amp;$CK$2&amp;CQ25&amp;$CK$2&amp;CR25</f>
        <v>1:3:1|1:6:1|2:11:1|2:5:1#2:5:1#3:5:2|3:4:2#2:4:1#3:4:2|3:5:2#2:5:1#3:5:2|4:6:2#2:6:1#3:6:2|4:7:2#2:7:1#3:7:2|1:10:1#2:10:1#3:10:2</v>
      </c>
      <c r="AA25" s="5">
        <f t="shared" si="37"/>
        <v>1</v>
      </c>
      <c r="AB25" s="33">
        <f t="shared" si="17"/>
        <v>3</v>
      </c>
      <c r="AC25" s="6">
        <f t="shared" si="0"/>
        <v>1</v>
      </c>
      <c r="AD25" s="5">
        <f t="shared" si="18"/>
        <v>1</v>
      </c>
      <c r="AE25" s="33">
        <f t="shared" si="19"/>
        <v>6</v>
      </c>
      <c r="AF25" s="6">
        <f t="shared" si="20"/>
        <v>1</v>
      </c>
      <c r="AG25" s="7">
        <f t="shared" si="66"/>
        <v>3</v>
      </c>
      <c r="AH25" s="5">
        <f t="shared" si="21"/>
        <v>2</v>
      </c>
      <c r="AI25" s="33">
        <f t="shared" si="1"/>
        <v>11</v>
      </c>
      <c r="AJ25" s="6">
        <f t="shared" si="2"/>
        <v>1</v>
      </c>
      <c r="AK25" s="1">
        <f t="shared" si="67"/>
        <v>5</v>
      </c>
      <c r="AL25" s="5">
        <f t="shared" si="23"/>
        <v>2</v>
      </c>
      <c r="AM25" s="33">
        <f t="shared" si="68"/>
        <v>5</v>
      </c>
      <c r="AN25" s="6">
        <f t="shared" si="4"/>
        <v>1</v>
      </c>
      <c r="AO25" s="35">
        <v>2</v>
      </c>
      <c r="AP25" s="33">
        <f t="shared" si="69"/>
        <v>5</v>
      </c>
      <c r="AQ25" s="6">
        <f t="shared" si="50"/>
        <v>1</v>
      </c>
      <c r="AR25" s="35">
        <v>3</v>
      </c>
      <c r="AS25" s="33">
        <f t="shared" si="70"/>
        <v>5</v>
      </c>
      <c r="AT25" s="6">
        <f t="shared" si="51"/>
        <v>2</v>
      </c>
      <c r="AU25" s="1">
        <f t="shared" si="71"/>
        <v>6</v>
      </c>
      <c r="AV25" s="5">
        <f t="shared" si="72"/>
        <v>3</v>
      </c>
      <c r="AW25" s="33">
        <f t="shared" si="73"/>
        <v>4</v>
      </c>
      <c r="AX25" s="6">
        <f t="shared" si="6"/>
        <v>2</v>
      </c>
      <c r="AY25" s="35">
        <v>2</v>
      </c>
      <c r="AZ25" s="33">
        <f t="shared" si="74"/>
        <v>4</v>
      </c>
      <c r="BA25" s="6">
        <f t="shared" si="52"/>
        <v>1</v>
      </c>
      <c r="BB25" s="35">
        <v>3</v>
      </c>
      <c r="BC25" s="33">
        <f t="shared" si="75"/>
        <v>4</v>
      </c>
      <c r="BD25" s="6">
        <f t="shared" si="53"/>
        <v>2</v>
      </c>
      <c r="BE25" s="8">
        <f t="shared" si="76"/>
        <v>7</v>
      </c>
      <c r="BF25" s="5">
        <f t="shared" si="77"/>
        <v>3</v>
      </c>
      <c r="BG25" s="33">
        <f t="shared" si="78"/>
        <v>5</v>
      </c>
      <c r="BH25" s="6">
        <f t="shared" si="8"/>
        <v>2</v>
      </c>
      <c r="BI25" s="35">
        <v>2</v>
      </c>
      <c r="BJ25" s="33">
        <f t="shared" si="79"/>
        <v>5</v>
      </c>
      <c r="BK25" s="6">
        <f t="shared" si="54"/>
        <v>1</v>
      </c>
      <c r="BL25" s="35">
        <v>3</v>
      </c>
      <c r="BM25" s="33">
        <f t="shared" si="96"/>
        <v>5</v>
      </c>
      <c r="BN25" s="6">
        <f t="shared" si="55"/>
        <v>2</v>
      </c>
      <c r="BO25" s="8">
        <f t="shared" si="80"/>
        <v>8</v>
      </c>
      <c r="BP25" s="5">
        <v>4</v>
      </c>
      <c r="BQ25" s="33">
        <f t="shared" si="81"/>
        <v>6</v>
      </c>
      <c r="BR25" s="6">
        <f t="shared" si="10"/>
        <v>2</v>
      </c>
      <c r="BS25" s="35">
        <v>2</v>
      </c>
      <c r="BT25" s="33">
        <f t="shared" si="82"/>
        <v>6</v>
      </c>
      <c r="BU25" s="6">
        <f t="shared" si="57"/>
        <v>1</v>
      </c>
      <c r="BV25" s="35">
        <v>3</v>
      </c>
      <c r="BW25" s="33">
        <f t="shared" si="83"/>
        <v>6</v>
      </c>
      <c r="BX25" s="6">
        <f t="shared" si="58"/>
        <v>2</v>
      </c>
      <c r="BY25" s="8">
        <f t="shared" si="84"/>
        <v>8</v>
      </c>
      <c r="BZ25" s="5">
        <v>4</v>
      </c>
      <c r="CA25" s="33">
        <f t="shared" si="85"/>
        <v>7</v>
      </c>
      <c r="CB25" s="6">
        <f t="shared" si="12"/>
        <v>2</v>
      </c>
      <c r="CC25" s="35">
        <v>2</v>
      </c>
      <c r="CD25" s="33">
        <f t="shared" si="86"/>
        <v>7</v>
      </c>
      <c r="CE25" s="6">
        <f t="shared" si="60"/>
        <v>1</v>
      </c>
      <c r="CF25" s="35">
        <v>3</v>
      </c>
      <c r="CG25" s="33">
        <f t="shared" si="87"/>
        <v>7</v>
      </c>
      <c r="CH25" s="6">
        <f t="shared" si="61"/>
        <v>2</v>
      </c>
      <c r="CI25" s="8">
        <f t="shared" si="88"/>
        <v>8</v>
      </c>
      <c r="CJ25" s="15">
        <v>1</v>
      </c>
      <c r="CK25" s="33">
        <f t="shared" si="89"/>
        <v>10</v>
      </c>
      <c r="CL25" s="6">
        <f t="shared" si="14"/>
        <v>1</v>
      </c>
      <c r="CM25" s="35">
        <v>2</v>
      </c>
      <c r="CN25" s="33">
        <f t="shared" si="90"/>
        <v>10</v>
      </c>
      <c r="CO25" s="6">
        <f t="shared" si="62"/>
        <v>1</v>
      </c>
      <c r="CP25" s="35">
        <v>3</v>
      </c>
      <c r="CQ25" s="33">
        <f t="shared" si="91"/>
        <v>10</v>
      </c>
      <c r="CR25" s="6">
        <f t="shared" si="63"/>
        <v>2</v>
      </c>
      <c r="CS25" s="8">
        <f t="shared" si="92"/>
        <v>8</v>
      </c>
      <c r="CT25" s="15">
        <v>2</v>
      </c>
      <c r="CU25" s="32">
        <f t="shared" si="39"/>
        <v>18</v>
      </c>
      <c r="CV25" s="6">
        <f t="shared" si="40"/>
        <v>1</v>
      </c>
      <c r="CW25" s="35">
        <v>2</v>
      </c>
      <c r="CX25" s="33">
        <f t="shared" si="93"/>
        <v>12</v>
      </c>
      <c r="CY25" s="6">
        <f t="shared" si="64"/>
        <v>1</v>
      </c>
      <c r="CZ25" s="35">
        <v>3</v>
      </c>
      <c r="DA25" s="33">
        <f t="shared" si="94"/>
        <v>18</v>
      </c>
      <c r="DB25" s="6">
        <f t="shared" si="65"/>
        <v>2</v>
      </c>
      <c r="DC25" s="1">
        <f t="shared" si="95"/>
        <v>8</v>
      </c>
    </row>
    <row r="26" s="2" customFormat="1" spans="5:107">
      <c r="E26" s="25" t="s">
        <v>963</v>
      </c>
      <c r="F26" s="26">
        <v>1</v>
      </c>
      <c r="G26" s="27" t="s">
        <v>1276</v>
      </c>
      <c r="H26" s="27">
        <v>2</v>
      </c>
      <c r="I26" s="27" t="s">
        <v>1276</v>
      </c>
      <c r="J26" s="27"/>
      <c r="K26" s="27"/>
      <c r="L26" s="27"/>
      <c r="M26" s="27"/>
      <c r="N26" s="28"/>
      <c r="O26" s="26">
        <v>3</v>
      </c>
      <c r="P26" s="27" t="s">
        <v>1277</v>
      </c>
      <c r="Q26" s="27">
        <v>4</v>
      </c>
      <c r="R26" s="27" t="s">
        <v>1277</v>
      </c>
      <c r="U26" s="2">
        <v>24</v>
      </c>
      <c r="V26" s="1" t="str">
        <f t="shared" si="16"/>
        <v>8</v>
      </c>
      <c r="W26" s="1">
        <v>38</v>
      </c>
      <c r="X26" s="30" t="s">
        <v>149</v>
      </c>
      <c r="Y26" s="3">
        <f>出怪成长!C25</f>
        <v>10</v>
      </c>
      <c r="Z26" s="31" t="str">
        <f>AA26&amp;$AB$2&amp;AB26&amp;$AB$2&amp;AC26&amp;$AC$2&amp;AD26&amp;$AE$2&amp;AE26&amp;$AE$2&amp;AF26&amp;$AG$2&amp;AH26&amp;$AI$2&amp;AI26&amp;$AI$2&amp;AJ26&amp;$AK$2&amp;AL26&amp;$AM$2&amp;AM26&amp;$AM$2&amp;AN26&amp;$AL$1&amp;AO26&amp;$AM$2&amp;AP26&amp;$AM$2&amp;AQ26&amp;$AL$1&amp;AR26&amp;$AM$2&amp;AS26&amp;$AM$2&amp;AT26&amp;$AU$2&amp;AV26&amp;$AW$2&amp;AW26&amp;$AW$2&amp;AX26&amp;$AV$1&amp;AY26&amp;$AW$2&amp;AZ26&amp;$AW$2&amp;BA26&amp;$AV$1&amp;BB26&amp;$AW$2&amp;BC26&amp;$AW$2&amp;BD26&amp;$BE$2&amp;BF26&amp;$BG$2&amp;BG26&amp;$BG$2&amp;BH26&amp;$BF$1&amp;BI26&amp;$BG$2&amp;BJ26&amp;$BG$2&amp;BK26&amp;$BF$1&amp;BL26&amp;$BG$2&amp;BM26&amp;$BG$2&amp;BN26&amp;$BO$2&amp;BP26&amp;$BQ$2&amp;BQ26&amp;$BQ$2&amp;BR26&amp;$BP$1&amp;BS26&amp;$BQ$2&amp;BT26&amp;$BQ$2&amp;BU26&amp;$BP$1&amp;BV26&amp;$BQ$2&amp;BW26&amp;$BQ$2&amp;BX26&amp;$BY$2&amp;BZ26&amp;$CA$2&amp;CA26&amp;$CA$2&amp;CB26&amp;$BZ$1&amp;CC26&amp;$CA$2&amp;CD26&amp;$CA$2&amp;CE26&amp;$BZ$1&amp;CF26&amp;$CA$2&amp;CG26&amp;$CA$2&amp;CH26&amp;$CI$2&amp;CJ26&amp;$CK$2&amp;CK26&amp;$CK$2&amp;CL26&amp;$CJ$1&amp;CM26&amp;$CK$2&amp;CN26&amp;$CK$2&amp;CO26&amp;$CJ$1&amp;CP26&amp;$CK$2&amp;CQ26&amp;$CK$2&amp;CR26&amp;$CS$2&amp;CT26&amp;$CU$2&amp;CU26&amp;$CU$2&amp;CV26&amp;$CT$1&amp;CW26&amp;$CU$2&amp;CX26&amp;$CU$2&amp;CY26&amp;$CT$1&amp;CZ26&amp;$CU$2&amp;DA26&amp;$CU$2&amp;DB26</f>
        <v>1:3:1|1:6:1|2:11:1|2:5:1#2:5:1#3:5:2|3:4:2#2:4:1#3:4:2|3:5:2#2:5:1#3:5:2|4:6:2#2:6:1#3:6:2|4:7:2#2:7:1#3:7:2|1:10:1#2:10:1#3:10:2|2:18:1#2:12:1#3:18:2</v>
      </c>
      <c r="AA26" s="5">
        <f t="shared" si="37"/>
        <v>1</v>
      </c>
      <c r="AB26" s="33">
        <f t="shared" si="17"/>
        <v>3</v>
      </c>
      <c r="AC26" s="6">
        <f t="shared" si="0"/>
        <v>1</v>
      </c>
      <c r="AD26" s="5">
        <f t="shared" si="18"/>
        <v>1</v>
      </c>
      <c r="AE26" s="33">
        <f t="shared" si="19"/>
        <v>6</v>
      </c>
      <c r="AF26" s="6">
        <f t="shared" si="20"/>
        <v>1</v>
      </c>
      <c r="AG26" s="7">
        <f t="shared" si="66"/>
        <v>3</v>
      </c>
      <c r="AH26" s="5">
        <f t="shared" si="21"/>
        <v>2</v>
      </c>
      <c r="AI26" s="33">
        <f t="shared" si="1"/>
        <v>11</v>
      </c>
      <c r="AJ26" s="6">
        <f t="shared" si="2"/>
        <v>1</v>
      </c>
      <c r="AK26" s="1">
        <f t="shared" si="67"/>
        <v>5</v>
      </c>
      <c r="AL26" s="5">
        <f t="shared" si="23"/>
        <v>2</v>
      </c>
      <c r="AM26" s="33">
        <f t="shared" si="68"/>
        <v>5</v>
      </c>
      <c r="AN26" s="6">
        <f t="shared" si="4"/>
        <v>1</v>
      </c>
      <c r="AO26" s="35">
        <v>2</v>
      </c>
      <c r="AP26" s="33">
        <f t="shared" si="69"/>
        <v>5</v>
      </c>
      <c r="AQ26" s="6">
        <f t="shared" si="50"/>
        <v>1</v>
      </c>
      <c r="AR26" s="35">
        <v>3</v>
      </c>
      <c r="AS26" s="33">
        <f t="shared" si="70"/>
        <v>5</v>
      </c>
      <c r="AT26" s="6">
        <f t="shared" si="51"/>
        <v>2</v>
      </c>
      <c r="AU26" s="1">
        <f t="shared" si="71"/>
        <v>6</v>
      </c>
      <c r="AV26" s="5">
        <f t="shared" si="72"/>
        <v>3</v>
      </c>
      <c r="AW26" s="33">
        <f t="shared" si="73"/>
        <v>4</v>
      </c>
      <c r="AX26" s="6">
        <f t="shared" si="6"/>
        <v>2</v>
      </c>
      <c r="AY26" s="35">
        <v>2</v>
      </c>
      <c r="AZ26" s="33">
        <f t="shared" si="74"/>
        <v>4</v>
      </c>
      <c r="BA26" s="6">
        <f t="shared" si="52"/>
        <v>1</v>
      </c>
      <c r="BB26" s="35">
        <v>3</v>
      </c>
      <c r="BC26" s="33">
        <f t="shared" si="75"/>
        <v>4</v>
      </c>
      <c r="BD26" s="6">
        <f t="shared" si="53"/>
        <v>2</v>
      </c>
      <c r="BE26" s="8">
        <f t="shared" si="76"/>
        <v>7</v>
      </c>
      <c r="BF26" s="5">
        <f t="shared" si="77"/>
        <v>3</v>
      </c>
      <c r="BG26" s="33">
        <f t="shared" si="78"/>
        <v>5</v>
      </c>
      <c r="BH26" s="6">
        <f t="shared" si="8"/>
        <v>2</v>
      </c>
      <c r="BI26" s="35">
        <v>2</v>
      </c>
      <c r="BJ26" s="33">
        <f t="shared" si="79"/>
        <v>5</v>
      </c>
      <c r="BK26" s="6">
        <f t="shared" si="54"/>
        <v>1</v>
      </c>
      <c r="BL26" s="35">
        <v>3</v>
      </c>
      <c r="BM26" s="33">
        <f t="shared" si="96"/>
        <v>5</v>
      </c>
      <c r="BN26" s="6">
        <f t="shared" si="55"/>
        <v>2</v>
      </c>
      <c r="BO26" s="8">
        <f t="shared" si="80"/>
        <v>8</v>
      </c>
      <c r="BP26" s="5">
        <f t="shared" si="56"/>
        <v>4</v>
      </c>
      <c r="BQ26" s="33">
        <f t="shared" si="81"/>
        <v>6</v>
      </c>
      <c r="BR26" s="6">
        <f t="shared" si="10"/>
        <v>2</v>
      </c>
      <c r="BS26" s="35">
        <v>2</v>
      </c>
      <c r="BT26" s="33">
        <f t="shared" si="82"/>
        <v>6</v>
      </c>
      <c r="BU26" s="6">
        <f t="shared" si="57"/>
        <v>1</v>
      </c>
      <c r="BV26" s="35">
        <v>3</v>
      </c>
      <c r="BW26" s="33">
        <f t="shared" si="83"/>
        <v>6</v>
      </c>
      <c r="BX26" s="6">
        <f t="shared" si="58"/>
        <v>2</v>
      </c>
      <c r="BY26" s="8">
        <f t="shared" si="84"/>
        <v>8</v>
      </c>
      <c r="BZ26" s="5">
        <f t="shared" si="59"/>
        <v>4</v>
      </c>
      <c r="CA26" s="33">
        <f t="shared" si="85"/>
        <v>7</v>
      </c>
      <c r="CB26" s="6">
        <f t="shared" si="12"/>
        <v>2</v>
      </c>
      <c r="CC26" s="35">
        <v>2</v>
      </c>
      <c r="CD26" s="33">
        <f t="shared" si="86"/>
        <v>7</v>
      </c>
      <c r="CE26" s="6">
        <f t="shared" si="60"/>
        <v>1</v>
      </c>
      <c r="CF26" s="35">
        <v>3</v>
      </c>
      <c r="CG26" s="33">
        <f t="shared" si="87"/>
        <v>7</v>
      </c>
      <c r="CH26" s="6">
        <f t="shared" si="61"/>
        <v>2</v>
      </c>
      <c r="CI26" s="8">
        <f t="shared" si="88"/>
        <v>8</v>
      </c>
      <c r="CJ26" s="15">
        <f t="shared" si="33"/>
        <v>1</v>
      </c>
      <c r="CK26" s="33">
        <f t="shared" si="89"/>
        <v>10</v>
      </c>
      <c r="CL26" s="6">
        <f t="shared" si="14"/>
        <v>1</v>
      </c>
      <c r="CM26" s="35">
        <v>2</v>
      </c>
      <c r="CN26" s="33">
        <f t="shared" si="90"/>
        <v>10</v>
      </c>
      <c r="CO26" s="6">
        <f t="shared" si="62"/>
        <v>1</v>
      </c>
      <c r="CP26" s="35">
        <v>3</v>
      </c>
      <c r="CQ26" s="33">
        <f t="shared" si="91"/>
        <v>10</v>
      </c>
      <c r="CR26" s="6">
        <f t="shared" si="63"/>
        <v>2</v>
      </c>
      <c r="CS26" s="8">
        <f t="shared" si="92"/>
        <v>8</v>
      </c>
      <c r="CT26" s="15">
        <f t="shared" si="35"/>
        <v>2</v>
      </c>
      <c r="CU26" s="33">
        <f t="shared" si="39"/>
        <v>18</v>
      </c>
      <c r="CV26" s="6">
        <f t="shared" si="40"/>
        <v>1</v>
      </c>
      <c r="CW26" s="35">
        <v>2</v>
      </c>
      <c r="CX26" s="33">
        <f t="shared" si="93"/>
        <v>12</v>
      </c>
      <c r="CY26" s="6">
        <f t="shared" si="64"/>
        <v>1</v>
      </c>
      <c r="CZ26" s="35">
        <v>3</v>
      </c>
      <c r="DA26" s="33">
        <f t="shared" si="94"/>
        <v>18</v>
      </c>
      <c r="DB26" s="6">
        <f t="shared" si="65"/>
        <v>2</v>
      </c>
      <c r="DC26" s="1">
        <f t="shared" si="95"/>
        <v>8</v>
      </c>
    </row>
    <row r="27" s="2" customFormat="1" spans="5:107">
      <c r="E27" s="25" t="s">
        <v>965</v>
      </c>
      <c r="F27" s="26">
        <v>1</v>
      </c>
      <c r="G27" s="27" t="s">
        <v>1276</v>
      </c>
      <c r="H27" s="27">
        <v>2</v>
      </c>
      <c r="I27" s="27" t="s">
        <v>1276</v>
      </c>
      <c r="J27" s="27"/>
      <c r="K27" s="27"/>
      <c r="L27" s="27"/>
      <c r="M27" s="27"/>
      <c r="N27" s="28"/>
      <c r="O27" s="26">
        <v>3</v>
      </c>
      <c r="P27" s="27" t="s">
        <v>1277</v>
      </c>
      <c r="Q27" s="27">
        <v>4</v>
      </c>
      <c r="R27" s="27" t="s">
        <v>1277</v>
      </c>
      <c r="U27" s="2">
        <v>25</v>
      </c>
      <c r="V27" s="1" t="str">
        <f t="shared" si="16"/>
        <v>1</v>
      </c>
      <c r="W27" s="1">
        <v>41</v>
      </c>
      <c r="X27" s="30" t="s">
        <v>197</v>
      </c>
      <c r="Y27" s="3">
        <f>出怪成长!C26</f>
        <v>15</v>
      </c>
      <c r="Z27" s="31" t="str">
        <f t="shared" ref="Z27:Z58" si="97">AA27&amp;$AB$2&amp;AB27&amp;$AB$2&amp;AC27&amp;$AC$2&amp;AD27&amp;$AE$2&amp;AE27&amp;$AE$2&amp;AF27&amp;$AG$2&amp;AH27&amp;$AI$2&amp;AI27&amp;$AI$2&amp;AJ27&amp;$AK$2&amp;AL27&amp;$AM$2&amp;AM27&amp;$AM$2&amp;AN27&amp;$AL$1&amp;AO27&amp;$AM$2&amp;AP27&amp;$AM$2&amp;AQ27&amp;$AL$1&amp;AR27&amp;$AM$2&amp;AS27&amp;$AM$2&amp;AT27&amp;$AU$2&amp;AV27&amp;$AW$2&amp;AW27&amp;$AW$2&amp;AX27&amp;$AV$1&amp;AY27&amp;$AW$2&amp;AZ27&amp;$AW$2&amp;BA27&amp;$AV$1&amp;BB27&amp;$AW$2&amp;BC27&amp;$AW$2&amp;BD27&amp;$BE$2&amp;BF27&amp;$BG$2&amp;BG27&amp;$BG$2&amp;BH27&amp;$BF$1&amp;BI27&amp;$BG$2&amp;BJ27&amp;$BG$2&amp;BK27&amp;$BF$1&amp;BL27&amp;$BG$2&amp;BM27&amp;$BG$2&amp;BN27&amp;$BO$2&amp;BP27&amp;$BQ$2&amp;BQ27&amp;$BQ$2&amp;BR27&amp;$BP$1&amp;BS27&amp;$BQ$2&amp;BT27&amp;$BQ$2&amp;BU27&amp;$BP$1&amp;BV27&amp;$BQ$2&amp;BW27&amp;$BQ$2&amp;BX27&amp;$BY$2&amp;BZ27&amp;$CA$2&amp;CA27&amp;$CA$2&amp;CB27&amp;$BZ$1&amp;CC27&amp;$CA$2&amp;CD27&amp;$CA$2&amp;CE27&amp;$BZ$1&amp;CF27&amp;$CA$2&amp;CG27&amp;$CA$2&amp;CH27&amp;$CI$2&amp;CJ27&amp;$CK$2&amp;CK27&amp;$CK$2&amp;CL27&amp;$CJ$1&amp;CM27&amp;$CK$2&amp;CN27&amp;$CK$2&amp;CO27&amp;$CJ$1&amp;CP27&amp;$CK$2&amp;CQ27&amp;$CK$2&amp;CR27&amp;$CS$2&amp;CT27&amp;$CU$2&amp;CU27&amp;$CU$2&amp;CV27&amp;$CT$1&amp;CW27&amp;$CU$2&amp;CX27&amp;$CU$2&amp;CY27&amp;$CT$1&amp;CZ27&amp;$CU$2&amp;DA27&amp;$CU$2&amp;DB27</f>
        <v>1:2:1|1:5:1|2:10:1|2:5:1#2:5:1#3:5:2|3:5:2#2:5:1#3:5:2|3:6:2#2:6:1#3:6:2|4:7:2#2:7:1#3:7:2|4:9:2#2:9:1#3:9:2|1:12:1#2:12:1#3:12:2|2:21:1#2:14:1#3:21:2</v>
      </c>
      <c r="AA27" s="5">
        <f t="shared" si="37"/>
        <v>1</v>
      </c>
      <c r="AB27" s="33">
        <f t="shared" si="17"/>
        <v>2</v>
      </c>
      <c r="AC27" s="6">
        <f t="shared" si="0"/>
        <v>1</v>
      </c>
      <c r="AD27" s="5">
        <f t="shared" si="18"/>
        <v>1</v>
      </c>
      <c r="AE27" s="33">
        <f t="shared" si="19"/>
        <v>5</v>
      </c>
      <c r="AF27" s="6">
        <f t="shared" si="20"/>
        <v>1</v>
      </c>
      <c r="AG27" s="7">
        <f>AG19+AG$1</f>
        <v>3.5</v>
      </c>
      <c r="AH27" s="5">
        <f t="shared" si="21"/>
        <v>2</v>
      </c>
      <c r="AI27" s="33">
        <f t="shared" si="1"/>
        <v>10</v>
      </c>
      <c r="AJ27" s="6">
        <f t="shared" si="2"/>
        <v>1</v>
      </c>
      <c r="AK27" s="34">
        <f>AK19+AK$1</f>
        <v>5.5</v>
      </c>
      <c r="AL27" s="5">
        <f t="shared" si="23"/>
        <v>2</v>
      </c>
      <c r="AM27" s="33">
        <f t="shared" si="68"/>
        <v>5</v>
      </c>
      <c r="AN27" s="6">
        <f t="shared" si="4"/>
        <v>1</v>
      </c>
      <c r="AO27" s="35">
        <v>2</v>
      </c>
      <c r="AP27" s="33">
        <f t="shared" si="69"/>
        <v>5</v>
      </c>
      <c r="AQ27" s="6">
        <f t="shared" si="50"/>
        <v>1</v>
      </c>
      <c r="AR27" s="35">
        <v>3</v>
      </c>
      <c r="AS27" s="33">
        <f t="shared" si="70"/>
        <v>5</v>
      </c>
      <c r="AT27" s="6">
        <f t="shared" si="51"/>
        <v>2</v>
      </c>
      <c r="AU27" s="34">
        <f>AU19+AU$1</f>
        <v>7</v>
      </c>
      <c r="AV27" s="5">
        <f t="shared" si="72"/>
        <v>3</v>
      </c>
      <c r="AW27" s="33">
        <f t="shared" si="73"/>
        <v>5</v>
      </c>
      <c r="AX27" s="6">
        <f t="shared" si="6"/>
        <v>2</v>
      </c>
      <c r="AY27" s="35">
        <v>2</v>
      </c>
      <c r="AZ27" s="33">
        <f t="shared" si="74"/>
        <v>5</v>
      </c>
      <c r="BA27" s="6">
        <f t="shared" si="52"/>
        <v>1</v>
      </c>
      <c r="BB27" s="35">
        <v>3</v>
      </c>
      <c r="BC27" s="33">
        <f t="shared" si="75"/>
        <v>5</v>
      </c>
      <c r="BD27" s="6">
        <f t="shared" si="53"/>
        <v>2</v>
      </c>
      <c r="BE27" s="7">
        <f>BE19+BE$1</f>
        <v>8</v>
      </c>
      <c r="BF27" s="5">
        <f t="shared" si="77"/>
        <v>3</v>
      </c>
      <c r="BG27" s="33">
        <f t="shared" si="78"/>
        <v>6</v>
      </c>
      <c r="BH27" s="6">
        <f t="shared" si="8"/>
        <v>2</v>
      </c>
      <c r="BI27" s="35">
        <v>2</v>
      </c>
      <c r="BJ27" s="33">
        <f t="shared" si="79"/>
        <v>6</v>
      </c>
      <c r="BK27" s="6">
        <f t="shared" si="54"/>
        <v>1</v>
      </c>
      <c r="BL27" s="35">
        <v>3</v>
      </c>
      <c r="BM27" s="33">
        <f t="shared" si="96"/>
        <v>6</v>
      </c>
      <c r="BN27" s="6">
        <f t="shared" si="55"/>
        <v>2</v>
      </c>
      <c r="BO27" s="7">
        <f>BO19+BO$1</f>
        <v>9.5</v>
      </c>
      <c r="BP27" s="5">
        <f t="shared" si="56"/>
        <v>4</v>
      </c>
      <c r="BQ27" s="33">
        <f t="shared" si="81"/>
        <v>7</v>
      </c>
      <c r="BR27" s="6">
        <f t="shared" si="10"/>
        <v>2</v>
      </c>
      <c r="BS27" s="35">
        <v>2</v>
      </c>
      <c r="BT27" s="33">
        <f t="shared" si="82"/>
        <v>7</v>
      </c>
      <c r="BU27" s="6">
        <f t="shared" si="57"/>
        <v>1</v>
      </c>
      <c r="BV27" s="35">
        <v>3</v>
      </c>
      <c r="BW27" s="33">
        <f t="shared" si="83"/>
        <v>7</v>
      </c>
      <c r="BX27" s="6">
        <f t="shared" si="58"/>
        <v>2</v>
      </c>
      <c r="BY27" s="7">
        <f>BY19+BY$1</f>
        <v>9.5</v>
      </c>
      <c r="BZ27" s="5">
        <f t="shared" si="59"/>
        <v>4</v>
      </c>
      <c r="CA27" s="33">
        <f t="shared" si="85"/>
        <v>9</v>
      </c>
      <c r="CB27" s="6">
        <f t="shared" si="12"/>
        <v>2</v>
      </c>
      <c r="CC27" s="35">
        <v>2</v>
      </c>
      <c r="CD27" s="33">
        <f t="shared" si="86"/>
        <v>9</v>
      </c>
      <c r="CE27" s="6">
        <f t="shared" si="60"/>
        <v>1</v>
      </c>
      <c r="CF27" s="35">
        <v>3</v>
      </c>
      <c r="CG27" s="33">
        <f t="shared" si="87"/>
        <v>9</v>
      </c>
      <c r="CH27" s="6">
        <f t="shared" si="61"/>
        <v>2</v>
      </c>
      <c r="CI27" s="7">
        <f>CI19+CI$1</f>
        <v>9.5</v>
      </c>
      <c r="CJ27" s="15">
        <f t="shared" si="33"/>
        <v>1</v>
      </c>
      <c r="CK27" s="33">
        <f t="shared" si="89"/>
        <v>12</v>
      </c>
      <c r="CL27" s="6">
        <f t="shared" si="14"/>
        <v>1</v>
      </c>
      <c r="CM27" s="35">
        <v>2</v>
      </c>
      <c r="CN27" s="33">
        <f t="shared" si="90"/>
        <v>12</v>
      </c>
      <c r="CO27" s="6">
        <f t="shared" si="62"/>
        <v>1</v>
      </c>
      <c r="CP27" s="35">
        <v>3</v>
      </c>
      <c r="CQ27" s="33">
        <f t="shared" si="91"/>
        <v>12</v>
      </c>
      <c r="CR27" s="6">
        <f t="shared" si="63"/>
        <v>2</v>
      </c>
      <c r="CS27" s="7">
        <f>CS19+CS$1</f>
        <v>9.5</v>
      </c>
      <c r="CT27" s="15">
        <f t="shared" si="35"/>
        <v>2</v>
      </c>
      <c r="CU27" s="32">
        <f t="shared" si="39"/>
        <v>21</v>
      </c>
      <c r="CV27" s="6">
        <f t="shared" si="40"/>
        <v>1</v>
      </c>
      <c r="CW27" s="35">
        <v>2</v>
      </c>
      <c r="CX27" s="33">
        <f t="shared" si="93"/>
        <v>14</v>
      </c>
      <c r="CY27" s="6">
        <f t="shared" si="64"/>
        <v>1</v>
      </c>
      <c r="CZ27" s="35">
        <v>3</v>
      </c>
      <c r="DA27" s="33">
        <f t="shared" si="94"/>
        <v>21</v>
      </c>
      <c r="DB27" s="6">
        <f t="shared" si="65"/>
        <v>2</v>
      </c>
      <c r="DC27" s="34">
        <f>DC19+DC$1</f>
        <v>9.5</v>
      </c>
    </row>
    <row r="28" s="2" customFormat="1" spans="5:107">
      <c r="E28" s="25" t="s">
        <v>967</v>
      </c>
      <c r="F28" s="26">
        <v>1</v>
      </c>
      <c r="G28" s="27" t="s">
        <v>1276</v>
      </c>
      <c r="H28" s="27">
        <v>2</v>
      </c>
      <c r="I28" s="27" t="s">
        <v>1276</v>
      </c>
      <c r="J28" s="27"/>
      <c r="K28" s="27"/>
      <c r="L28" s="27"/>
      <c r="M28" s="27"/>
      <c r="N28" s="28"/>
      <c r="O28" s="26">
        <v>3</v>
      </c>
      <c r="P28" s="27" t="s">
        <v>1277</v>
      </c>
      <c r="Q28" s="27">
        <v>4</v>
      </c>
      <c r="R28" s="27" t="s">
        <v>1277</v>
      </c>
      <c r="U28" s="2">
        <v>26</v>
      </c>
      <c r="V28" s="1" t="str">
        <f t="shared" si="16"/>
        <v>2</v>
      </c>
      <c r="W28" s="1">
        <v>42</v>
      </c>
      <c r="X28" s="30" t="s">
        <v>197</v>
      </c>
      <c r="Y28" s="3">
        <f>出怪成长!C27</f>
        <v>15</v>
      </c>
      <c r="Z28" s="31" t="str">
        <f t="shared" si="97"/>
        <v>1:2:1|1:5:1|2:10:1|2:5:1#2:5:1#3:5:2|3:5:2#2:5:1#3:5:2|3:6:2#2:6:1#3:6:2|4:7:2#2:7:1#3:7:2|4:9:2#2:9:1#3:9:2|1:12:1#2:12:1#3:12:2|2:21:1#2:14:1#3:21:2</v>
      </c>
      <c r="AA28" s="5">
        <f t="shared" si="37"/>
        <v>1</v>
      </c>
      <c r="AB28" s="33">
        <f t="shared" si="17"/>
        <v>2</v>
      </c>
      <c r="AC28" s="6">
        <f t="shared" si="0"/>
        <v>1</v>
      </c>
      <c r="AD28" s="5">
        <f t="shared" si="18"/>
        <v>1</v>
      </c>
      <c r="AE28" s="33">
        <f t="shared" si="19"/>
        <v>5</v>
      </c>
      <c r="AF28" s="6">
        <f t="shared" si="20"/>
        <v>1</v>
      </c>
      <c r="AG28" s="7">
        <f t="shared" ref="AG28:AG34" si="98">AG27</f>
        <v>3.5</v>
      </c>
      <c r="AH28" s="5">
        <f t="shared" si="21"/>
        <v>2</v>
      </c>
      <c r="AI28" s="33">
        <f t="shared" si="1"/>
        <v>10</v>
      </c>
      <c r="AJ28" s="6">
        <f t="shared" si="2"/>
        <v>1</v>
      </c>
      <c r="AK28" s="1">
        <f t="shared" ref="AK28:AK34" si="99">AK27</f>
        <v>5.5</v>
      </c>
      <c r="AL28" s="5">
        <f t="shared" si="23"/>
        <v>2</v>
      </c>
      <c r="AM28" s="33">
        <f t="shared" si="68"/>
        <v>5</v>
      </c>
      <c r="AN28" s="6">
        <f t="shared" si="4"/>
        <v>1</v>
      </c>
      <c r="AO28" s="35">
        <v>2</v>
      </c>
      <c r="AP28" s="33">
        <f t="shared" si="69"/>
        <v>5</v>
      </c>
      <c r="AQ28" s="6">
        <f t="shared" si="50"/>
        <v>1</v>
      </c>
      <c r="AR28" s="35">
        <v>3</v>
      </c>
      <c r="AS28" s="33">
        <f t="shared" si="70"/>
        <v>5</v>
      </c>
      <c r="AT28" s="6">
        <f t="shared" si="51"/>
        <v>2</v>
      </c>
      <c r="AU28" s="1">
        <f t="shared" ref="AU28:AU34" si="100">AU27</f>
        <v>7</v>
      </c>
      <c r="AV28" s="5">
        <f t="shared" si="72"/>
        <v>3</v>
      </c>
      <c r="AW28" s="33">
        <f t="shared" si="73"/>
        <v>5</v>
      </c>
      <c r="AX28" s="6">
        <f t="shared" si="6"/>
        <v>2</v>
      </c>
      <c r="AY28" s="35">
        <v>2</v>
      </c>
      <c r="AZ28" s="33">
        <f t="shared" si="74"/>
        <v>5</v>
      </c>
      <c r="BA28" s="6">
        <f t="shared" si="52"/>
        <v>1</v>
      </c>
      <c r="BB28" s="35">
        <v>3</v>
      </c>
      <c r="BC28" s="33">
        <f t="shared" si="75"/>
        <v>5</v>
      </c>
      <c r="BD28" s="6">
        <f t="shared" si="53"/>
        <v>2</v>
      </c>
      <c r="BE28" s="8">
        <f t="shared" ref="BE28:BE34" si="101">BE27</f>
        <v>8</v>
      </c>
      <c r="BF28" s="5">
        <f t="shared" si="77"/>
        <v>3</v>
      </c>
      <c r="BG28" s="33">
        <f t="shared" si="78"/>
        <v>6</v>
      </c>
      <c r="BH28" s="6">
        <f t="shared" si="8"/>
        <v>2</v>
      </c>
      <c r="BI28" s="35">
        <v>2</v>
      </c>
      <c r="BJ28" s="33">
        <f t="shared" si="79"/>
        <v>6</v>
      </c>
      <c r="BK28" s="6">
        <f t="shared" si="54"/>
        <v>1</v>
      </c>
      <c r="BL28" s="35">
        <v>3</v>
      </c>
      <c r="BM28" s="33">
        <f t="shared" si="96"/>
        <v>6</v>
      </c>
      <c r="BN28" s="6">
        <f t="shared" si="55"/>
        <v>2</v>
      </c>
      <c r="BO28" s="8">
        <f t="shared" ref="BO28:BO34" si="102">BO27</f>
        <v>9.5</v>
      </c>
      <c r="BP28" s="5">
        <f t="shared" si="56"/>
        <v>4</v>
      </c>
      <c r="BQ28" s="33">
        <f t="shared" si="81"/>
        <v>7</v>
      </c>
      <c r="BR28" s="6">
        <f t="shared" si="10"/>
        <v>2</v>
      </c>
      <c r="BS28" s="35">
        <v>2</v>
      </c>
      <c r="BT28" s="33">
        <f t="shared" si="82"/>
        <v>7</v>
      </c>
      <c r="BU28" s="6">
        <f t="shared" si="57"/>
        <v>1</v>
      </c>
      <c r="BV28" s="35">
        <v>3</v>
      </c>
      <c r="BW28" s="33">
        <f t="shared" si="83"/>
        <v>7</v>
      </c>
      <c r="BX28" s="6">
        <f t="shared" si="58"/>
        <v>2</v>
      </c>
      <c r="BY28" s="8">
        <f t="shared" ref="BY28:BY34" si="103">BY27</f>
        <v>9.5</v>
      </c>
      <c r="BZ28" s="5">
        <f t="shared" si="59"/>
        <v>4</v>
      </c>
      <c r="CA28" s="33">
        <f t="shared" si="85"/>
        <v>9</v>
      </c>
      <c r="CB28" s="6">
        <f t="shared" si="12"/>
        <v>2</v>
      </c>
      <c r="CC28" s="35">
        <v>2</v>
      </c>
      <c r="CD28" s="33">
        <f t="shared" si="86"/>
        <v>9</v>
      </c>
      <c r="CE28" s="6">
        <f t="shared" si="60"/>
        <v>1</v>
      </c>
      <c r="CF28" s="35">
        <v>3</v>
      </c>
      <c r="CG28" s="33">
        <f t="shared" si="87"/>
        <v>9</v>
      </c>
      <c r="CH28" s="6">
        <f t="shared" si="61"/>
        <v>2</v>
      </c>
      <c r="CI28" s="8">
        <f t="shared" ref="CI28:CI34" si="104">CI27</f>
        <v>9.5</v>
      </c>
      <c r="CJ28" s="15">
        <f t="shared" si="33"/>
        <v>1</v>
      </c>
      <c r="CK28" s="33">
        <f t="shared" si="89"/>
        <v>12</v>
      </c>
      <c r="CL28" s="6">
        <f t="shared" si="14"/>
        <v>1</v>
      </c>
      <c r="CM28" s="35">
        <v>2</v>
      </c>
      <c r="CN28" s="33">
        <f t="shared" si="90"/>
        <v>12</v>
      </c>
      <c r="CO28" s="6">
        <f t="shared" si="62"/>
        <v>1</v>
      </c>
      <c r="CP28" s="35">
        <v>3</v>
      </c>
      <c r="CQ28" s="33">
        <f t="shared" si="91"/>
        <v>12</v>
      </c>
      <c r="CR28" s="6">
        <f t="shared" si="63"/>
        <v>2</v>
      </c>
      <c r="CS28" s="8">
        <f t="shared" ref="CS28:CS34" si="105">CS27</f>
        <v>9.5</v>
      </c>
      <c r="CT28" s="15">
        <f t="shared" si="35"/>
        <v>2</v>
      </c>
      <c r="CU28" s="33">
        <f t="shared" si="39"/>
        <v>21</v>
      </c>
      <c r="CV28" s="6">
        <f t="shared" si="40"/>
        <v>1</v>
      </c>
      <c r="CW28" s="35">
        <v>2</v>
      </c>
      <c r="CX28" s="33">
        <f t="shared" si="93"/>
        <v>14</v>
      </c>
      <c r="CY28" s="6">
        <f t="shared" si="64"/>
        <v>1</v>
      </c>
      <c r="CZ28" s="35">
        <v>3</v>
      </c>
      <c r="DA28" s="33">
        <f t="shared" si="94"/>
        <v>21</v>
      </c>
      <c r="DB28" s="6">
        <f t="shared" si="65"/>
        <v>2</v>
      </c>
      <c r="DC28" s="1">
        <f t="shared" ref="DC28:DC34" si="106">DC27</f>
        <v>9.5</v>
      </c>
    </row>
    <row r="29" s="2" customFormat="1" spans="5:107">
      <c r="E29" s="25" t="s">
        <v>969</v>
      </c>
      <c r="F29" s="26">
        <v>1</v>
      </c>
      <c r="G29" s="27" t="s">
        <v>1276</v>
      </c>
      <c r="H29" s="27">
        <v>2</v>
      </c>
      <c r="I29" s="27" t="s">
        <v>1276</v>
      </c>
      <c r="J29" s="27"/>
      <c r="K29" s="27"/>
      <c r="L29" s="27"/>
      <c r="M29" s="27"/>
      <c r="N29" s="28"/>
      <c r="O29" s="26">
        <v>3</v>
      </c>
      <c r="P29" s="27" t="s">
        <v>1277</v>
      </c>
      <c r="Q29" s="27">
        <v>4</v>
      </c>
      <c r="R29" s="27" t="s">
        <v>1277</v>
      </c>
      <c r="U29" s="2">
        <v>27</v>
      </c>
      <c r="V29" s="1" t="str">
        <f t="shared" si="16"/>
        <v>3</v>
      </c>
      <c r="W29" s="1">
        <v>43</v>
      </c>
      <c r="X29" s="30" t="s">
        <v>197</v>
      </c>
      <c r="Y29" s="3">
        <f>出怪成长!C28</f>
        <v>15</v>
      </c>
      <c r="Z29" s="31" t="str">
        <f t="shared" si="97"/>
        <v>1:2:1|1:5:1|2:10:1|2:5:1#2:5:1#3:5:2|3:5:2#2:5:1#3:5:2|3:6:2#2:6:1#3:6:2|4:7:2#2:7:1#3:7:2|4:9:2#2:9:1#3:9:2|1:12:1#2:12:1#3:12:2|2:21:1#2:14:1#3:21:2</v>
      </c>
      <c r="AA29" s="5">
        <f t="shared" si="37"/>
        <v>1</v>
      </c>
      <c r="AB29" s="33">
        <f t="shared" si="17"/>
        <v>2</v>
      </c>
      <c r="AC29" s="6">
        <f t="shared" si="0"/>
        <v>1</v>
      </c>
      <c r="AD29" s="5">
        <f t="shared" si="18"/>
        <v>1</v>
      </c>
      <c r="AE29" s="33">
        <f t="shared" si="19"/>
        <v>5</v>
      </c>
      <c r="AF29" s="6">
        <f t="shared" si="20"/>
        <v>1</v>
      </c>
      <c r="AG29" s="7">
        <f t="shared" si="98"/>
        <v>3.5</v>
      </c>
      <c r="AH29" s="5">
        <f t="shared" si="21"/>
        <v>2</v>
      </c>
      <c r="AI29" s="33">
        <f t="shared" si="1"/>
        <v>10</v>
      </c>
      <c r="AJ29" s="6">
        <f t="shared" si="2"/>
        <v>1</v>
      </c>
      <c r="AK29" s="1">
        <f t="shared" si="99"/>
        <v>5.5</v>
      </c>
      <c r="AL29" s="5">
        <f t="shared" si="23"/>
        <v>2</v>
      </c>
      <c r="AM29" s="33">
        <f t="shared" si="68"/>
        <v>5</v>
      </c>
      <c r="AN29" s="6">
        <f t="shared" si="4"/>
        <v>1</v>
      </c>
      <c r="AO29" s="35">
        <v>2</v>
      </c>
      <c r="AP29" s="33">
        <f t="shared" si="69"/>
        <v>5</v>
      </c>
      <c r="AQ29" s="6">
        <f t="shared" si="50"/>
        <v>1</v>
      </c>
      <c r="AR29" s="35">
        <v>3</v>
      </c>
      <c r="AS29" s="33">
        <f t="shared" si="70"/>
        <v>5</v>
      </c>
      <c r="AT29" s="6">
        <f t="shared" si="51"/>
        <v>2</v>
      </c>
      <c r="AU29" s="1">
        <f t="shared" si="100"/>
        <v>7</v>
      </c>
      <c r="AV29" s="5">
        <f t="shared" si="72"/>
        <v>3</v>
      </c>
      <c r="AW29" s="33">
        <f t="shared" si="73"/>
        <v>5</v>
      </c>
      <c r="AX29" s="6">
        <f t="shared" si="6"/>
        <v>2</v>
      </c>
      <c r="AY29" s="35">
        <v>2</v>
      </c>
      <c r="AZ29" s="33">
        <f t="shared" si="74"/>
        <v>5</v>
      </c>
      <c r="BA29" s="6">
        <f t="shared" si="52"/>
        <v>1</v>
      </c>
      <c r="BB29" s="35">
        <v>3</v>
      </c>
      <c r="BC29" s="33">
        <f t="shared" si="75"/>
        <v>5</v>
      </c>
      <c r="BD29" s="6">
        <f t="shared" si="53"/>
        <v>2</v>
      </c>
      <c r="BE29" s="8">
        <f t="shared" si="101"/>
        <v>8</v>
      </c>
      <c r="BF29" s="5">
        <f t="shared" si="77"/>
        <v>3</v>
      </c>
      <c r="BG29" s="33">
        <f t="shared" si="78"/>
        <v>6</v>
      </c>
      <c r="BH29" s="6">
        <f t="shared" si="8"/>
        <v>2</v>
      </c>
      <c r="BI29" s="35">
        <v>2</v>
      </c>
      <c r="BJ29" s="33">
        <f t="shared" si="79"/>
        <v>6</v>
      </c>
      <c r="BK29" s="6">
        <f t="shared" si="54"/>
        <v>1</v>
      </c>
      <c r="BL29" s="35">
        <v>3</v>
      </c>
      <c r="BM29" s="33">
        <f t="shared" si="96"/>
        <v>6</v>
      </c>
      <c r="BN29" s="6">
        <f t="shared" si="55"/>
        <v>2</v>
      </c>
      <c r="BO29" s="8">
        <f t="shared" si="102"/>
        <v>9.5</v>
      </c>
      <c r="BP29" s="5">
        <f t="shared" si="56"/>
        <v>4</v>
      </c>
      <c r="BQ29" s="33">
        <f t="shared" si="81"/>
        <v>7</v>
      </c>
      <c r="BR29" s="6">
        <f t="shared" si="10"/>
        <v>2</v>
      </c>
      <c r="BS29" s="35">
        <v>2</v>
      </c>
      <c r="BT29" s="33">
        <f t="shared" si="82"/>
        <v>7</v>
      </c>
      <c r="BU29" s="6">
        <f t="shared" si="57"/>
        <v>1</v>
      </c>
      <c r="BV29" s="35">
        <v>3</v>
      </c>
      <c r="BW29" s="33">
        <f t="shared" si="83"/>
        <v>7</v>
      </c>
      <c r="BX29" s="6">
        <f t="shared" si="58"/>
        <v>2</v>
      </c>
      <c r="BY29" s="8">
        <f t="shared" si="103"/>
        <v>9.5</v>
      </c>
      <c r="BZ29" s="5">
        <f t="shared" si="59"/>
        <v>4</v>
      </c>
      <c r="CA29" s="33">
        <f t="shared" si="85"/>
        <v>9</v>
      </c>
      <c r="CB29" s="6">
        <f t="shared" si="12"/>
        <v>2</v>
      </c>
      <c r="CC29" s="35">
        <v>2</v>
      </c>
      <c r="CD29" s="33">
        <f t="shared" si="86"/>
        <v>9</v>
      </c>
      <c r="CE29" s="6">
        <f t="shared" si="60"/>
        <v>1</v>
      </c>
      <c r="CF29" s="35">
        <v>3</v>
      </c>
      <c r="CG29" s="33">
        <f t="shared" si="87"/>
        <v>9</v>
      </c>
      <c r="CH29" s="6">
        <f t="shared" si="61"/>
        <v>2</v>
      </c>
      <c r="CI29" s="8">
        <f t="shared" si="104"/>
        <v>9.5</v>
      </c>
      <c r="CJ29" s="15">
        <f t="shared" si="33"/>
        <v>1</v>
      </c>
      <c r="CK29" s="33">
        <f t="shared" si="89"/>
        <v>12</v>
      </c>
      <c r="CL29" s="6">
        <f t="shared" si="14"/>
        <v>1</v>
      </c>
      <c r="CM29" s="35">
        <v>2</v>
      </c>
      <c r="CN29" s="33">
        <f t="shared" si="90"/>
        <v>12</v>
      </c>
      <c r="CO29" s="6">
        <f t="shared" si="62"/>
        <v>1</v>
      </c>
      <c r="CP29" s="35">
        <v>3</v>
      </c>
      <c r="CQ29" s="33">
        <f t="shared" si="91"/>
        <v>12</v>
      </c>
      <c r="CR29" s="6">
        <f t="shared" si="63"/>
        <v>2</v>
      </c>
      <c r="CS29" s="8">
        <f t="shared" si="105"/>
        <v>9.5</v>
      </c>
      <c r="CT29" s="15">
        <f t="shared" si="35"/>
        <v>2</v>
      </c>
      <c r="CU29" s="32">
        <f t="shared" si="39"/>
        <v>21</v>
      </c>
      <c r="CV29" s="6">
        <f t="shared" si="40"/>
        <v>1</v>
      </c>
      <c r="CW29" s="35">
        <v>2</v>
      </c>
      <c r="CX29" s="33">
        <f t="shared" si="93"/>
        <v>14</v>
      </c>
      <c r="CY29" s="6">
        <f t="shared" si="64"/>
        <v>1</v>
      </c>
      <c r="CZ29" s="35">
        <v>3</v>
      </c>
      <c r="DA29" s="33">
        <f t="shared" si="94"/>
        <v>21</v>
      </c>
      <c r="DB29" s="6">
        <f t="shared" si="65"/>
        <v>2</v>
      </c>
      <c r="DC29" s="1">
        <f t="shared" si="106"/>
        <v>9.5</v>
      </c>
    </row>
    <row r="30" s="2" customFormat="1" spans="5:107">
      <c r="E30" s="25" t="s">
        <v>971</v>
      </c>
      <c r="F30" s="26">
        <v>1</v>
      </c>
      <c r="G30" s="27" t="s">
        <v>1276</v>
      </c>
      <c r="H30" s="27">
        <v>2</v>
      </c>
      <c r="I30" s="27" t="s">
        <v>1276</v>
      </c>
      <c r="J30" s="27"/>
      <c r="K30" s="27"/>
      <c r="L30" s="27"/>
      <c r="M30" s="27"/>
      <c r="N30" s="28"/>
      <c r="O30" s="26">
        <v>3</v>
      </c>
      <c r="P30" s="27" t="s">
        <v>1277</v>
      </c>
      <c r="Q30" s="27">
        <v>4</v>
      </c>
      <c r="R30" s="27" t="s">
        <v>1277</v>
      </c>
      <c r="U30" s="2">
        <v>28</v>
      </c>
      <c r="V30" s="1" t="str">
        <f t="shared" si="16"/>
        <v>4</v>
      </c>
      <c r="W30" s="1">
        <v>44</v>
      </c>
      <c r="X30" s="30" t="s">
        <v>197</v>
      </c>
      <c r="Y30" s="3">
        <f>出怪成长!C29</f>
        <v>15</v>
      </c>
      <c r="Z30" s="31" t="str">
        <f t="shared" si="97"/>
        <v>1:2:1|1:5:1|2:10:1|2:5:1#2:5:1#3:5:2|3:5:2#2:5:1#3:5:2|3:6:2#2:6:1#3:6:2|4:7:2#2:7:1#3:7:2|4:9:2#2:9:1#3:9:2|1:12:1#2:12:1#3:12:2|2:21:1#2:14:1#3:21:2</v>
      </c>
      <c r="AA30" s="5">
        <f t="shared" si="37"/>
        <v>1</v>
      </c>
      <c r="AB30" s="33">
        <f t="shared" si="17"/>
        <v>2</v>
      </c>
      <c r="AC30" s="6">
        <f t="shared" si="0"/>
        <v>1</v>
      </c>
      <c r="AD30" s="5">
        <f t="shared" si="18"/>
        <v>1</v>
      </c>
      <c r="AE30" s="33">
        <f t="shared" si="19"/>
        <v>5</v>
      </c>
      <c r="AF30" s="6">
        <f t="shared" si="20"/>
        <v>1</v>
      </c>
      <c r="AG30" s="7">
        <f t="shared" si="98"/>
        <v>3.5</v>
      </c>
      <c r="AH30" s="5">
        <f t="shared" si="21"/>
        <v>2</v>
      </c>
      <c r="AI30" s="33">
        <f t="shared" si="1"/>
        <v>10</v>
      </c>
      <c r="AJ30" s="6">
        <f t="shared" si="2"/>
        <v>1</v>
      </c>
      <c r="AK30" s="1">
        <f t="shared" si="99"/>
        <v>5.5</v>
      </c>
      <c r="AL30" s="5">
        <f t="shared" si="23"/>
        <v>2</v>
      </c>
      <c r="AM30" s="33">
        <f t="shared" si="68"/>
        <v>5</v>
      </c>
      <c r="AN30" s="6">
        <f t="shared" si="4"/>
        <v>1</v>
      </c>
      <c r="AO30" s="35">
        <v>2</v>
      </c>
      <c r="AP30" s="33">
        <f t="shared" si="69"/>
        <v>5</v>
      </c>
      <c r="AQ30" s="6">
        <f t="shared" si="50"/>
        <v>1</v>
      </c>
      <c r="AR30" s="35">
        <v>3</v>
      </c>
      <c r="AS30" s="33">
        <f t="shared" si="70"/>
        <v>5</v>
      </c>
      <c r="AT30" s="6">
        <f t="shared" si="51"/>
        <v>2</v>
      </c>
      <c r="AU30" s="1">
        <f t="shared" si="100"/>
        <v>7</v>
      </c>
      <c r="AV30" s="5">
        <f t="shared" si="72"/>
        <v>3</v>
      </c>
      <c r="AW30" s="33">
        <f t="shared" si="73"/>
        <v>5</v>
      </c>
      <c r="AX30" s="6">
        <f t="shared" si="6"/>
        <v>2</v>
      </c>
      <c r="AY30" s="35">
        <v>2</v>
      </c>
      <c r="AZ30" s="33">
        <f t="shared" si="74"/>
        <v>5</v>
      </c>
      <c r="BA30" s="6">
        <f t="shared" si="52"/>
        <v>1</v>
      </c>
      <c r="BB30" s="35">
        <v>3</v>
      </c>
      <c r="BC30" s="33">
        <f t="shared" si="75"/>
        <v>5</v>
      </c>
      <c r="BD30" s="6">
        <f t="shared" si="53"/>
        <v>2</v>
      </c>
      <c r="BE30" s="8">
        <f t="shared" si="101"/>
        <v>8</v>
      </c>
      <c r="BF30" s="5">
        <f t="shared" si="77"/>
        <v>3</v>
      </c>
      <c r="BG30" s="33">
        <f t="shared" si="78"/>
        <v>6</v>
      </c>
      <c r="BH30" s="6">
        <f t="shared" si="8"/>
        <v>2</v>
      </c>
      <c r="BI30" s="35">
        <v>2</v>
      </c>
      <c r="BJ30" s="33">
        <f t="shared" si="79"/>
        <v>6</v>
      </c>
      <c r="BK30" s="6">
        <f t="shared" si="54"/>
        <v>1</v>
      </c>
      <c r="BL30" s="35">
        <v>3</v>
      </c>
      <c r="BM30" s="33">
        <f t="shared" si="96"/>
        <v>6</v>
      </c>
      <c r="BN30" s="6">
        <f t="shared" si="55"/>
        <v>2</v>
      </c>
      <c r="BO30" s="8">
        <f t="shared" si="102"/>
        <v>9.5</v>
      </c>
      <c r="BP30" s="5">
        <f t="shared" si="56"/>
        <v>4</v>
      </c>
      <c r="BQ30" s="33">
        <f t="shared" si="81"/>
        <v>7</v>
      </c>
      <c r="BR30" s="6">
        <f t="shared" si="10"/>
        <v>2</v>
      </c>
      <c r="BS30" s="35">
        <v>2</v>
      </c>
      <c r="BT30" s="33">
        <f t="shared" si="82"/>
        <v>7</v>
      </c>
      <c r="BU30" s="6">
        <f t="shared" si="57"/>
        <v>1</v>
      </c>
      <c r="BV30" s="35">
        <v>3</v>
      </c>
      <c r="BW30" s="33">
        <f t="shared" si="83"/>
        <v>7</v>
      </c>
      <c r="BX30" s="6">
        <f t="shared" si="58"/>
        <v>2</v>
      </c>
      <c r="BY30" s="8">
        <f t="shared" si="103"/>
        <v>9.5</v>
      </c>
      <c r="BZ30" s="5">
        <f t="shared" si="59"/>
        <v>4</v>
      </c>
      <c r="CA30" s="33">
        <f t="shared" si="85"/>
        <v>9</v>
      </c>
      <c r="CB30" s="6">
        <f t="shared" si="12"/>
        <v>2</v>
      </c>
      <c r="CC30" s="35">
        <v>2</v>
      </c>
      <c r="CD30" s="33">
        <f t="shared" si="86"/>
        <v>9</v>
      </c>
      <c r="CE30" s="6">
        <f t="shared" si="60"/>
        <v>1</v>
      </c>
      <c r="CF30" s="35">
        <v>3</v>
      </c>
      <c r="CG30" s="33">
        <f t="shared" si="87"/>
        <v>9</v>
      </c>
      <c r="CH30" s="6">
        <f t="shared" si="61"/>
        <v>2</v>
      </c>
      <c r="CI30" s="8">
        <f t="shared" si="104"/>
        <v>9.5</v>
      </c>
      <c r="CJ30" s="15">
        <f t="shared" si="33"/>
        <v>1</v>
      </c>
      <c r="CK30" s="33">
        <f t="shared" si="89"/>
        <v>12</v>
      </c>
      <c r="CL30" s="6">
        <f t="shared" si="14"/>
        <v>1</v>
      </c>
      <c r="CM30" s="35">
        <v>2</v>
      </c>
      <c r="CN30" s="33">
        <f t="shared" si="90"/>
        <v>12</v>
      </c>
      <c r="CO30" s="6">
        <f t="shared" si="62"/>
        <v>1</v>
      </c>
      <c r="CP30" s="35">
        <v>3</v>
      </c>
      <c r="CQ30" s="33">
        <f t="shared" si="91"/>
        <v>12</v>
      </c>
      <c r="CR30" s="6">
        <f t="shared" si="63"/>
        <v>2</v>
      </c>
      <c r="CS30" s="8">
        <f t="shared" si="105"/>
        <v>9.5</v>
      </c>
      <c r="CT30" s="15">
        <f t="shared" si="35"/>
        <v>2</v>
      </c>
      <c r="CU30" s="33">
        <f t="shared" si="39"/>
        <v>21</v>
      </c>
      <c r="CV30" s="6">
        <f t="shared" si="40"/>
        <v>1</v>
      </c>
      <c r="CW30" s="35">
        <v>2</v>
      </c>
      <c r="CX30" s="33">
        <f t="shared" si="93"/>
        <v>14</v>
      </c>
      <c r="CY30" s="6">
        <f t="shared" si="64"/>
        <v>1</v>
      </c>
      <c r="CZ30" s="35">
        <v>3</v>
      </c>
      <c r="DA30" s="33">
        <f t="shared" si="94"/>
        <v>21</v>
      </c>
      <c r="DB30" s="6">
        <f t="shared" si="65"/>
        <v>2</v>
      </c>
      <c r="DC30" s="1">
        <f t="shared" si="106"/>
        <v>9.5</v>
      </c>
    </row>
    <row r="31" s="2" customFormat="1" spans="5:107">
      <c r="E31" s="25" t="s">
        <v>973</v>
      </c>
      <c r="F31" s="26">
        <v>1</v>
      </c>
      <c r="G31" s="27" t="s">
        <v>1276</v>
      </c>
      <c r="H31" s="27">
        <v>2</v>
      </c>
      <c r="I31" s="27" t="s">
        <v>1276</v>
      </c>
      <c r="J31" s="27">
        <v>3</v>
      </c>
      <c r="K31" s="27" t="s">
        <v>1276</v>
      </c>
      <c r="L31" s="27">
        <v>4</v>
      </c>
      <c r="M31" s="27" t="s">
        <v>1276</v>
      </c>
      <c r="N31" s="28"/>
      <c r="O31" s="26">
        <v>5</v>
      </c>
      <c r="P31" s="27" t="s">
        <v>1277</v>
      </c>
      <c r="Q31" s="27">
        <v>6</v>
      </c>
      <c r="R31" s="27" t="s">
        <v>1277</v>
      </c>
      <c r="U31" s="2">
        <v>29</v>
      </c>
      <c r="V31" s="1" t="str">
        <f t="shared" si="16"/>
        <v>5</v>
      </c>
      <c r="W31" s="1">
        <v>45</v>
      </c>
      <c r="X31" s="30" t="s">
        <v>197</v>
      </c>
      <c r="Y31" s="3">
        <f>出怪成长!C30</f>
        <v>15</v>
      </c>
      <c r="Z31" s="31" t="str">
        <f t="shared" si="97"/>
        <v>1:3:1|1:6:1|2:11:1|2:6:1#2:6:1#3:6:1|3:5:1#2:5:1#3:5:1|3:6:1#2:6:1#3:6:1|4:7:1#2:7:1#3:7:1|4:9:1#2:9:1#3:9:1|1:12:1#2:12:1#3:12:1|2:21:1#2:14:1#3:21:1</v>
      </c>
      <c r="AA31" s="5">
        <f t="shared" si="37"/>
        <v>1</v>
      </c>
      <c r="AB31" s="33">
        <f t="shared" si="17"/>
        <v>3</v>
      </c>
      <c r="AC31" s="6">
        <f t="shared" si="0"/>
        <v>1</v>
      </c>
      <c r="AD31" s="5">
        <f t="shared" si="18"/>
        <v>1</v>
      </c>
      <c r="AE31" s="33">
        <f t="shared" si="19"/>
        <v>6</v>
      </c>
      <c r="AF31" s="6">
        <f t="shared" si="20"/>
        <v>1</v>
      </c>
      <c r="AG31" s="7">
        <f t="shared" si="98"/>
        <v>3.5</v>
      </c>
      <c r="AH31" s="5">
        <f t="shared" si="21"/>
        <v>2</v>
      </c>
      <c r="AI31" s="33">
        <f t="shared" si="1"/>
        <v>11</v>
      </c>
      <c r="AJ31" s="6">
        <f t="shared" si="2"/>
        <v>1</v>
      </c>
      <c r="AK31" s="1">
        <f t="shared" si="99"/>
        <v>5.5</v>
      </c>
      <c r="AL31" s="5">
        <f t="shared" si="23"/>
        <v>2</v>
      </c>
      <c r="AM31" s="33">
        <f t="shared" si="68"/>
        <v>6</v>
      </c>
      <c r="AN31" s="6">
        <f t="shared" si="4"/>
        <v>1</v>
      </c>
      <c r="AO31" s="35">
        <v>2</v>
      </c>
      <c r="AP31" s="33">
        <f t="shared" si="69"/>
        <v>6</v>
      </c>
      <c r="AQ31" s="6">
        <f t="shared" si="50"/>
        <v>1</v>
      </c>
      <c r="AR31" s="35">
        <v>3</v>
      </c>
      <c r="AS31" s="33">
        <f t="shared" si="70"/>
        <v>6</v>
      </c>
      <c r="AT31" s="6">
        <f t="shared" si="51"/>
        <v>1</v>
      </c>
      <c r="AU31" s="1">
        <f t="shared" si="100"/>
        <v>7</v>
      </c>
      <c r="AV31" s="5">
        <f t="shared" si="72"/>
        <v>3</v>
      </c>
      <c r="AW31" s="33">
        <f t="shared" si="73"/>
        <v>5</v>
      </c>
      <c r="AX31" s="6">
        <f t="shared" si="6"/>
        <v>1</v>
      </c>
      <c r="AY31" s="35">
        <v>2</v>
      </c>
      <c r="AZ31" s="33">
        <f t="shared" si="74"/>
        <v>5</v>
      </c>
      <c r="BA31" s="6">
        <f t="shared" si="52"/>
        <v>1</v>
      </c>
      <c r="BB31" s="35">
        <v>3</v>
      </c>
      <c r="BC31" s="33">
        <f t="shared" si="75"/>
        <v>5</v>
      </c>
      <c r="BD31" s="6">
        <f t="shared" si="53"/>
        <v>1</v>
      </c>
      <c r="BE31" s="8">
        <f t="shared" si="101"/>
        <v>8</v>
      </c>
      <c r="BF31" s="5">
        <f t="shared" si="77"/>
        <v>3</v>
      </c>
      <c r="BG31" s="33">
        <f t="shared" si="78"/>
        <v>6</v>
      </c>
      <c r="BH31" s="6">
        <f t="shared" si="8"/>
        <v>1</v>
      </c>
      <c r="BI31" s="35">
        <v>2</v>
      </c>
      <c r="BJ31" s="33">
        <f t="shared" si="79"/>
        <v>6</v>
      </c>
      <c r="BK31" s="6">
        <f t="shared" si="54"/>
        <v>1</v>
      </c>
      <c r="BL31" s="35">
        <v>3</v>
      </c>
      <c r="BM31" s="33">
        <f t="shared" si="96"/>
        <v>6</v>
      </c>
      <c r="BN31" s="6">
        <f t="shared" si="55"/>
        <v>1</v>
      </c>
      <c r="BO31" s="8">
        <f t="shared" si="102"/>
        <v>9.5</v>
      </c>
      <c r="BP31" s="5">
        <f t="shared" si="56"/>
        <v>4</v>
      </c>
      <c r="BQ31" s="33">
        <f t="shared" si="81"/>
        <v>7</v>
      </c>
      <c r="BR31" s="6">
        <f t="shared" si="10"/>
        <v>1</v>
      </c>
      <c r="BS31" s="35">
        <v>2</v>
      </c>
      <c r="BT31" s="33">
        <f t="shared" si="82"/>
        <v>7</v>
      </c>
      <c r="BU31" s="6">
        <f t="shared" si="57"/>
        <v>1</v>
      </c>
      <c r="BV31" s="35">
        <v>3</v>
      </c>
      <c r="BW31" s="33">
        <f t="shared" si="83"/>
        <v>7</v>
      </c>
      <c r="BX31" s="6">
        <f t="shared" si="58"/>
        <v>1</v>
      </c>
      <c r="BY31" s="8">
        <f t="shared" si="103"/>
        <v>9.5</v>
      </c>
      <c r="BZ31" s="5">
        <f t="shared" si="59"/>
        <v>4</v>
      </c>
      <c r="CA31" s="33">
        <f t="shared" si="85"/>
        <v>9</v>
      </c>
      <c r="CB31" s="6">
        <f t="shared" si="12"/>
        <v>1</v>
      </c>
      <c r="CC31" s="35">
        <v>2</v>
      </c>
      <c r="CD31" s="33">
        <f t="shared" si="86"/>
        <v>9</v>
      </c>
      <c r="CE31" s="6">
        <f t="shared" si="60"/>
        <v>1</v>
      </c>
      <c r="CF31" s="35">
        <v>3</v>
      </c>
      <c r="CG31" s="33">
        <f t="shared" si="87"/>
        <v>9</v>
      </c>
      <c r="CH31" s="6">
        <f t="shared" si="61"/>
        <v>1</v>
      </c>
      <c r="CI31" s="8">
        <f t="shared" si="104"/>
        <v>9.5</v>
      </c>
      <c r="CJ31" s="15">
        <f t="shared" si="33"/>
        <v>1</v>
      </c>
      <c r="CK31" s="33">
        <f t="shared" si="89"/>
        <v>12</v>
      </c>
      <c r="CL31" s="6">
        <f t="shared" si="14"/>
        <v>1</v>
      </c>
      <c r="CM31" s="35">
        <v>2</v>
      </c>
      <c r="CN31" s="33">
        <f t="shared" si="90"/>
        <v>12</v>
      </c>
      <c r="CO31" s="6">
        <f t="shared" si="62"/>
        <v>1</v>
      </c>
      <c r="CP31" s="35">
        <v>3</v>
      </c>
      <c r="CQ31" s="33">
        <f t="shared" si="91"/>
        <v>12</v>
      </c>
      <c r="CR31" s="6">
        <f t="shared" si="63"/>
        <v>1</v>
      </c>
      <c r="CS31" s="8">
        <f t="shared" si="105"/>
        <v>9.5</v>
      </c>
      <c r="CT31" s="15">
        <f t="shared" si="35"/>
        <v>2</v>
      </c>
      <c r="CU31" s="32">
        <f t="shared" si="39"/>
        <v>21</v>
      </c>
      <c r="CV31" s="6">
        <f t="shared" si="40"/>
        <v>1</v>
      </c>
      <c r="CW31" s="35">
        <v>2</v>
      </c>
      <c r="CX31" s="33">
        <f t="shared" si="93"/>
        <v>14</v>
      </c>
      <c r="CY31" s="6">
        <f t="shared" si="64"/>
        <v>1</v>
      </c>
      <c r="CZ31" s="35">
        <v>3</v>
      </c>
      <c r="DA31" s="33">
        <f t="shared" si="94"/>
        <v>21</v>
      </c>
      <c r="DB31" s="6">
        <f t="shared" si="65"/>
        <v>1</v>
      </c>
      <c r="DC31" s="1">
        <f t="shared" si="106"/>
        <v>9.5</v>
      </c>
    </row>
    <row r="32" s="2" customFormat="1" spans="5:107">
      <c r="E32" s="25" t="s">
        <v>975</v>
      </c>
      <c r="F32" s="26">
        <v>1</v>
      </c>
      <c r="G32" s="27" t="s">
        <v>1276</v>
      </c>
      <c r="H32" s="27">
        <v>2</v>
      </c>
      <c r="I32" s="27" t="s">
        <v>1276</v>
      </c>
      <c r="J32" s="27"/>
      <c r="K32" s="27"/>
      <c r="L32" s="27"/>
      <c r="M32" s="27"/>
      <c r="N32" s="28"/>
      <c r="O32" s="26">
        <v>3</v>
      </c>
      <c r="P32" s="27" t="s">
        <v>1277</v>
      </c>
      <c r="Q32" s="27">
        <v>4</v>
      </c>
      <c r="R32" s="27" t="s">
        <v>1277</v>
      </c>
      <c r="U32" s="2">
        <v>30</v>
      </c>
      <c r="V32" s="1" t="str">
        <f t="shared" si="16"/>
        <v>6</v>
      </c>
      <c r="W32" s="1">
        <v>46</v>
      </c>
      <c r="X32" s="30" t="s">
        <v>197</v>
      </c>
      <c r="Y32" s="3">
        <f>出怪成长!C31</f>
        <v>15</v>
      </c>
      <c r="Z32" s="31" t="str">
        <f t="shared" si="97"/>
        <v>1:3:1|1:6:1|2:11:1|2:6:1#2:6:1#3:6:2|3:5:2#2:5:1#3:5:2|3:6:2#2:6:1#3:6:2|4:7:2#2:7:1#3:7:2|4:9:2#2:9:1#3:9:2|1:12:1#2:12:1#3:12:2|2:21:1#2:14:1#3:21:2</v>
      </c>
      <c r="AA32" s="5">
        <f t="shared" si="37"/>
        <v>1</v>
      </c>
      <c r="AB32" s="33">
        <f t="shared" si="17"/>
        <v>3</v>
      </c>
      <c r="AC32" s="6">
        <f t="shared" si="0"/>
        <v>1</v>
      </c>
      <c r="AD32" s="5">
        <f t="shared" si="18"/>
        <v>1</v>
      </c>
      <c r="AE32" s="33">
        <f t="shared" si="19"/>
        <v>6</v>
      </c>
      <c r="AF32" s="6">
        <f t="shared" si="20"/>
        <v>1</v>
      </c>
      <c r="AG32" s="7">
        <f t="shared" si="98"/>
        <v>3.5</v>
      </c>
      <c r="AH32" s="5">
        <f t="shared" si="21"/>
        <v>2</v>
      </c>
      <c r="AI32" s="33">
        <f t="shared" si="1"/>
        <v>11</v>
      </c>
      <c r="AJ32" s="6">
        <f t="shared" si="2"/>
        <v>1</v>
      </c>
      <c r="AK32" s="1">
        <f t="shared" si="99"/>
        <v>5.5</v>
      </c>
      <c r="AL32" s="5">
        <f t="shared" si="23"/>
        <v>2</v>
      </c>
      <c r="AM32" s="33">
        <f t="shared" si="68"/>
        <v>6</v>
      </c>
      <c r="AN32" s="6">
        <f t="shared" si="4"/>
        <v>1</v>
      </c>
      <c r="AO32" s="35">
        <v>2</v>
      </c>
      <c r="AP32" s="33">
        <f t="shared" si="69"/>
        <v>6</v>
      </c>
      <c r="AQ32" s="6">
        <f t="shared" si="50"/>
        <v>1</v>
      </c>
      <c r="AR32" s="35">
        <v>3</v>
      </c>
      <c r="AS32" s="33">
        <f t="shared" si="70"/>
        <v>6</v>
      </c>
      <c r="AT32" s="6">
        <f t="shared" si="51"/>
        <v>2</v>
      </c>
      <c r="AU32" s="1">
        <f t="shared" si="100"/>
        <v>7</v>
      </c>
      <c r="AV32" s="5">
        <f t="shared" si="72"/>
        <v>3</v>
      </c>
      <c r="AW32" s="33">
        <f t="shared" si="73"/>
        <v>5</v>
      </c>
      <c r="AX32" s="6">
        <f t="shared" si="6"/>
        <v>2</v>
      </c>
      <c r="AY32" s="35">
        <v>2</v>
      </c>
      <c r="AZ32" s="33">
        <f t="shared" si="74"/>
        <v>5</v>
      </c>
      <c r="BA32" s="6">
        <f t="shared" si="52"/>
        <v>1</v>
      </c>
      <c r="BB32" s="35">
        <v>3</v>
      </c>
      <c r="BC32" s="33">
        <f t="shared" si="75"/>
        <v>5</v>
      </c>
      <c r="BD32" s="6">
        <f t="shared" si="53"/>
        <v>2</v>
      </c>
      <c r="BE32" s="8">
        <f t="shared" si="101"/>
        <v>8</v>
      </c>
      <c r="BF32" s="5">
        <f t="shared" si="77"/>
        <v>3</v>
      </c>
      <c r="BG32" s="33">
        <f t="shared" si="78"/>
        <v>6</v>
      </c>
      <c r="BH32" s="6">
        <f t="shared" si="8"/>
        <v>2</v>
      </c>
      <c r="BI32" s="35">
        <v>2</v>
      </c>
      <c r="BJ32" s="33">
        <f t="shared" si="79"/>
        <v>6</v>
      </c>
      <c r="BK32" s="6">
        <f t="shared" si="54"/>
        <v>1</v>
      </c>
      <c r="BL32" s="35">
        <v>3</v>
      </c>
      <c r="BM32" s="33">
        <f t="shared" si="96"/>
        <v>6</v>
      </c>
      <c r="BN32" s="6">
        <f t="shared" si="55"/>
        <v>2</v>
      </c>
      <c r="BO32" s="8">
        <f t="shared" si="102"/>
        <v>9.5</v>
      </c>
      <c r="BP32" s="5">
        <f t="shared" si="56"/>
        <v>4</v>
      </c>
      <c r="BQ32" s="33">
        <f t="shared" si="81"/>
        <v>7</v>
      </c>
      <c r="BR32" s="6">
        <f t="shared" si="10"/>
        <v>2</v>
      </c>
      <c r="BS32" s="35">
        <v>2</v>
      </c>
      <c r="BT32" s="33">
        <f t="shared" si="82"/>
        <v>7</v>
      </c>
      <c r="BU32" s="6">
        <f t="shared" si="57"/>
        <v>1</v>
      </c>
      <c r="BV32" s="35">
        <v>3</v>
      </c>
      <c r="BW32" s="33">
        <f t="shared" si="83"/>
        <v>7</v>
      </c>
      <c r="BX32" s="6">
        <f t="shared" si="58"/>
        <v>2</v>
      </c>
      <c r="BY32" s="8">
        <f t="shared" si="103"/>
        <v>9.5</v>
      </c>
      <c r="BZ32" s="5">
        <f t="shared" si="59"/>
        <v>4</v>
      </c>
      <c r="CA32" s="33">
        <f t="shared" si="85"/>
        <v>9</v>
      </c>
      <c r="CB32" s="6">
        <f t="shared" si="12"/>
        <v>2</v>
      </c>
      <c r="CC32" s="35">
        <v>2</v>
      </c>
      <c r="CD32" s="33">
        <f t="shared" si="86"/>
        <v>9</v>
      </c>
      <c r="CE32" s="6">
        <f t="shared" si="60"/>
        <v>1</v>
      </c>
      <c r="CF32" s="35">
        <v>3</v>
      </c>
      <c r="CG32" s="33">
        <f t="shared" si="87"/>
        <v>9</v>
      </c>
      <c r="CH32" s="6">
        <f t="shared" si="61"/>
        <v>2</v>
      </c>
      <c r="CI32" s="8">
        <f t="shared" si="104"/>
        <v>9.5</v>
      </c>
      <c r="CJ32" s="15">
        <f t="shared" si="33"/>
        <v>1</v>
      </c>
      <c r="CK32" s="33">
        <f t="shared" si="89"/>
        <v>12</v>
      </c>
      <c r="CL32" s="6">
        <f t="shared" si="14"/>
        <v>1</v>
      </c>
      <c r="CM32" s="35">
        <v>2</v>
      </c>
      <c r="CN32" s="33">
        <f t="shared" si="90"/>
        <v>12</v>
      </c>
      <c r="CO32" s="6">
        <f t="shared" si="62"/>
        <v>1</v>
      </c>
      <c r="CP32" s="35">
        <v>3</v>
      </c>
      <c r="CQ32" s="33">
        <f t="shared" si="91"/>
        <v>12</v>
      </c>
      <c r="CR32" s="6">
        <f t="shared" si="63"/>
        <v>2</v>
      </c>
      <c r="CS32" s="8">
        <f t="shared" si="105"/>
        <v>9.5</v>
      </c>
      <c r="CT32" s="15">
        <f t="shared" si="35"/>
        <v>2</v>
      </c>
      <c r="CU32" s="33">
        <f t="shared" si="39"/>
        <v>21</v>
      </c>
      <c r="CV32" s="6">
        <f t="shared" si="40"/>
        <v>1</v>
      </c>
      <c r="CW32" s="35">
        <v>2</v>
      </c>
      <c r="CX32" s="33">
        <f t="shared" si="93"/>
        <v>14</v>
      </c>
      <c r="CY32" s="6">
        <f t="shared" si="64"/>
        <v>1</v>
      </c>
      <c r="CZ32" s="35">
        <v>3</v>
      </c>
      <c r="DA32" s="33">
        <f t="shared" si="94"/>
        <v>21</v>
      </c>
      <c r="DB32" s="6">
        <f t="shared" si="65"/>
        <v>2</v>
      </c>
      <c r="DC32" s="1">
        <f t="shared" si="106"/>
        <v>9.5</v>
      </c>
    </row>
    <row r="33" s="2" customFormat="1" spans="5:107">
      <c r="E33" s="25" t="s">
        <v>977</v>
      </c>
      <c r="F33" s="26">
        <v>1</v>
      </c>
      <c r="G33" s="27" t="s">
        <v>1276</v>
      </c>
      <c r="H33" s="27">
        <v>2</v>
      </c>
      <c r="I33" s="27" t="s">
        <v>1276</v>
      </c>
      <c r="J33" s="27"/>
      <c r="K33" s="27"/>
      <c r="L33" s="27"/>
      <c r="M33" s="27"/>
      <c r="N33" s="28"/>
      <c r="O33" s="26">
        <v>3</v>
      </c>
      <c r="P33" s="27" t="s">
        <v>1277</v>
      </c>
      <c r="Q33" s="27">
        <v>4</v>
      </c>
      <c r="R33" s="27" t="s">
        <v>1277</v>
      </c>
      <c r="U33" s="2">
        <v>31</v>
      </c>
      <c r="V33" s="1" t="str">
        <f t="shared" si="16"/>
        <v>7</v>
      </c>
      <c r="W33" s="1">
        <v>47</v>
      </c>
      <c r="X33" s="30" t="s">
        <v>197</v>
      </c>
      <c r="Y33" s="3">
        <f>出怪成长!C32</f>
        <v>15</v>
      </c>
      <c r="Z33" s="31" t="str">
        <f t="shared" si="97"/>
        <v>1:3:1|1:6:1|2:11:1|2:6:1#2:6:1#3:6:2|3:5:2#2:5:1#3:5:2|3:6:2#2:6:1#3:6:2|4:7:2#2:7:1#3:7:2|4:9:2#2:9:1#3:9:2|1:12:1#2:12:1#3:12:2|2:21:1#2:14:1#3:21:2</v>
      </c>
      <c r="AA33" s="5">
        <f t="shared" si="37"/>
        <v>1</v>
      </c>
      <c r="AB33" s="33">
        <f t="shared" si="17"/>
        <v>3</v>
      </c>
      <c r="AC33" s="6">
        <f t="shared" si="0"/>
        <v>1</v>
      </c>
      <c r="AD33" s="5">
        <f t="shared" si="18"/>
        <v>1</v>
      </c>
      <c r="AE33" s="33">
        <f t="shared" si="19"/>
        <v>6</v>
      </c>
      <c r="AF33" s="6">
        <f t="shared" si="20"/>
        <v>1</v>
      </c>
      <c r="AG33" s="7">
        <f t="shared" si="98"/>
        <v>3.5</v>
      </c>
      <c r="AH33" s="5">
        <f t="shared" si="21"/>
        <v>2</v>
      </c>
      <c r="AI33" s="33">
        <f t="shared" si="1"/>
        <v>11</v>
      </c>
      <c r="AJ33" s="6">
        <f t="shared" si="2"/>
        <v>1</v>
      </c>
      <c r="AK33" s="1">
        <f t="shared" si="99"/>
        <v>5.5</v>
      </c>
      <c r="AL33" s="5">
        <f t="shared" si="23"/>
        <v>2</v>
      </c>
      <c r="AM33" s="33">
        <f t="shared" si="68"/>
        <v>6</v>
      </c>
      <c r="AN33" s="6">
        <f t="shared" si="4"/>
        <v>1</v>
      </c>
      <c r="AO33" s="35">
        <v>2</v>
      </c>
      <c r="AP33" s="33">
        <f t="shared" si="69"/>
        <v>6</v>
      </c>
      <c r="AQ33" s="6">
        <f t="shared" si="50"/>
        <v>1</v>
      </c>
      <c r="AR33" s="35">
        <v>3</v>
      </c>
      <c r="AS33" s="33">
        <f t="shared" si="70"/>
        <v>6</v>
      </c>
      <c r="AT33" s="6">
        <f t="shared" si="51"/>
        <v>2</v>
      </c>
      <c r="AU33" s="1">
        <f t="shared" si="100"/>
        <v>7</v>
      </c>
      <c r="AV33" s="5">
        <f t="shared" si="72"/>
        <v>3</v>
      </c>
      <c r="AW33" s="33">
        <f t="shared" si="73"/>
        <v>5</v>
      </c>
      <c r="AX33" s="6">
        <f t="shared" si="6"/>
        <v>2</v>
      </c>
      <c r="AY33" s="35">
        <v>2</v>
      </c>
      <c r="AZ33" s="33">
        <f t="shared" si="74"/>
        <v>5</v>
      </c>
      <c r="BA33" s="6">
        <f t="shared" si="52"/>
        <v>1</v>
      </c>
      <c r="BB33" s="35">
        <v>3</v>
      </c>
      <c r="BC33" s="33">
        <f t="shared" si="75"/>
        <v>5</v>
      </c>
      <c r="BD33" s="6">
        <f t="shared" si="53"/>
        <v>2</v>
      </c>
      <c r="BE33" s="8">
        <f t="shared" si="101"/>
        <v>8</v>
      </c>
      <c r="BF33" s="5">
        <f t="shared" si="77"/>
        <v>3</v>
      </c>
      <c r="BG33" s="33">
        <f t="shared" si="78"/>
        <v>6</v>
      </c>
      <c r="BH33" s="6">
        <f t="shared" si="8"/>
        <v>2</v>
      </c>
      <c r="BI33" s="35">
        <v>2</v>
      </c>
      <c r="BJ33" s="33">
        <f t="shared" si="79"/>
        <v>6</v>
      </c>
      <c r="BK33" s="6">
        <f t="shared" si="54"/>
        <v>1</v>
      </c>
      <c r="BL33" s="35">
        <v>3</v>
      </c>
      <c r="BM33" s="33">
        <f t="shared" si="96"/>
        <v>6</v>
      </c>
      <c r="BN33" s="6">
        <f t="shared" si="55"/>
        <v>2</v>
      </c>
      <c r="BO33" s="8">
        <f t="shared" si="102"/>
        <v>9.5</v>
      </c>
      <c r="BP33" s="5">
        <f t="shared" si="56"/>
        <v>4</v>
      </c>
      <c r="BQ33" s="33">
        <f t="shared" si="81"/>
        <v>7</v>
      </c>
      <c r="BR33" s="6">
        <f t="shared" si="10"/>
        <v>2</v>
      </c>
      <c r="BS33" s="35">
        <v>2</v>
      </c>
      <c r="BT33" s="33">
        <f t="shared" si="82"/>
        <v>7</v>
      </c>
      <c r="BU33" s="6">
        <f t="shared" si="57"/>
        <v>1</v>
      </c>
      <c r="BV33" s="35">
        <v>3</v>
      </c>
      <c r="BW33" s="33">
        <f t="shared" si="83"/>
        <v>7</v>
      </c>
      <c r="BX33" s="6">
        <f t="shared" si="58"/>
        <v>2</v>
      </c>
      <c r="BY33" s="8">
        <f t="shared" si="103"/>
        <v>9.5</v>
      </c>
      <c r="BZ33" s="5">
        <f t="shared" si="59"/>
        <v>4</v>
      </c>
      <c r="CA33" s="33">
        <f t="shared" si="85"/>
        <v>9</v>
      </c>
      <c r="CB33" s="6">
        <f t="shared" si="12"/>
        <v>2</v>
      </c>
      <c r="CC33" s="35">
        <v>2</v>
      </c>
      <c r="CD33" s="33">
        <f t="shared" si="86"/>
        <v>9</v>
      </c>
      <c r="CE33" s="6">
        <f t="shared" si="60"/>
        <v>1</v>
      </c>
      <c r="CF33" s="35">
        <v>3</v>
      </c>
      <c r="CG33" s="33">
        <f t="shared" si="87"/>
        <v>9</v>
      </c>
      <c r="CH33" s="6">
        <f t="shared" si="61"/>
        <v>2</v>
      </c>
      <c r="CI33" s="8">
        <f t="shared" si="104"/>
        <v>9.5</v>
      </c>
      <c r="CJ33" s="15">
        <f t="shared" si="33"/>
        <v>1</v>
      </c>
      <c r="CK33" s="33">
        <f t="shared" si="89"/>
        <v>12</v>
      </c>
      <c r="CL33" s="6">
        <f t="shared" si="14"/>
        <v>1</v>
      </c>
      <c r="CM33" s="35">
        <v>2</v>
      </c>
      <c r="CN33" s="33">
        <f t="shared" si="90"/>
        <v>12</v>
      </c>
      <c r="CO33" s="6">
        <f t="shared" si="62"/>
        <v>1</v>
      </c>
      <c r="CP33" s="35">
        <v>3</v>
      </c>
      <c r="CQ33" s="33">
        <f t="shared" si="91"/>
        <v>12</v>
      </c>
      <c r="CR33" s="6">
        <f t="shared" si="63"/>
        <v>2</v>
      </c>
      <c r="CS33" s="8">
        <f t="shared" si="105"/>
        <v>9.5</v>
      </c>
      <c r="CT33" s="15">
        <f t="shared" si="35"/>
        <v>2</v>
      </c>
      <c r="CU33" s="32">
        <f t="shared" si="39"/>
        <v>21</v>
      </c>
      <c r="CV33" s="6">
        <f t="shared" si="40"/>
        <v>1</v>
      </c>
      <c r="CW33" s="35">
        <v>2</v>
      </c>
      <c r="CX33" s="33">
        <f t="shared" si="93"/>
        <v>14</v>
      </c>
      <c r="CY33" s="6">
        <f t="shared" si="64"/>
        <v>1</v>
      </c>
      <c r="CZ33" s="35">
        <v>3</v>
      </c>
      <c r="DA33" s="33">
        <f t="shared" si="94"/>
        <v>21</v>
      </c>
      <c r="DB33" s="6">
        <f t="shared" si="65"/>
        <v>2</v>
      </c>
      <c r="DC33" s="1">
        <f t="shared" si="106"/>
        <v>9.5</v>
      </c>
    </row>
    <row r="34" s="2" customFormat="1" spans="5:107">
      <c r="E34" s="25" t="s">
        <v>981</v>
      </c>
      <c r="F34" s="26">
        <v>1</v>
      </c>
      <c r="G34" s="27" t="s">
        <v>1276</v>
      </c>
      <c r="H34" s="27">
        <v>2</v>
      </c>
      <c r="I34" s="27" t="s">
        <v>1276</v>
      </c>
      <c r="J34" s="27">
        <v>3</v>
      </c>
      <c r="K34" s="27" t="s">
        <v>1276</v>
      </c>
      <c r="L34" s="27"/>
      <c r="M34" s="27"/>
      <c r="N34" s="28"/>
      <c r="O34" s="26">
        <v>4</v>
      </c>
      <c r="P34" s="27" t="s">
        <v>1277</v>
      </c>
      <c r="Q34" s="27">
        <v>5</v>
      </c>
      <c r="R34" s="27" t="s">
        <v>1277</v>
      </c>
      <c r="U34" s="2">
        <v>32</v>
      </c>
      <c r="V34" s="1" t="str">
        <f t="shared" si="16"/>
        <v>8</v>
      </c>
      <c r="W34" s="1">
        <v>48</v>
      </c>
      <c r="X34" s="30" t="s">
        <v>197</v>
      </c>
      <c r="Y34" s="3">
        <f>出怪成长!C33</f>
        <v>15</v>
      </c>
      <c r="Z34" s="31" t="str">
        <f t="shared" si="97"/>
        <v>1:3:1|1:6:1|2:11:1|2:6:1#2:6:1#3:6:1|3:5:1#2:5:1#3:5:1|3:6:1#2:6:1#3:6:1|4:7:2#2:7:1#3:7:1|4:9:2#2:9:1#3:9:1|1:12:1#2:12:1#3:12:1|2:21:1#2:14:1#3:21:1</v>
      </c>
      <c r="AA34" s="5">
        <f t="shared" si="37"/>
        <v>1</v>
      </c>
      <c r="AB34" s="33">
        <f t="shared" si="17"/>
        <v>3</v>
      </c>
      <c r="AC34" s="6">
        <f t="shared" si="0"/>
        <v>1</v>
      </c>
      <c r="AD34" s="5">
        <f t="shared" si="18"/>
        <v>1</v>
      </c>
      <c r="AE34" s="33">
        <f t="shared" si="19"/>
        <v>6</v>
      </c>
      <c r="AF34" s="6">
        <f t="shared" si="20"/>
        <v>1</v>
      </c>
      <c r="AG34" s="7">
        <f t="shared" si="98"/>
        <v>3.5</v>
      </c>
      <c r="AH34" s="5">
        <f t="shared" si="21"/>
        <v>2</v>
      </c>
      <c r="AI34" s="33">
        <f t="shared" si="1"/>
        <v>11</v>
      </c>
      <c r="AJ34" s="6">
        <f t="shared" si="2"/>
        <v>1</v>
      </c>
      <c r="AK34" s="1">
        <f t="shared" si="99"/>
        <v>5.5</v>
      </c>
      <c r="AL34" s="5">
        <f t="shared" si="23"/>
        <v>2</v>
      </c>
      <c r="AM34" s="33">
        <f t="shared" si="68"/>
        <v>6</v>
      </c>
      <c r="AN34" s="6">
        <f t="shared" si="4"/>
        <v>1</v>
      </c>
      <c r="AO34" s="35">
        <v>2</v>
      </c>
      <c r="AP34" s="33">
        <f t="shared" si="69"/>
        <v>6</v>
      </c>
      <c r="AQ34" s="6">
        <f t="shared" si="50"/>
        <v>1</v>
      </c>
      <c r="AR34" s="35">
        <v>3</v>
      </c>
      <c r="AS34" s="33">
        <f t="shared" si="70"/>
        <v>6</v>
      </c>
      <c r="AT34" s="6">
        <f t="shared" si="51"/>
        <v>1</v>
      </c>
      <c r="AU34" s="1">
        <f t="shared" si="100"/>
        <v>7</v>
      </c>
      <c r="AV34" s="5">
        <f t="shared" si="72"/>
        <v>3</v>
      </c>
      <c r="AW34" s="33">
        <f t="shared" si="73"/>
        <v>5</v>
      </c>
      <c r="AX34" s="6">
        <f t="shared" si="6"/>
        <v>1</v>
      </c>
      <c r="AY34" s="35">
        <v>2</v>
      </c>
      <c r="AZ34" s="33">
        <f t="shared" si="74"/>
        <v>5</v>
      </c>
      <c r="BA34" s="6">
        <f t="shared" si="52"/>
        <v>1</v>
      </c>
      <c r="BB34" s="35">
        <v>3</v>
      </c>
      <c r="BC34" s="33">
        <f t="shared" si="75"/>
        <v>5</v>
      </c>
      <c r="BD34" s="6">
        <f t="shared" si="53"/>
        <v>1</v>
      </c>
      <c r="BE34" s="8">
        <f t="shared" si="101"/>
        <v>8</v>
      </c>
      <c r="BF34" s="5">
        <f t="shared" si="77"/>
        <v>3</v>
      </c>
      <c r="BG34" s="33">
        <f t="shared" si="78"/>
        <v>6</v>
      </c>
      <c r="BH34" s="6">
        <f t="shared" si="8"/>
        <v>1</v>
      </c>
      <c r="BI34" s="35">
        <v>2</v>
      </c>
      <c r="BJ34" s="33">
        <f t="shared" si="79"/>
        <v>6</v>
      </c>
      <c r="BK34" s="6">
        <f t="shared" si="54"/>
        <v>1</v>
      </c>
      <c r="BL34" s="35">
        <v>3</v>
      </c>
      <c r="BM34" s="33">
        <f t="shared" si="96"/>
        <v>6</v>
      </c>
      <c r="BN34" s="6">
        <f t="shared" si="55"/>
        <v>1</v>
      </c>
      <c r="BO34" s="8">
        <f t="shared" si="102"/>
        <v>9.5</v>
      </c>
      <c r="BP34" s="5">
        <f t="shared" si="56"/>
        <v>4</v>
      </c>
      <c r="BQ34" s="33">
        <f t="shared" si="81"/>
        <v>7</v>
      </c>
      <c r="BR34" s="6">
        <f t="shared" si="10"/>
        <v>2</v>
      </c>
      <c r="BS34" s="35">
        <v>2</v>
      </c>
      <c r="BT34" s="33">
        <f t="shared" si="82"/>
        <v>7</v>
      </c>
      <c r="BU34" s="6">
        <f t="shared" si="57"/>
        <v>1</v>
      </c>
      <c r="BV34" s="35">
        <v>3</v>
      </c>
      <c r="BW34" s="33">
        <f t="shared" si="83"/>
        <v>7</v>
      </c>
      <c r="BX34" s="6">
        <f t="shared" si="58"/>
        <v>1</v>
      </c>
      <c r="BY34" s="8">
        <f t="shared" si="103"/>
        <v>9.5</v>
      </c>
      <c r="BZ34" s="5">
        <f t="shared" si="59"/>
        <v>4</v>
      </c>
      <c r="CA34" s="33">
        <f t="shared" si="85"/>
        <v>9</v>
      </c>
      <c r="CB34" s="6">
        <f t="shared" si="12"/>
        <v>2</v>
      </c>
      <c r="CC34" s="35">
        <v>2</v>
      </c>
      <c r="CD34" s="33">
        <f t="shared" si="86"/>
        <v>9</v>
      </c>
      <c r="CE34" s="6">
        <f t="shared" si="60"/>
        <v>1</v>
      </c>
      <c r="CF34" s="35">
        <v>3</v>
      </c>
      <c r="CG34" s="33">
        <f t="shared" si="87"/>
        <v>9</v>
      </c>
      <c r="CH34" s="6">
        <f t="shared" si="61"/>
        <v>1</v>
      </c>
      <c r="CI34" s="8">
        <f t="shared" si="104"/>
        <v>9.5</v>
      </c>
      <c r="CJ34" s="15">
        <f t="shared" si="33"/>
        <v>1</v>
      </c>
      <c r="CK34" s="33">
        <f t="shared" si="89"/>
        <v>12</v>
      </c>
      <c r="CL34" s="6">
        <f t="shared" si="14"/>
        <v>1</v>
      </c>
      <c r="CM34" s="35">
        <v>2</v>
      </c>
      <c r="CN34" s="33">
        <f t="shared" si="90"/>
        <v>12</v>
      </c>
      <c r="CO34" s="6">
        <f t="shared" si="62"/>
        <v>1</v>
      </c>
      <c r="CP34" s="35">
        <v>3</v>
      </c>
      <c r="CQ34" s="33">
        <f t="shared" si="91"/>
        <v>12</v>
      </c>
      <c r="CR34" s="6">
        <f t="shared" si="63"/>
        <v>1</v>
      </c>
      <c r="CS34" s="8">
        <f t="shared" si="105"/>
        <v>9.5</v>
      </c>
      <c r="CT34" s="15">
        <f t="shared" si="35"/>
        <v>2</v>
      </c>
      <c r="CU34" s="33">
        <f t="shared" si="39"/>
        <v>21</v>
      </c>
      <c r="CV34" s="6">
        <f t="shared" si="40"/>
        <v>1</v>
      </c>
      <c r="CW34" s="35">
        <v>2</v>
      </c>
      <c r="CX34" s="33">
        <f t="shared" si="93"/>
        <v>14</v>
      </c>
      <c r="CY34" s="6">
        <f t="shared" si="64"/>
        <v>1</v>
      </c>
      <c r="CZ34" s="35">
        <v>3</v>
      </c>
      <c r="DA34" s="33">
        <f t="shared" si="94"/>
        <v>21</v>
      </c>
      <c r="DB34" s="6">
        <f t="shared" si="65"/>
        <v>1</v>
      </c>
      <c r="DC34" s="1">
        <f t="shared" si="106"/>
        <v>9.5</v>
      </c>
    </row>
    <row r="35" s="2" customFormat="1" spans="5:107">
      <c r="E35" s="25" t="s">
        <v>985</v>
      </c>
      <c r="F35" s="26">
        <v>1</v>
      </c>
      <c r="G35" s="27" t="s">
        <v>1276</v>
      </c>
      <c r="H35" s="27">
        <v>2</v>
      </c>
      <c r="I35" s="27" t="s">
        <v>1276</v>
      </c>
      <c r="J35" s="27">
        <v>3</v>
      </c>
      <c r="K35" s="27" t="s">
        <v>1276</v>
      </c>
      <c r="L35" s="27">
        <v>4</v>
      </c>
      <c r="M35" s="27" t="s">
        <v>1276</v>
      </c>
      <c r="N35" s="28"/>
      <c r="O35" s="26">
        <v>5</v>
      </c>
      <c r="P35" s="27" t="s">
        <v>1277</v>
      </c>
      <c r="Q35" s="27">
        <v>6</v>
      </c>
      <c r="R35" s="27" t="s">
        <v>1277</v>
      </c>
      <c r="U35" s="2">
        <v>33</v>
      </c>
      <c r="V35" s="1" t="str">
        <f t="shared" si="16"/>
        <v>1</v>
      </c>
      <c r="W35" s="1">
        <v>51</v>
      </c>
      <c r="X35" s="30" t="s">
        <v>217</v>
      </c>
      <c r="Y35" s="3">
        <f>出怪成长!C34</f>
        <v>15</v>
      </c>
      <c r="Z35" s="31" t="str">
        <f t="shared" si="97"/>
        <v>1:2:1|1:6:1|2:12:1|2:6:1#2:6:1#3:6:1|3:6:1#2:6:1#3:6:1|3:7:1#2:7:1#3:7:1|4:9:1#2:9:1#3:9:1|4:11:1#2:11:1#3:11:1|1:14:1#2:14:1#3:14:1|2:25:1#2:16:1#3:25:1</v>
      </c>
      <c r="AA35" s="5">
        <f t="shared" si="37"/>
        <v>1</v>
      </c>
      <c r="AB35" s="33">
        <f t="shared" si="17"/>
        <v>2</v>
      </c>
      <c r="AC35" s="6">
        <f t="shared" si="0"/>
        <v>1</v>
      </c>
      <c r="AD35" s="5">
        <f t="shared" si="18"/>
        <v>1</v>
      </c>
      <c r="AE35" s="33">
        <f t="shared" si="19"/>
        <v>6</v>
      </c>
      <c r="AF35" s="6">
        <f t="shared" si="20"/>
        <v>1</v>
      </c>
      <c r="AG35" s="7">
        <f>AG27+AG$1</f>
        <v>4</v>
      </c>
      <c r="AH35" s="5">
        <f t="shared" si="21"/>
        <v>2</v>
      </c>
      <c r="AI35" s="33">
        <f t="shared" si="1"/>
        <v>12</v>
      </c>
      <c r="AJ35" s="6">
        <f t="shared" si="2"/>
        <v>1</v>
      </c>
      <c r="AK35" s="34">
        <f>AK27+AK$1</f>
        <v>6</v>
      </c>
      <c r="AL35" s="5">
        <f t="shared" si="23"/>
        <v>2</v>
      </c>
      <c r="AM35" s="33">
        <f t="shared" si="68"/>
        <v>6</v>
      </c>
      <c r="AN35" s="6">
        <f t="shared" si="4"/>
        <v>1</v>
      </c>
      <c r="AO35" s="35">
        <v>2</v>
      </c>
      <c r="AP35" s="33">
        <f t="shared" si="69"/>
        <v>6</v>
      </c>
      <c r="AQ35" s="6">
        <f t="shared" si="50"/>
        <v>1</v>
      </c>
      <c r="AR35" s="35">
        <v>3</v>
      </c>
      <c r="AS35" s="33">
        <f t="shared" si="70"/>
        <v>6</v>
      </c>
      <c r="AT35" s="6">
        <f t="shared" si="51"/>
        <v>1</v>
      </c>
      <c r="AU35" s="34">
        <f>AU27+AU$1</f>
        <v>8</v>
      </c>
      <c r="AV35" s="5">
        <f t="shared" si="72"/>
        <v>3</v>
      </c>
      <c r="AW35" s="33">
        <f t="shared" si="73"/>
        <v>6</v>
      </c>
      <c r="AX35" s="6">
        <f t="shared" si="6"/>
        <v>1</v>
      </c>
      <c r="AY35" s="35">
        <v>2</v>
      </c>
      <c r="AZ35" s="33">
        <f t="shared" si="74"/>
        <v>6</v>
      </c>
      <c r="BA35" s="6">
        <f t="shared" si="52"/>
        <v>1</v>
      </c>
      <c r="BB35" s="35">
        <v>3</v>
      </c>
      <c r="BC35" s="33">
        <f t="shared" si="75"/>
        <v>6</v>
      </c>
      <c r="BD35" s="6">
        <f t="shared" si="53"/>
        <v>1</v>
      </c>
      <c r="BE35" s="7">
        <f>BE27+BE$1</f>
        <v>9</v>
      </c>
      <c r="BF35" s="5">
        <f t="shared" si="77"/>
        <v>3</v>
      </c>
      <c r="BG35" s="33">
        <f t="shared" si="78"/>
        <v>7</v>
      </c>
      <c r="BH35" s="6">
        <f t="shared" si="8"/>
        <v>1</v>
      </c>
      <c r="BI35" s="35">
        <v>2</v>
      </c>
      <c r="BJ35" s="33">
        <f t="shared" si="79"/>
        <v>7</v>
      </c>
      <c r="BK35" s="6">
        <f t="shared" si="54"/>
        <v>1</v>
      </c>
      <c r="BL35" s="35">
        <v>3</v>
      </c>
      <c r="BM35" s="33">
        <f t="shared" si="96"/>
        <v>7</v>
      </c>
      <c r="BN35" s="6">
        <f t="shared" si="55"/>
        <v>1</v>
      </c>
      <c r="BO35" s="7">
        <f>BO27+BO$1</f>
        <v>11</v>
      </c>
      <c r="BP35" s="5">
        <f t="shared" si="56"/>
        <v>4</v>
      </c>
      <c r="BQ35" s="33">
        <f t="shared" si="81"/>
        <v>9</v>
      </c>
      <c r="BR35" s="6">
        <f t="shared" si="10"/>
        <v>1</v>
      </c>
      <c r="BS35" s="35">
        <v>2</v>
      </c>
      <c r="BT35" s="33">
        <f t="shared" si="82"/>
        <v>9</v>
      </c>
      <c r="BU35" s="6">
        <f t="shared" si="57"/>
        <v>1</v>
      </c>
      <c r="BV35" s="35">
        <v>3</v>
      </c>
      <c r="BW35" s="33">
        <f t="shared" si="83"/>
        <v>9</v>
      </c>
      <c r="BX35" s="6">
        <f t="shared" si="58"/>
        <v>1</v>
      </c>
      <c r="BY35" s="7">
        <f>BY27+BY$1</f>
        <v>11</v>
      </c>
      <c r="BZ35" s="5">
        <f t="shared" si="59"/>
        <v>4</v>
      </c>
      <c r="CA35" s="33">
        <f t="shared" si="85"/>
        <v>11</v>
      </c>
      <c r="CB35" s="6">
        <f t="shared" si="12"/>
        <v>1</v>
      </c>
      <c r="CC35" s="35">
        <v>2</v>
      </c>
      <c r="CD35" s="33">
        <f t="shared" si="86"/>
        <v>11</v>
      </c>
      <c r="CE35" s="6">
        <f t="shared" si="60"/>
        <v>1</v>
      </c>
      <c r="CF35" s="35">
        <v>3</v>
      </c>
      <c r="CG35" s="33">
        <f t="shared" si="87"/>
        <v>11</v>
      </c>
      <c r="CH35" s="6">
        <f t="shared" si="61"/>
        <v>1</v>
      </c>
      <c r="CI35" s="7">
        <f>CI27+CI$1</f>
        <v>11</v>
      </c>
      <c r="CJ35" s="15">
        <f t="shared" si="33"/>
        <v>1</v>
      </c>
      <c r="CK35" s="33">
        <f t="shared" si="89"/>
        <v>14</v>
      </c>
      <c r="CL35" s="6">
        <f t="shared" si="14"/>
        <v>1</v>
      </c>
      <c r="CM35" s="35">
        <v>2</v>
      </c>
      <c r="CN35" s="33">
        <f t="shared" si="90"/>
        <v>14</v>
      </c>
      <c r="CO35" s="6">
        <f t="shared" si="62"/>
        <v>1</v>
      </c>
      <c r="CP35" s="35">
        <v>3</v>
      </c>
      <c r="CQ35" s="33">
        <f t="shared" si="91"/>
        <v>14</v>
      </c>
      <c r="CR35" s="6">
        <f t="shared" si="63"/>
        <v>1</v>
      </c>
      <c r="CS35" s="7">
        <f>CS27+CS$1</f>
        <v>11</v>
      </c>
      <c r="CT35" s="15">
        <f t="shared" si="35"/>
        <v>2</v>
      </c>
      <c r="CU35" s="32">
        <f t="shared" si="39"/>
        <v>25</v>
      </c>
      <c r="CV35" s="6">
        <f t="shared" si="40"/>
        <v>1</v>
      </c>
      <c r="CW35" s="35">
        <v>2</v>
      </c>
      <c r="CX35" s="33">
        <f t="shared" si="93"/>
        <v>16</v>
      </c>
      <c r="CY35" s="6">
        <f t="shared" si="64"/>
        <v>1</v>
      </c>
      <c r="CZ35" s="35">
        <v>3</v>
      </c>
      <c r="DA35" s="33">
        <f t="shared" si="94"/>
        <v>25</v>
      </c>
      <c r="DB35" s="6">
        <f t="shared" si="65"/>
        <v>1</v>
      </c>
      <c r="DC35" s="34">
        <f>DC27+DC$1</f>
        <v>11</v>
      </c>
    </row>
    <row r="36" s="2" customFormat="1" spans="5:107">
      <c r="E36" s="25" t="s">
        <v>995</v>
      </c>
      <c r="F36" s="26">
        <v>1</v>
      </c>
      <c r="G36" s="27" t="s">
        <v>1276</v>
      </c>
      <c r="H36" s="27">
        <v>2</v>
      </c>
      <c r="I36" s="27" t="s">
        <v>1276</v>
      </c>
      <c r="J36" s="27">
        <v>3</v>
      </c>
      <c r="K36" s="27" t="s">
        <v>1276</v>
      </c>
      <c r="L36" s="27"/>
      <c r="M36" s="27"/>
      <c r="N36" s="28"/>
      <c r="O36" s="26">
        <v>4</v>
      </c>
      <c r="P36" s="27" t="s">
        <v>1277</v>
      </c>
      <c r="Q36" s="27">
        <v>5</v>
      </c>
      <c r="R36" s="27" t="s">
        <v>1277</v>
      </c>
      <c r="U36" s="2">
        <v>34</v>
      </c>
      <c r="V36" s="1" t="str">
        <f t="shared" ref="V36:V67" si="107">RIGHT(W36,1)</f>
        <v>2</v>
      </c>
      <c r="W36" s="1">
        <v>52</v>
      </c>
      <c r="X36" s="30" t="s">
        <v>217</v>
      </c>
      <c r="Y36" s="3">
        <f>出怪成长!C35</f>
        <v>15</v>
      </c>
      <c r="Z36" s="31" t="str">
        <f t="shared" si="97"/>
        <v>1:2:1|1:6:1|2:12:1|2:6:1#2:6:1#3:6:1|3:6:1#2:6:1#3:6:1|3:7:1#2:7:1#3:7:1|4:9:2#2:9:1#3:9:1|4:11:2#2:11:1#3:11:1|1:14:1#2:14:1#3:14:1|2:25:1#2:16:1#3:25:1</v>
      </c>
      <c r="AA36" s="5">
        <f t="shared" si="37"/>
        <v>1</v>
      </c>
      <c r="AB36" s="33">
        <f t="shared" ref="AB36:AB67" si="108">AA$2*$AA$1+INT($V36/$AB$1)</f>
        <v>2</v>
      </c>
      <c r="AC36" s="6">
        <f t="shared" si="0"/>
        <v>1</v>
      </c>
      <c r="AD36" s="5">
        <f t="shared" si="18"/>
        <v>1</v>
      </c>
      <c r="AE36" s="33">
        <f t="shared" ref="AE36:AE67" si="109">INT(AB36+AG36)</f>
        <v>6</v>
      </c>
      <c r="AF36" s="6">
        <f t="shared" si="20"/>
        <v>1</v>
      </c>
      <c r="AG36" s="7">
        <f t="shared" ref="AG36:AG42" si="110">AG35</f>
        <v>4</v>
      </c>
      <c r="AH36" s="5">
        <f t="shared" si="21"/>
        <v>2</v>
      </c>
      <c r="AI36" s="33">
        <f t="shared" si="1"/>
        <v>12</v>
      </c>
      <c r="AJ36" s="6">
        <f t="shared" si="2"/>
        <v>1</v>
      </c>
      <c r="AK36" s="1">
        <f t="shared" ref="AK36:AK42" si="111">AK35</f>
        <v>6</v>
      </c>
      <c r="AL36" s="5">
        <f t="shared" si="23"/>
        <v>2</v>
      </c>
      <c r="AM36" s="33">
        <f t="shared" si="68"/>
        <v>6</v>
      </c>
      <c r="AN36" s="6">
        <f t="shared" si="4"/>
        <v>1</v>
      </c>
      <c r="AO36" s="35">
        <v>2</v>
      </c>
      <c r="AP36" s="33">
        <f t="shared" si="69"/>
        <v>6</v>
      </c>
      <c r="AQ36" s="6">
        <f t="shared" si="50"/>
        <v>1</v>
      </c>
      <c r="AR36" s="35">
        <v>3</v>
      </c>
      <c r="AS36" s="33">
        <f t="shared" si="70"/>
        <v>6</v>
      </c>
      <c r="AT36" s="6">
        <f t="shared" si="51"/>
        <v>1</v>
      </c>
      <c r="AU36" s="1">
        <f t="shared" ref="AU36:AU42" si="112">AU35</f>
        <v>8</v>
      </c>
      <c r="AV36" s="5">
        <f t="shared" si="72"/>
        <v>3</v>
      </c>
      <c r="AW36" s="33">
        <f t="shared" si="73"/>
        <v>6</v>
      </c>
      <c r="AX36" s="6">
        <f t="shared" si="6"/>
        <v>1</v>
      </c>
      <c r="AY36" s="35">
        <v>2</v>
      </c>
      <c r="AZ36" s="33">
        <f t="shared" si="74"/>
        <v>6</v>
      </c>
      <c r="BA36" s="6">
        <f t="shared" si="52"/>
        <v>1</v>
      </c>
      <c r="BB36" s="35">
        <v>3</v>
      </c>
      <c r="BC36" s="33">
        <f t="shared" si="75"/>
        <v>6</v>
      </c>
      <c r="BD36" s="6">
        <f t="shared" si="53"/>
        <v>1</v>
      </c>
      <c r="BE36" s="8">
        <f t="shared" ref="BE36:BE42" si="113">BE35</f>
        <v>9</v>
      </c>
      <c r="BF36" s="5">
        <f t="shared" si="77"/>
        <v>3</v>
      </c>
      <c r="BG36" s="33">
        <f t="shared" si="78"/>
        <v>7</v>
      </c>
      <c r="BH36" s="6">
        <f t="shared" si="8"/>
        <v>1</v>
      </c>
      <c r="BI36" s="35">
        <v>2</v>
      </c>
      <c r="BJ36" s="33">
        <f t="shared" si="79"/>
        <v>7</v>
      </c>
      <c r="BK36" s="6">
        <f t="shared" si="54"/>
        <v>1</v>
      </c>
      <c r="BL36" s="35">
        <v>3</v>
      </c>
      <c r="BM36" s="33">
        <f t="shared" si="96"/>
        <v>7</v>
      </c>
      <c r="BN36" s="6">
        <f t="shared" si="55"/>
        <v>1</v>
      </c>
      <c r="BO36" s="8">
        <f t="shared" ref="BO36:BO42" si="114">BO35</f>
        <v>11</v>
      </c>
      <c r="BP36" s="5">
        <f t="shared" si="56"/>
        <v>4</v>
      </c>
      <c r="BQ36" s="33">
        <f t="shared" si="81"/>
        <v>9</v>
      </c>
      <c r="BR36" s="6">
        <f t="shared" si="10"/>
        <v>2</v>
      </c>
      <c r="BS36" s="35">
        <v>2</v>
      </c>
      <c r="BT36" s="33">
        <f t="shared" si="82"/>
        <v>9</v>
      </c>
      <c r="BU36" s="6">
        <f t="shared" si="57"/>
        <v>1</v>
      </c>
      <c r="BV36" s="35">
        <v>3</v>
      </c>
      <c r="BW36" s="33">
        <f t="shared" si="83"/>
        <v>9</v>
      </c>
      <c r="BX36" s="6">
        <f t="shared" si="58"/>
        <v>1</v>
      </c>
      <c r="BY36" s="8">
        <f t="shared" ref="BY36:BY42" si="115">BY35</f>
        <v>11</v>
      </c>
      <c r="BZ36" s="5">
        <f t="shared" si="59"/>
        <v>4</v>
      </c>
      <c r="CA36" s="33">
        <f t="shared" si="85"/>
        <v>11</v>
      </c>
      <c r="CB36" s="6">
        <f t="shared" si="12"/>
        <v>2</v>
      </c>
      <c r="CC36" s="35">
        <v>2</v>
      </c>
      <c r="CD36" s="33">
        <f t="shared" si="86"/>
        <v>11</v>
      </c>
      <c r="CE36" s="6">
        <f t="shared" si="60"/>
        <v>1</v>
      </c>
      <c r="CF36" s="35">
        <v>3</v>
      </c>
      <c r="CG36" s="33">
        <f t="shared" si="87"/>
        <v>11</v>
      </c>
      <c r="CH36" s="6">
        <f t="shared" si="61"/>
        <v>1</v>
      </c>
      <c r="CI36" s="8">
        <f t="shared" ref="CI36:CI42" si="116">CI35</f>
        <v>11</v>
      </c>
      <c r="CJ36" s="15">
        <f t="shared" si="33"/>
        <v>1</v>
      </c>
      <c r="CK36" s="33">
        <f t="shared" si="89"/>
        <v>14</v>
      </c>
      <c r="CL36" s="6">
        <f t="shared" si="14"/>
        <v>1</v>
      </c>
      <c r="CM36" s="35">
        <v>2</v>
      </c>
      <c r="CN36" s="33">
        <f t="shared" si="90"/>
        <v>14</v>
      </c>
      <c r="CO36" s="6">
        <f t="shared" si="62"/>
        <v>1</v>
      </c>
      <c r="CP36" s="35">
        <v>3</v>
      </c>
      <c r="CQ36" s="33">
        <f t="shared" si="91"/>
        <v>14</v>
      </c>
      <c r="CR36" s="6">
        <f t="shared" si="63"/>
        <v>1</v>
      </c>
      <c r="CS36" s="8">
        <f t="shared" ref="CS36:CS42" si="117">CS35</f>
        <v>11</v>
      </c>
      <c r="CT36" s="15">
        <f t="shared" si="35"/>
        <v>2</v>
      </c>
      <c r="CU36" s="33">
        <f t="shared" si="39"/>
        <v>25</v>
      </c>
      <c r="CV36" s="6">
        <f t="shared" si="40"/>
        <v>1</v>
      </c>
      <c r="CW36" s="35">
        <v>2</v>
      </c>
      <c r="CX36" s="33">
        <f t="shared" si="93"/>
        <v>16</v>
      </c>
      <c r="CY36" s="6">
        <f t="shared" si="64"/>
        <v>1</v>
      </c>
      <c r="CZ36" s="35">
        <v>3</v>
      </c>
      <c r="DA36" s="33">
        <f t="shared" si="94"/>
        <v>25</v>
      </c>
      <c r="DB36" s="6">
        <f t="shared" si="65"/>
        <v>1</v>
      </c>
      <c r="DC36" s="1">
        <f t="shared" ref="DC36:DC42" si="118">DC35</f>
        <v>11</v>
      </c>
    </row>
    <row r="37" s="2" customFormat="1" spans="5:107">
      <c r="E37" s="25" t="s">
        <v>1003</v>
      </c>
      <c r="F37" s="26">
        <v>1</v>
      </c>
      <c r="G37" s="27" t="s">
        <v>1276</v>
      </c>
      <c r="H37" s="27">
        <v>2</v>
      </c>
      <c r="I37" s="27" t="s">
        <v>1276</v>
      </c>
      <c r="J37" s="27">
        <v>3</v>
      </c>
      <c r="K37" s="27" t="s">
        <v>1276</v>
      </c>
      <c r="L37" s="27"/>
      <c r="M37" s="27"/>
      <c r="N37" s="28"/>
      <c r="O37" s="26">
        <v>4</v>
      </c>
      <c r="P37" s="27" t="s">
        <v>1277</v>
      </c>
      <c r="Q37" s="27">
        <v>5</v>
      </c>
      <c r="R37" s="27" t="s">
        <v>1277</v>
      </c>
      <c r="U37" s="2">
        <v>35</v>
      </c>
      <c r="V37" s="1" t="str">
        <f t="shared" si="107"/>
        <v>3</v>
      </c>
      <c r="W37" s="1">
        <v>53</v>
      </c>
      <c r="X37" s="30" t="s">
        <v>217</v>
      </c>
      <c r="Y37" s="3">
        <f>出怪成长!C36</f>
        <v>15</v>
      </c>
      <c r="Z37" s="31" t="str">
        <f t="shared" si="97"/>
        <v>1:2:1|1:6:1|2:12:1|2:6:1#2:6:1#3:6:1|3:6:1#2:6:1#3:6:1|3:7:1#2:7:1#3:7:1|4:9:2#2:9:1#3:9:1|4:11:2#2:11:1#3:11:1|1:14:1#2:14:1#3:14:1|2:25:1#2:16:1#3:25:1</v>
      </c>
      <c r="AA37" s="5">
        <f t="shared" ref="AA37:AA68" si="119">AA36</f>
        <v>1</v>
      </c>
      <c r="AB37" s="33">
        <f t="shared" si="108"/>
        <v>2</v>
      </c>
      <c r="AC37" s="6">
        <f t="shared" si="0"/>
        <v>1</v>
      </c>
      <c r="AD37" s="5">
        <f t="shared" si="18"/>
        <v>1</v>
      </c>
      <c r="AE37" s="33">
        <f t="shared" si="109"/>
        <v>6</v>
      </c>
      <c r="AF37" s="6">
        <f t="shared" si="20"/>
        <v>1</v>
      </c>
      <c r="AG37" s="7">
        <f t="shared" si="110"/>
        <v>4</v>
      </c>
      <c r="AH37" s="5">
        <f t="shared" si="21"/>
        <v>2</v>
      </c>
      <c r="AI37" s="33">
        <f t="shared" si="1"/>
        <v>12</v>
      </c>
      <c r="AJ37" s="6">
        <f t="shared" si="2"/>
        <v>1</v>
      </c>
      <c r="AK37" s="1">
        <f t="shared" si="111"/>
        <v>6</v>
      </c>
      <c r="AL37" s="5">
        <f t="shared" si="23"/>
        <v>2</v>
      </c>
      <c r="AM37" s="33">
        <f t="shared" si="68"/>
        <v>6</v>
      </c>
      <c r="AN37" s="6">
        <f t="shared" si="4"/>
        <v>1</v>
      </c>
      <c r="AO37" s="35">
        <v>2</v>
      </c>
      <c r="AP37" s="33">
        <f t="shared" si="69"/>
        <v>6</v>
      </c>
      <c r="AQ37" s="6">
        <f t="shared" si="50"/>
        <v>1</v>
      </c>
      <c r="AR37" s="35">
        <v>3</v>
      </c>
      <c r="AS37" s="33">
        <f t="shared" si="70"/>
        <v>6</v>
      </c>
      <c r="AT37" s="6">
        <f t="shared" si="51"/>
        <v>1</v>
      </c>
      <c r="AU37" s="1">
        <f t="shared" si="112"/>
        <v>8</v>
      </c>
      <c r="AV37" s="5">
        <f t="shared" si="72"/>
        <v>3</v>
      </c>
      <c r="AW37" s="33">
        <f t="shared" si="73"/>
        <v>6</v>
      </c>
      <c r="AX37" s="6">
        <f t="shared" si="6"/>
        <v>1</v>
      </c>
      <c r="AY37" s="35">
        <v>2</v>
      </c>
      <c r="AZ37" s="33">
        <f t="shared" si="74"/>
        <v>6</v>
      </c>
      <c r="BA37" s="6">
        <f t="shared" si="52"/>
        <v>1</v>
      </c>
      <c r="BB37" s="35">
        <v>3</v>
      </c>
      <c r="BC37" s="33">
        <f t="shared" si="75"/>
        <v>6</v>
      </c>
      <c r="BD37" s="6">
        <f t="shared" si="53"/>
        <v>1</v>
      </c>
      <c r="BE37" s="8">
        <f t="shared" si="113"/>
        <v>9</v>
      </c>
      <c r="BF37" s="5">
        <f t="shared" si="77"/>
        <v>3</v>
      </c>
      <c r="BG37" s="33">
        <f t="shared" si="78"/>
        <v>7</v>
      </c>
      <c r="BH37" s="6">
        <f t="shared" si="8"/>
        <v>1</v>
      </c>
      <c r="BI37" s="35">
        <v>2</v>
      </c>
      <c r="BJ37" s="33">
        <f t="shared" si="79"/>
        <v>7</v>
      </c>
      <c r="BK37" s="6">
        <f t="shared" si="54"/>
        <v>1</v>
      </c>
      <c r="BL37" s="35">
        <v>3</v>
      </c>
      <c r="BM37" s="33">
        <f t="shared" si="96"/>
        <v>7</v>
      </c>
      <c r="BN37" s="6">
        <f t="shared" si="55"/>
        <v>1</v>
      </c>
      <c r="BO37" s="8">
        <f t="shared" si="114"/>
        <v>11</v>
      </c>
      <c r="BP37" s="5">
        <f t="shared" si="56"/>
        <v>4</v>
      </c>
      <c r="BQ37" s="33">
        <f t="shared" si="81"/>
        <v>9</v>
      </c>
      <c r="BR37" s="6">
        <f t="shared" si="10"/>
        <v>2</v>
      </c>
      <c r="BS37" s="35">
        <v>2</v>
      </c>
      <c r="BT37" s="33">
        <f t="shared" si="82"/>
        <v>9</v>
      </c>
      <c r="BU37" s="6">
        <f t="shared" si="57"/>
        <v>1</v>
      </c>
      <c r="BV37" s="35">
        <v>3</v>
      </c>
      <c r="BW37" s="33">
        <f t="shared" si="83"/>
        <v>9</v>
      </c>
      <c r="BX37" s="6">
        <f t="shared" si="58"/>
        <v>1</v>
      </c>
      <c r="BY37" s="8">
        <f t="shared" si="115"/>
        <v>11</v>
      </c>
      <c r="BZ37" s="5">
        <f t="shared" si="59"/>
        <v>4</v>
      </c>
      <c r="CA37" s="33">
        <f t="shared" si="85"/>
        <v>11</v>
      </c>
      <c r="CB37" s="6">
        <f t="shared" si="12"/>
        <v>2</v>
      </c>
      <c r="CC37" s="35">
        <v>2</v>
      </c>
      <c r="CD37" s="33">
        <f t="shared" si="86"/>
        <v>11</v>
      </c>
      <c r="CE37" s="6">
        <f t="shared" si="60"/>
        <v>1</v>
      </c>
      <c r="CF37" s="35">
        <v>3</v>
      </c>
      <c r="CG37" s="33">
        <f t="shared" si="87"/>
        <v>11</v>
      </c>
      <c r="CH37" s="6">
        <f t="shared" si="61"/>
        <v>1</v>
      </c>
      <c r="CI37" s="8">
        <f t="shared" si="116"/>
        <v>11</v>
      </c>
      <c r="CJ37" s="15">
        <f t="shared" si="33"/>
        <v>1</v>
      </c>
      <c r="CK37" s="33">
        <f t="shared" si="89"/>
        <v>14</v>
      </c>
      <c r="CL37" s="6">
        <f t="shared" si="14"/>
        <v>1</v>
      </c>
      <c r="CM37" s="35">
        <v>2</v>
      </c>
      <c r="CN37" s="33">
        <f t="shared" si="90"/>
        <v>14</v>
      </c>
      <c r="CO37" s="6">
        <f t="shared" si="62"/>
        <v>1</v>
      </c>
      <c r="CP37" s="35">
        <v>3</v>
      </c>
      <c r="CQ37" s="33">
        <f t="shared" si="91"/>
        <v>14</v>
      </c>
      <c r="CR37" s="6">
        <f t="shared" si="63"/>
        <v>1</v>
      </c>
      <c r="CS37" s="8">
        <f t="shared" si="117"/>
        <v>11</v>
      </c>
      <c r="CT37" s="15">
        <f t="shared" si="35"/>
        <v>2</v>
      </c>
      <c r="CU37" s="32">
        <f t="shared" ref="CU37:CU68" si="120">INT(CK37+DC37)</f>
        <v>25</v>
      </c>
      <c r="CV37" s="6">
        <f t="shared" si="40"/>
        <v>1</v>
      </c>
      <c r="CW37" s="35">
        <v>2</v>
      </c>
      <c r="CX37" s="33">
        <f t="shared" si="93"/>
        <v>16</v>
      </c>
      <c r="CY37" s="6">
        <f t="shared" si="64"/>
        <v>1</v>
      </c>
      <c r="CZ37" s="35">
        <v>3</v>
      </c>
      <c r="DA37" s="33">
        <f t="shared" si="94"/>
        <v>25</v>
      </c>
      <c r="DB37" s="6">
        <f t="shared" si="65"/>
        <v>1</v>
      </c>
      <c r="DC37" s="1">
        <f t="shared" si="118"/>
        <v>11</v>
      </c>
    </row>
    <row r="38" s="2" customFormat="1" spans="5:107">
      <c r="E38" s="25" t="s">
        <v>1011</v>
      </c>
      <c r="F38" s="26">
        <v>1</v>
      </c>
      <c r="G38" s="27" t="s">
        <v>1276</v>
      </c>
      <c r="H38" s="27">
        <v>2</v>
      </c>
      <c r="I38" s="27" t="s">
        <v>1276</v>
      </c>
      <c r="J38" s="27">
        <v>3</v>
      </c>
      <c r="K38" s="27" t="s">
        <v>1276</v>
      </c>
      <c r="L38" s="27">
        <v>4</v>
      </c>
      <c r="M38" s="27" t="s">
        <v>1276</v>
      </c>
      <c r="N38" s="28"/>
      <c r="O38" s="26">
        <v>5</v>
      </c>
      <c r="P38" s="27" t="s">
        <v>1277</v>
      </c>
      <c r="Q38" s="27">
        <v>6</v>
      </c>
      <c r="R38" s="27" t="s">
        <v>1277</v>
      </c>
      <c r="U38" s="2">
        <v>36</v>
      </c>
      <c r="V38" s="1" t="str">
        <f t="shared" si="107"/>
        <v>4</v>
      </c>
      <c r="W38" s="1">
        <v>54</v>
      </c>
      <c r="X38" s="30" t="s">
        <v>217</v>
      </c>
      <c r="Y38" s="3">
        <f>出怪成长!C37</f>
        <v>15</v>
      </c>
      <c r="Z38" s="31" t="str">
        <f t="shared" si="97"/>
        <v>1:2:1|1:6:1|2:12:1|2:6:1#2:6:1#3:6:1|3:6:1#2:6:1#3:6:1|3:7:1#2:7:1#3:7:1|4:9:1#2:9:1#3:9:1|4:11:1#2:11:1#3:11:1|1:14:1#2:14:1#3:14:1|2:25:1#2:16:1#3:25:1</v>
      </c>
      <c r="AA38" s="5">
        <f t="shared" si="119"/>
        <v>1</v>
      </c>
      <c r="AB38" s="33">
        <f t="shared" si="108"/>
        <v>2</v>
      </c>
      <c r="AC38" s="6">
        <f t="shared" si="0"/>
        <v>1</v>
      </c>
      <c r="AD38" s="5">
        <f t="shared" si="18"/>
        <v>1</v>
      </c>
      <c r="AE38" s="33">
        <f t="shared" si="109"/>
        <v>6</v>
      </c>
      <c r="AF38" s="6">
        <f t="shared" si="20"/>
        <v>1</v>
      </c>
      <c r="AG38" s="7">
        <f t="shared" si="110"/>
        <v>4</v>
      </c>
      <c r="AH38" s="5">
        <f t="shared" si="21"/>
        <v>2</v>
      </c>
      <c r="AI38" s="33">
        <f t="shared" si="1"/>
        <v>12</v>
      </c>
      <c r="AJ38" s="6">
        <f t="shared" si="2"/>
        <v>1</v>
      </c>
      <c r="AK38" s="1">
        <f t="shared" si="111"/>
        <v>6</v>
      </c>
      <c r="AL38" s="5">
        <f t="shared" si="23"/>
        <v>2</v>
      </c>
      <c r="AM38" s="33">
        <f t="shared" si="68"/>
        <v>6</v>
      </c>
      <c r="AN38" s="6">
        <f t="shared" si="4"/>
        <v>1</v>
      </c>
      <c r="AO38" s="35">
        <v>2</v>
      </c>
      <c r="AP38" s="33">
        <f t="shared" si="69"/>
        <v>6</v>
      </c>
      <c r="AQ38" s="6">
        <f t="shared" si="50"/>
        <v>1</v>
      </c>
      <c r="AR38" s="35">
        <v>3</v>
      </c>
      <c r="AS38" s="33">
        <f t="shared" si="70"/>
        <v>6</v>
      </c>
      <c r="AT38" s="6">
        <f t="shared" si="51"/>
        <v>1</v>
      </c>
      <c r="AU38" s="1">
        <f t="shared" si="112"/>
        <v>8</v>
      </c>
      <c r="AV38" s="5">
        <f t="shared" si="72"/>
        <v>3</v>
      </c>
      <c r="AW38" s="33">
        <f t="shared" si="73"/>
        <v>6</v>
      </c>
      <c r="AX38" s="6">
        <f t="shared" si="6"/>
        <v>1</v>
      </c>
      <c r="AY38" s="35">
        <v>2</v>
      </c>
      <c r="AZ38" s="33">
        <f t="shared" si="74"/>
        <v>6</v>
      </c>
      <c r="BA38" s="6">
        <f t="shared" si="52"/>
        <v>1</v>
      </c>
      <c r="BB38" s="35">
        <v>3</v>
      </c>
      <c r="BC38" s="33">
        <f t="shared" si="75"/>
        <v>6</v>
      </c>
      <c r="BD38" s="6">
        <f t="shared" si="53"/>
        <v>1</v>
      </c>
      <c r="BE38" s="8">
        <f t="shared" si="113"/>
        <v>9</v>
      </c>
      <c r="BF38" s="5">
        <f t="shared" si="77"/>
        <v>3</v>
      </c>
      <c r="BG38" s="33">
        <f t="shared" si="78"/>
        <v>7</v>
      </c>
      <c r="BH38" s="6">
        <f t="shared" si="8"/>
        <v>1</v>
      </c>
      <c r="BI38" s="35">
        <v>2</v>
      </c>
      <c r="BJ38" s="33">
        <f t="shared" si="79"/>
        <v>7</v>
      </c>
      <c r="BK38" s="6">
        <f t="shared" si="54"/>
        <v>1</v>
      </c>
      <c r="BL38" s="35">
        <v>3</v>
      </c>
      <c r="BM38" s="33">
        <f t="shared" si="96"/>
        <v>7</v>
      </c>
      <c r="BN38" s="6">
        <f t="shared" si="55"/>
        <v>1</v>
      </c>
      <c r="BO38" s="8">
        <f t="shared" si="114"/>
        <v>11</v>
      </c>
      <c r="BP38" s="5">
        <f t="shared" si="56"/>
        <v>4</v>
      </c>
      <c r="BQ38" s="33">
        <f t="shared" si="81"/>
        <v>9</v>
      </c>
      <c r="BR38" s="6">
        <f t="shared" si="10"/>
        <v>1</v>
      </c>
      <c r="BS38" s="35">
        <v>2</v>
      </c>
      <c r="BT38" s="33">
        <f t="shared" si="82"/>
        <v>9</v>
      </c>
      <c r="BU38" s="6">
        <f t="shared" si="57"/>
        <v>1</v>
      </c>
      <c r="BV38" s="35">
        <v>3</v>
      </c>
      <c r="BW38" s="33">
        <f t="shared" si="83"/>
        <v>9</v>
      </c>
      <c r="BX38" s="6">
        <f t="shared" si="58"/>
        <v>1</v>
      </c>
      <c r="BY38" s="8">
        <f t="shared" si="115"/>
        <v>11</v>
      </c>
      <c r="BZ38" s="5">
        <f t="shared" si="59"/>
        <v>4</v>
      </c>
      <c r="CA38" s="33">
        <f t="shared" si="85"/>
        <v>11</v>
      </c>
      <c r="CB38" s="6">
        <f t="shared" si="12"/>
        <v>1</v>
      </c>
      <c r="CC38" s="35">
        <v>2</v>
      </c>
      <c r="CD38" s="33">
        <f t="shared" si="86"/>
        <v>11</v>
      </c>
      <c r="CE38" s="6">
        <f t="shared" si="60"/>
        <v>1</v>
      </c>
      <c r="CF38" s="35">
        <v>3</v>
      </c>
      <c r="CG38" s="33">
        <f t="shared" si="87"/>
        <v>11</v>
      </c>
      <c r="CH38" s="6">
        <f t="shared" si="61"/>
        <v>1</v>
      </c>
      <c r="CI38" s="8">
        <f t="shared" si="116"/>
        <v>11</v>
      </c>
      <c r="CJ38" s="15">
        <f t="shared" si="33"/>
        <v>1</v>
      </c>
      <c r="CK38" s="33">
        <f t="shared" si="89"/>
        <v>14</v>
      </c>
      <c r="CL38" s="6">
        <f t="shared" si="14"/>
        <v>1</v>
      </c>
      <c r="CM38" s="35">
        <v>2</v>
      </c>
      <c r="CN38" s="33">
        <f t="shared" si="90"/>
        <v>14</v>
      </c>
      <c r="CO38" s="6">
        <f t="shared" si="62"/>
        <v>1</v>
      </c>
      <c r="CP38" s="35">
        <v>3</v>
      </c>
      <c r="CQ38" s="33">
        <f t="shared" si="91"/>
        <v>14</v>
      </c>
      <c r="CR38" s="6">
        <f t="shared" si="63"/>
        <v>1</v>
      </c>
      <c r="CS38" s="8">
        <f t="shared" si="117"/>
        <v>11</v>
      </c>
      <c r="CT38" s="15">
        <f t="shared" si="35"/>
        <v>2</v>
      </c>
      <c r="CU38" s="33">
        <f t="shared" si="120"/>
        <v>25</v>
      </c>
      <c r="CV38" s="6">
        <f t="shared" si="40"/>
        <v>1</v>
      </c>
      <c r="CW38" s="35">
        <v>2</v>
      </c>
      <c r="CX38" s="33">
        <f t="shared" si="93"/>
        <v>16</v>
      </c>
      <c r="CY38" s="6">
        <f t="shared" si="64"/>
        <v>1</v>
      </c>
      <c r="CZ38" s="35">
        <v>3</v>
      </c>
      <c r="DA38" s="33">
        <f t="shared" si="94"/>
        <v>25</v>
      </c>
      <c r="DB38" s="6">
        <f t="shared" si="65"/>
        <v>1</v>
      </c>
      <c r="DC38" s="1">
        <f t="shared" si="118"/>
        <v>11</v>
      </c>
    </row>
    <row r="39" s="2" customFormat="1" spans="5:107">
      <c r="E39" s="25" t="s">
        <v>1019</v>
      </c>
      <c r="F39" s="26">
        <v>1</v>
      </c>
      <c r="G39" s="27" t="s">
        <v>1276</v>
      </c>
      <c r="H39" s="27">
        <v>2</v>
      </c>
      <c r="I39" s="27" t="s">
        <v>1276</v>
      </c>
      <c r="J39" s="27">
        <v>3</v>
      </c>
      <c r="K39" s="27" t="s">
        <v>1276</v>
      </c>
      <c r="L39" s="27"/>
      <c r="M39" s="27"/>
      <c r="N39" s="28"/>
      <c r="O39" s="26">
        <v>4</v>
      </c>
      <c r="P39" s="27" t="s">
        <v>1277</v>
      </c>
      <c r="Q39" s="27">
        <v>5</v>
      </c>
      <c r="R39" s="27" t="s">
        <v>1277</v>
      </c>
      <c r="U39" s="2">
        <v>37</v>
      </c>
      <c r="V39" s="1" t="str">
        <f t="shared" si="107"/>
        <v>5</v>
      </c>
      <c r="W39" s="1">
        <v>55</v>
      </c>
      <c r="X39" s="30" t="s">
        <v>217</v>
      </c>
      <c r="Y39" s="3">
        <f>出怪成长!C38</f>
        <v>15</v>
      </c>
      <c r="Z39" s="31" t="str">
        <f t="shared" si="97"/>
        <v>1:3:1|1:7:1|2:13:1|2:7:1#2:7:1#3:7:1|3:6:1#2:6:1#3:6:1|3:7:1#2:7:1#3:7:1|4:9:2#2:9:1#3:9:1|4:11:2#2:11:1#3:11:1|1:14:1#2:14:1#3:14:1|2:25:1#2:16:1#3:25:1</v>
      </c>
      <c r="AA39" s="5">
        <f t="shared" si="119"/>
        <v>1</v>
      </c>
      <c r="AB39" s="33">
        <f t="shared" si="108"/>
        <v>3</v>
      </c>
      <c r="AC39" s="6">
        <f t="shared" si="0"/>
        <v>1</v>
      </c>
      <c r="AD39" s="5">
        <f t="shared" si="18"/>
        <v>1</v>
      </c>
      <c r="AE39" s="33">
        <f t="shared" si="109"/>
        <v>7</v>
      </c>
      <c r="AF39" s="6">
        <f t="shared" si="20"/>
        <v>1</v>
      </c>
      <c r="AG39" s="7">
        <f t="shared" si="110"/>
        <v>4</v>
      </c>
      <c r="AH39" s="5">
        <f t="shared" si="21"/>
        <v>2</v>
      </c>
      <c r="AI39" s="33">
        <f t="shared" si="1"/>
        <v>13</v>
      </c>
      <c r="AJ39" s="6">
        <f t="shared" si="2"/>
        <v>1</v>
      </c>
      <c r="AK39" s="1">
        <f t="shared" si="111"/>
        <v>6</v>
      </c>
      <c r="AL39" s="5">
        <f t="shared" si="23"/>
        <v>2</v>
      </c>
      <c r="AM39" s="33">
        <f t="shared" si="68"/>
        <v>7</v>
      </c>
      <c r="AN39" s="6">
        <f t="shared" si="4"/>
        <v>1</v>
      </c>
      <c r="AO39" s="35">
        <v>2</v>
      </c>
      <c r="AP39" s="33">
        <f t="shared" si="69"/>
        <v>7</v>
      </c>
      <c r="AQ39" s="6">
        <f t="shared" si="50"/>
        <v>1</v>
      </c>
      <c r="AR39" s="35">
        <v>3</v>
      </c>
      <c r="AS39" s="33">
        <f t="shared" si="70"/>
        <v>7</v>
      </c>
      <c r="AT39" s="6">
        <f t="shared" si="51"/>
        <v>1</v>
      </c>
      <c r="AU39" s="1">
        <f t="shared" si="112"/>
        <v>8</v>
      </c>
      <c r="AV39" s="5">
        <f t="shared" si="72"/>
        <v>3</v>
      </c>
      <c r="AW39" s="33">
        <f t="shared" si="73"/>
        <v>6</v>
      </c>
      <c r="AX39" s="6">
        <f t="shared" si="6"/>
        <v>1</v>
      </c>
      <c r="AY39" s="35">
        <v>2</v>
      </c>
      <c r="AZ39" s="33">
        <f t="shared" si="74"/>
        <v>6</v>
      </c>
      <c r="BA39" s="6">
        <f t="shared" si="52"/>
        <v>1</v>
      </c>
      <c r="BB39" s="35">
        <v>3</v>
      </c>
      <c r="BC39" s="33">
        <f t="shared" si="75"/>
        <v>6</v>
      </c>
      <c r="BD39" s="6">
        <f t="shared" si="53"/>
        <v>1</v>
      </c>
      <c r="BE39" s="8">
        <f t="shared" si="113"/>
        <v>9</v>
      </c>
      <c r="BF39" s="5">
        <f t="shared" si="77"/>
        <v>3</v>
      </c>
      <c r="BG39" s="33">
        <f t="shared" si="78"/>
        <v>7</v>
      </c>
      <c r="BH39" s="6">
        <f t="shared" si="8"/>
        <v>1</v>
      </c>
      <c r="BI39" s="35">
        <v>2</v>
      </c>
      <c r="BJ39" s="33">
        <f t="shared" si="79"/>
        <v>7</v>
      </c>
      <c r="BK39" s="6">
        <f t="shared" si="54"/>
        <v>1</v>
      </c>
      <c r="BL39" s="35">
        <v>3</v>
      </c>
      <c r="BM39" s="33">
        <f t="shared" si="96"/>
        <v>7</v>
      </c>
      <c r="BN39" s="6">
        <f t="shared" si="55"/>
        <v>1</v>
      </c>
      <c r="BO39" s="8">
        <f t="shared" si="114"/>
        <v>11</v>
      </c>
      <c r="BP39" s="5">
        <f t="shared" si="56"/>
        <v>4</v>
      </c>
      <c r="BQ39" s="33">
        <f t="shared" si="81"/>
        <v>9</v>
      </c>
      <c r="BR39" s="6">
        <f t="shared" si="10"/>
        <v>2</v>
      </c>
      <c r="BS39" s="35">
        <v>2</v>
      </c>
      <c r="BT39" s="33">
        <f t="shared" si="82"/>
        <v>9</v>
      </c>
      <c r="BU39" s="6">
        <f t="shared" si="57"/>
        <v>1</v>
      </c>
      <c r="BV39" s="35">
        <v>3</v>
      </c>
      <c r="BW39" s="33">
        <f t="shared" si="83"/>
        <v>9</v>
      </c>
      <c r="BX39" s="6">
        <f t="shared" si="58"/>
        <v>1</v>
      </c>
      <c r="BY39" s="8">
        <f t="shared" si="115"/>
        <v>11</v>
      </c>
      <c r="BZ39" s="5">
        <f t="shared" si="59"/>
        <v>4</v>
      </c>
      <c r="CA39" s="33">
        <f t="shared" si="85"/>
        <v>11</v>
      </c>
      <c r="CB39" s="6">
        <f t="shared" si="12"/>
        <v>2</v>
      </c>
      <c r="CC39" s="35">
        <v>2</v>
      </c>
      <c r="CD39" s="33">
        <f t="shared" si="86"/>
        <v>11</v>
      </c>
      <c r="CE39" s="6">
        <f t="shared" si="60"/>
        <v>1</v>
      </c>
      <c r="CF39" s="35">
        <v>3</v>
      </c>
      <c r="CG39" s="33">
        <f t="shared" si="87"/>
        <v>11</v>
      </c>
      <c r="CH39" s="6">
        <f t="shared" si="61"/>
        <v>1</v>
      </c>
      <c r="CI39" s="8">
        <f t="shared" si="116"/>
        <v>11</v>
      </c>
      <c r="CJ39" s="15">
        <f t="shared" si="33"/>
        <v>1</v>
      </c>
      <c r="CK39" s="33">
        <f t="shared" si="89"/>
        <v>14</v>
      </c>
      <c r="CL39" s="6">
        <f t="shared" si="14"/>
        <v>1</v>
      </c>
      <c r="CM39" s="35">
        <v>2</v>
      </c>
      <c r="CN39" s="33">
        <f t="shared" si="90"/>
        <v>14</v>
      </c>
      <c r="CO39" s="6">
        <f t="shared" si="62"/>
        <v>1</v>
      </c>
      <c r="CP39" s="35">
        <v>3</v>
      </c>
      <c r="CQ39" s="33">
        <f t="shared" si="91"/>
        <v>14</v>
      </c>
      <c r="CR39" s="6">
        <f t="shared" si="63"/>
        <v>1</v>
      </c>
      <c r="CS39" s="8">
        <f t="shared" si="117"/>
        <v>11</v>
      </c>
      <c r="CT39" s="15">
        <f t="shared" si="35"/>
        <v>2</v>
      </c>
      <c r="CU39" s="32">
        <f t="shared" si="120"/>
        <v>25</v>
      </c>
      <c r="CV39" s="6">
        <f t="shared" si="40"/>
        <v>1</v>
      </c>
      <c r="CW39" s="35">
        <v>2</v>
      </c>
      <c r="CX39" s="33">
        <f t="shared" si="93"/>
        <v>16</v>
      </c>
      <c r="CY39" s="6">
        <f t="shared" si="64"/>
        <v>1</v>
      </c>
      <c r="CZ39" s="35">
        <v>3</v>
      </c>
      <c r="DA39" s="33">
        <f t="shared" si="94"/>
        <v>25</v>
      </c>
      <c r="DB39" s="6">
        <f t="shared" si="65"/>
        <v>1</v>
      </c>
      <c r="DC39" s="1">
        <f t="shared" si="118"/>
        <v>11</v>
      </c>
    </row>
    <row r="40" s="2" customFormat="1" spans="5:107">
      <c r="E40" s="25" t="s">
        <v>1026</v>
      </c>
      <c r="F40" s="26">
        <v>1</v>
      </c>
      <c r="G40" s="27" t="s">
        <v>1276</v>
      </c>
      <c r="H40" s="27">
        <v>2</v>
      </c>
      <c r="I40" s="27" t="s">
        <v>1276</v>
      </c>
      <c r="J40" s="27">
        <v>3</v>
      </c>
      <c r="K40" s="27" t="s">
        <v>1276</v>
      </c>
      <c r="L40" s="27"/>
      <c r="M40" s="27"/>
      <c r="N40" s="28"/>
      <c r="O40" s="26">
        <v>4</v>
      </c>
      <c r="P40" s="27" t="s">
        <v>1277</v>
      </c>
      <c r="Q40" s="27">
        <v>5</v>
      </c>
      <c r="R40" s="27" t="s">
        <v>1277</v>
      </c>
      <c r="U40" s="2">
        <v>38</v>
      </c>
      <c r="V40" s="1" t="str">
        <f t="shared" si="107"/>
        <v>6</v>
      </c>
      <c r="W40" s="1">
        <v>56</v>
      </c>
      <c r="X40" s="30" t="s">
        <v>217</v>
      </c>
      <c r="Y40" s="3">
        <f>出怪成长!C39</f>
        <v>15</v>
      </c>
      <c r="Z40" s="31" t="str">
        <f t="shared" si="97"/>
        <v>1:3:1|1:7:1|2:13:1|2:7:1#2:7:1#3:7:1|3:6:1#2:6:1#3:6:1|3:7:1#2:7:1#3:7:1|4:9:2#2:9:1#3:9:1|4:11:2#2:11:1#3:11:1|1:14:1#2:14:1#3:14:1|2:25:1#2:16:1#3:25:1</v>
      </c>
      <c r="AA40" s="5">
        <f t="shared" si="119"/>
        <v>1</v>
      </c>
      <c r="AB40" s="33">
        <f t="shared" si="108"/>
        <v>3</v>
      </c>
      <c r="AC40" s="6">
        <f t="shared" si="0"/>
        <v>1</v>
      </c>
      <c r="AD40" s="5">
        <f t="shared" si="18"/>
        <v>1</v>
      </c>
      <c r="AE40" s="33">
        <f t="shared" si="109"/>
        <v>7</v>
      </c>
      <c r="AF40" s="6">
        <f t="shared" si="20"/>
        <v>1</v>
      </c>
      <c r="AG40" s="7">
        <f t="shared" si="110"/>
        <v>4</v>
      </c>
      <c r="AH40" s="5">
        <f t="shared" si="21"/>
        <v>2</v>
      </c>
      <c r="AI40" s="33">
        <f t="shared" si="1"/>
        <v>13</v>
      </c>
      <c r="AJ40" s="6">
        <f t="shared" si="2"/>
        <v>1</v>
      </c>
      <c r="AK40" s="1">
        <f t="shared" si="111"/>
        <v>6</v>
      </c>
      <c r="AL40" s="5">
        <f t="shared" si="23"/>
        <v>2</v>
      </c>
      <c r="AM40" s="33">
        <f t="shared" si="68"/>
        <v>7</v>
      </c>
      <c r="AN40" s="6">
        <f t="shared" si="4"/>
        <v>1</v>
      </c>
      <c r="AO40" s="35">
        <v>2</v>
      </c>
      <c r="AP40" s="33">
        <f t="shared" si="69"/>
        <v>7</v>
      </c>
      <c r="AQ40" s="6">
        <f t="shared" si="50"/>
        <v>1</v>
      </c>
      <c r="AR40" s="35">
        <v>3</v>
      </c>
      <c r="AS40" s="33">
        <f t="shared" si="70"/>
        <v>7</v>
      </c>
      <c r="AT40" s="6">
        <f t="shared" si="51"/>
        <v>1</v>
      </c>
      <c r="AU40" s="1">
        <f t="shared" si="112"/>
        <v>8</v>
      </c>
      <c r="AV40" s="5">
        <f t="shared" si="72"/>
        <v>3</v>
      </c>
      <c r="AW40" s="33">
        <f t="shared" si="73"/>
        <v>6</v>
      </c>
      <c r="AX40" s="6">
        <f t="shared" si="6"/>
        <v>1</v>
      </c>
      <c r="AY40" s="35">
        <v>2</v>
      </c>
      <c r="AZ40" s="33">
        <f t="shared" si="74"/>
        <v>6</v>
      </c>
      <c r="BA40" s="6">
        <f t="shared" si="52"/>
        <v>1</v>
      </c>
      <c r="BB40" s="35">
        <v>3</v>
      </c>
      <c r="BC40" s="33">
        <f t="shared" si="75"/>
        <v>6</v>
      </c>
      <c r="BD40" s="6">
        <f t="shared" si="53"/>
        <v>1</v>
      </c>
      <c r="BE40" s="8">
        <f t="shared" si="113"/>
        <v>9</v>
      </c>
      <c r="BF40" s="5">
        <f t="shared" si="77"/>
        <v>3</v>
      </c>
      <c r="BG40" s="33">
        <f t="shared" si="78"/>
        <v>7</v>
      </c>
      <c r="BH40" s="6">
        <f t="shared" si="8"/>
        <v>1</v>
      </c>
      <c r="BI40" s="35">
        <v>2</v>
      </c>
      <c r="BJ40" s="33">
        <f t="shared" si="79"/>
        <v>7</v>
      </c>
      <c r="BK40" s="6">
        <f t="shared" si="54"/>
        <v>1</v>
      </c>
      <c r="BL40" s="35">
        <v>3</v>
      </c>
      <c r="BM40" s="33">
        <f t="shared" si="96"/>
        <v>7</v>
      </c>
      <c r="BN40" s="6">
        <f t="shared" si="55"/>
        <v>1</v>
      </c>
      <c r="BO40" s="8">
        <f t="shared" si="114"/>
        <v>11</v>
      </c>
      <c r="BP40" s="5">
        <f t="shared" si="56"/>
        <v>4</v>
      </c>
      <c r="BQ40" s="33">
        <f t="shared" si="81"/>
        <v>9</v>
      </c>
      <c r="BR40" s="6">
        <f t="shared" si="10"/>
        <v>2</v>
      </c>
      <c r="BS40" s="35">
        <v>2</v>
      </c>
      <c r="BT40" s="33">
        <f t="shared" si="82"/>
        <v>9</v>
      </c>
      <c r="BU40" s="6">
        <f t="shared" si="57"/>
        <v>1</v>
      </c>
      <c r="BV40" s="35">
        <v>3</v>
      </c>
      <c r="BW40" s="33">
        <f t="shared" si="83"/>
        <v>9</v>
      </c>
      <c r="BX40" s="6">
        <f t="shared" si="58"/>
        <v>1</v>
      </c>
      <c r="BY40" s="8">
        <f t="shared" si="115"/>
        <v>11</v>
      </c>
      <c r="BZ40" s="5">
        <f t="shared" si="59"/>
        <v>4</v>
      </c>
      <c r="CA40" s="33">
        <f t="shared" si="85"/>
        <v>11</v>
      </c>
      <c r="CB40" s="6">
        <f t="shared" si="12"/>
        <v>2</v>
      </c>
      <c r="CC40" s="35">
        <v>2</v>
      </c>
      <c r="CD40" s="33">
        <f t="shared" si="86"/>
        <v>11</v>
      </c>
      <c r="CE40" s="6">
        <f t="shared" si="60"/>
        <v>1</v>
      </c>
      <c r="CF40" s="35">
        <v>3</v>
      </c>
      <c r="CG40" s="33">
        <f t="shared" si="87"/>
        <v>11</v>
      </c>
      <c r="CH40" s="6">
        <f t="shared" si="61"/>
        <v>1</v>
      </c>
      <c r="CI40" s="8">
        <f t="shared" si="116"/>
        <v>11</v>
      </c>
      <c r="CJ40" s="15">
        <f t="shared" si="33"/>
        <v>1</v>
      </c>
      <c r="CK40" s="33">
        <f t="shared" si="89"/>
        <v>14</v>
      </c>
      <c r="CL40" s="6">
        <f t="shared" si="14"/>
        <v>1</v>
      </c>
      <c r="CM40" s="35">
        <v>2</v>
      </c>
      <c r="CN40" s="33">
        <f t="shared" si="90"/>
        <v>14</v>
      </c>
      <c r="CO40" s="6">
        <f t="shared" si="62"/>
        <v>1</v>
      </c>
      <c r="CP40" s="35">
        <v>3</v>
      </c>
      <c r="CQ40" s="33">
        <f t="shared" si="91"/>
        <v>14</v>
      </c>
      <c r="CR40" s="6">
        <f t="shared" si="63"/>
        <v>1</v>
      </c>
      <c r="CS40" s="8">
        <f t="shared" si="117"/>
        <v>11</v>
      </c>
      <c r="CT40" s="15">
        <f t="shared" si="35"/>
        <v>2</v>
      </c>
      <c r="CU40" s="33">
        <f t="shared" si="120"/>
        <v>25</v>
      </c>
      <c r="CV40" s="6">
        <f t="shared" si="40"/>
        <v>1</v>
      </c>
      <c r="CW40" s="35">
        <v>2</v>
      </c>
      <c r="CX40" s="33">
        <f t="shared" si="93"/>
        <v>16</v>
      </c>
      <c r="CY40" s="6">
        <f t="shared" si="64"/>
        <v>1</v>
      </c>
      <c r="CZ40" s="35">
        <v>3</v>
      </c>
      <c r="DA40" s="33">
        <f t="shared" si="94"/>
        <v>25</v>
      </c>
      <c r="DB40" s="6">
        <f t="shared" si="65"/>
        <v>1</v>
      </c>
      <c r="DC40" s="1">
        <f t="shared" si="118"/>
        <v>11</v>
      </c>
    </row>
    <row r="41" s="2" customFormat="1" spans="5:107">
      <c r="E41" s="25" t="s">
        <v>1034</v>
      </c>
      <c r="F41" s="26">
        <v>1</v>
      </c>
      <c r="G41" s="27" t="s">
        <v>1276</v>
      </c>
      <c r="H41" s="27">
        <v>2</v>
      </c>
      <c r="I41" s="27" t="s">
        <v>1276</v>
      </c>
      <c r="J41" s="27">
        <v>3</v>
      </c>
      <c r="K41" s="27" t="s">
        <v>1276</v>
      </c>
      <c r="L41" s="27"/>
      <c r="M41" s="27"/>
      <c r="N41" s="28"/>
      <c r="O41" s="26">
        <v>4</v>
      </c>
      <c r="P41" s="27" t="s">
        <v>1277</v>
      </c>
      <c r="Q41" s="27">
        <v>5</v>
      </c>
      <c r="R41" s="27" t="s">
        <v>1277</v>
      </c>
      <c r="U41" s="2">
        <v>39</v>
      </c>
      <c r="V41" s="1" t="str">
        <f t="shared" si="107"/>
        <v>7</v>
      </c>
      <c r="W41" s="1">
        <v>57</v>
      </c>
      <c r="X41" s="30" t="s">
        <v>217</v>
      </c>
      <c r="Y41" s="3">
        <f>出怪成长!C40</f>
        <v>15</v>
      </c>
      <c r="Z41" s="31" t="str">
        <f t="shared" si="97"/>
        <v>1:3:1|1:7:1|2:13:1|2:7:1#2:7:1#3:7:1|3:6:1#2:6:1#3:6:1|3:7:1#2:7:1#3:7:1|4:9:2#2:9:1#3:9:1|4:11:2#2:11:1#3:11:1|1:14:1#2:14:1#3:14:1|2:25:1#2:16:1#3:25:1</v>
      </c>
      <c r="AA41" s="5">
        <f t="shared" si="119"/>
        <v>1</v>
      </c>
      <c r="AB41" s="33">
        <f t="shared" si="108"/>
        <v>3</v>
      </c>
      <c r="AC41" s="6">
        <f t="shared" si="0"/>
        <v>1</v>
      </c>
      <c r="AD41" s="5">
        <f t="shared" si="18"/>
        <v>1</v>
      </c>
      <c r="AE41" s="33">
        <f t="shared" si="109"/>
        <v>7</v>
      </c>
      <c r="AF41" s="6">
        <f t="shared" si="20"/>
        <v>1</v>
      </c>
      <c r="AG41" s="7">
        <f t="shared" si="110"/>
        <v>4</v>
      </c>
      <c r="AH41" s="5">
        <f t="shared" si="21"/>
        <v>2</v>
      </c>
      <c r="AI41" s="33">
        <f t="shared" si="1"/>
        <v>13</v>
      </c>
      <c r="AJ41" s="6">
        <f t="shared" si="2"/>
        <v>1</v>
      </c>
      <c r="AK41" s="1">
        <f t="shared" si="111"/>
        <v>6</v>
      </c>
      <c r="AL41" s="5">
        <f t="shared" si="23"/>
        <v>2</v>
      </c>
      <c r="AM41" s="33">
        <f t="shared" si="68"/>
        <v>7</v>
      </c>
      <c r="AN41" s="6">
        <f t="shared" si="4"/>
        <v>1</v>
      </c>
      <c r="AO41" s="35">
        <v>2</v>
      </c>
      <c r="AP41" s="33">
        <f t="shared" si="69"/>
        <v>7</v>
      </c>
      <c r="AQ41" s="6">
        <f t="shared" si="50"/>
        <v>1</v>
      </c>
      <c r="AR41" s="35">
        <v>3</v>
      </c>
      <c r="AS41" s="33">
        <f t="shared" si="70"/>
        <v>7</v>
      </c>
      <c r="AT41" s="6">
        <f t="shared" si="51"/>
        <v>1</v>
      </c>
      <c r="AU41" s="1">
        <f t="shared" si="112"/>
        <v>8</v>
      </c>
      <c r="AV41" s="5">
        <f t="shared" si="72"/>
        <v>3</v>
      </c>
      <c r="AW41" s="33">
        <f t="shared" si="73"/>
        <v>6</v>
      </c>
      <c r="AX41" s="6">
        <f t="shared" si="6"/>
        <v>1</v>
      </c>
      <c r="AY41" s="35">
        <v>2</v>
      </c>
      <c r="AZ41" s="33">
        <f t="shared" si="74"/>
        <v>6</v>
      </c>
      <c r="BA41" s="6">
        <f t="shared" si="52"/>
        <v>1</v>
      </c>
      <c r="BB41" s="35">
        <v>3</v>
      </c>
      <c r="BC41" s="33">
        <f t="shared" si="75"/>
        <v>6</v>
      </c>
      <c r="BD41" s="6">
        <f t="shared" si="53"/>
        <v>1</v>
      </c>
      <c r="BE41" s="8">
        <f t="shared" si="113"/>
        <v>9</v>
      </c>
      <c r="BF41" s="5">
        <f t="shared" si="77"/>
        <v>3</v>
      </c>
      <c r="BG41" s="33">
        <f t="shared" si="78"/>
        <v>7</v>
      </c>
      <c r="BH41" s="6">
        <f t="shared" si="8"/>
        <v>1</v>
      </c>
      <c r="BI41" s="35">
        <v>2</v>
      </c>
      <c r="BJ41" s="33">
        <f t="shared" si="79"/>
        <v>7</v>
      </c>
      <c r="BK41" s="6">
        <f t="shared" si="54"/>
        <v>1</v>
      </c>
      <c r="BL41" s="35">
        <v>3</v>
      </c>
      <c r="BM41" s="33">
        <f t="shared" si="96"/>
        <v>7</v>
      </c>
      <c r="BN41" s="6">
        <f t="shared" si="55"/>
        <v>1</v>
      </c>
      <c r="BO41" s="8">
        <f t="shared" si="114"/>
        <v>11</v>
      </c>
      <c r="BP41" s="5">
        <f t="shared" si="56"/>
        <v>4</v>
      </c>
      <c r="BQ41" s="33">
        <f t="shared" si="81"/>
        <v>9</v>
      </c>
      <c r="BR41" s="6">
        <f t="shared" si="10"/>
        <v>2</v>
      </c>
      <c r="BS41" s="35">
        <v>2</v>
      </c>
      <c r="BT41" s="33">
        <f t="shared" si="82"/>
        <v>9</v>
      </c>
      <c r="BU41" s="6">
        <f t="shared" si="57"/>
        <v>1</v>
      </c>
      <c r="BV41" s="35">
        <v>3</v>
      </c>
      <c r="BW41" s="33">
        <f t="shared" si="83"/>
        <v>9</v>
      </c>
      <c r="BX41" s="6">
        <f t="shared" si="58"/>
        <v>1</v>
      </c>
      <c r="BY41" s="8">
        <f t="shared" si="115"/>
        <v>11</v>
      </c>
      <c r="BZ41" s="5">
        <f t="shared" si="59"/>
        <v>4</v>
      </c>
      <c r="CA41" s="33">
        <f t="shared" si="85"/>
        <v>11</v>
      </c>
      <c r="CB41" s="6">
        <f t="shared" si="12"/>
        <v>2</v>
      </c>
      <c r="CC41" s="35">
        <v>2</v>
      </c>
      <c r="CD41" s="33">
        <f t="shared" si="86"/>
        <v>11</v>
      </c>
      <c r="CE41" s="6">
        <f t="shared" si="60"/>
        <v>1</v>
      </c>
      <c r="CF41" s="35">
        <v>3</v>
      </c>
      <c r="CG41" s="33">
        <f t="shared" si="87"/>
        <v>11</v>
      </c>
      <c r="CH41" s="6">
        <f t="shared" si="61"/>
        <v>1</v>
      </c>
      <c r="CI41" s="8">
        <f t="shared" si="116"/>
        <v>11</v>
      </c>
      <c r="CJ41" s="15">
        <f t="shared" si="33"/>
        <v>1</v>
      </c>
      <c r="CK41" s="33">
        <f t="shared" si="89"/>
        <v>14</v>
      </c>
      <c r="CL41" s="6">
        <f t="shared" si="14"/>
        <v>1</v>
      </c>
      <c r="CM41" s="35">
        <v>2</v>
      </c>
      <c r="CN41" s="33">
        <f t="shared" si="90"/>
        <v>14</v>
      </c>
      <c r="CO41" s="6">
        <f t="shared" si="62"/>
        <v>1</v>
      </c>
      <c r="CP41" s="35">
        <v>3</v>
      </c>
      <c r="CQ41" s="33">
        <f t="shared" si="91"/>
        <v>14</v>
      </c>
      <c r="CR41" s="6">
        <f t="shared" si="63"/>
        <v>1</v>
      </c>
      <c r="CS41" s="8">
        <f t="shared" si="117"/>
        <v>11</v>
      </c>
      <c r="CT41" s="15">
        <f t="shared" si="35"/>
        <v>2</v>
      </c>
      <c r="CU41" s="32">
        <f t="shared" si="120"/>
        <v>25</v>
      </c>
      <c r="CV41" s="6">
        <f t="shared" si="40"/>
        <v>1</v>
      </c>
      <c r="CW41" s="35">
        <v>2</v>
      </c>
      <c r="CX41" s="33">
        <f t="shared" si="93"/>
        <v>16</v>
      </c>
      <c r="CY41" s="6">
        <f t="shared" si="64"/>
        <v>1</v>
      </c>
      <c r="CZ41" s="35">
        <v>3</v>
      </c>
      <c r="DA41" s="33">
        <f t="shared" si="94"/>
        <v>25</v>
      </c>
      <c r="DB41" s="6">
        <f t="shared" si="65"/>
        <v>1</v>
      </c>
      <c r="DC41" s="1">
        <f t="shared" si="118"/>
        <v>11</v>
      </c>
    </row>
    <row r="42" s="2" customFormat="1" spans="5:107">
      <c r="E42" s="25" t="s">
        <v>1038</v>
      </c>
      <c r="F42" s="26">
        <v>1</v>
      </c>
      <c r="G42" s="27" t="s">
        <v>1276</v>
      </c>
      <c r="H42" s="27">
        <v>2</v>
      </c>
      <c r="I42" s="27" t="s">
        <v>1276</v>
      </c>
      <c r="J42" s="27">
        <v>3</v>
      </c>
      <c r="K42" s="27" t="s">
        <v>1276</v>
      </c>
      <c r="L42" s="27"/>
      <c r="M42" s="27"/>
      <c r="N42" s="28"/>
      <c r="O42" s="26">
        <v>4</v>
      </c>
      <c r="P42" s="27" t="s">
        <v>1277</v>
      </c>
      <c r="Q42" s="27">
        <v>5</v>
      </c>
      <c r="R42" s="27" t="s">
        <v>1277</v>
      </c>
      <c r="U42" s="2">
        <v>40</v>
      </c>
      <c r="V42" s="1" t="str">
        <f t="shared" si="107"/>
        <v>8</v>
      </c>
      <c r="W42" s="36">
        <v>58</v>
      </c>
      <c r="X42" s="37" t="s">
        <v>217</v>
      </c>
      <c r="Y42" s="3">
        <f>出怪成长!C41</f>
        <v>15</v>
      </c>
      <c r="Z42" s="31" t="str">
        <f t="shared" si="97"/>
        <v>1:3:1|1:7:1|2:13:1|2:7:1#2:7:1#3:7:1|3:6:1#2:6:1#3:6:1|3:7:1#2:7:1#3:7:1|4:9:2#2:9:1#3:9:1|4:11:2#2:11:1#3:11:1|1:14:1#2:14:1#3:14:1|2:25:1#2:16:1#3:25:1</v>
      </c>
      <c r="AA42" s="5">
        <f t="shared" si="119"/>
        <v>1</v>
      </c>
      <c r="AB42" s="33">
        <f t="shared" si="108"/>
        <v>3</v>
      </c>
      <c r="AC42" s="6">
        <f t="shared" si="0"/>
        <v>1</v>
      </c>
      <c r="AD42" s="5">
        <f t="shared" si="18"/>
        <v>1</v>
      </c>
      <c r="AE42" s="33">
        <f t="shared" si="109"/>
        <v>7</v>
      </c>
      <c r="AF42" s="6">
        <f t="shared" si="20"/>
        <v>1</v>
      </c>
      <c r="AG42" s="7">
        <f t="shared" si="110"/>
        <v>4</v>
      </c>
      <c r="AH42" s="5">
        <f t="shared" si="21"/>
        <v>2</v>
      </c>
      <c r="AI42" s="33">
        <f t="shared" si="1"/>
        <v>13</v>
      </c>
      <c r="AJ42" s="6">
        <f t="shared" si="2"/>
        <v>1</v>
      </c>
      <c r="AK42" s="1">
        <f t="shared" si="111"/>
        <v>6</v>
      </c>
      <c r="AL42" s="5">
        <f t="shared" si="23"/>
        <v>2</v>
      </c>
      <c r="AM42" s="33">
        <f t="shared" si="68"/>
        <v>7</v>
      </c>
      <c r="AN42" s="6">
        <f t="shared" si="4"/>
        <v>1</v>
      </c>
      <c r="AO42" s="35">
        <v>2</v>
      </c>
      <c r="AP42" s="33">
        <f t="shared" si="69"/>
        <v>7</v>
      </c>
      <c r="AQ42" s="6">
        <f t="shared" si="50"/>
        <v>1</v>
      </c>
      <c r="AR42" s="35">
        <v>3</v>
      </c>
      <c r="AS42" s="33">
        <f t="shared" si="70"/>
        <v>7</v>
      </c>
      <c r="AT42" s="6">
        <f t="shared" si="51"/>
        <v>1</v>
      </c>
      <c r="AU42" s="1">
        <f t="shared" si="112"/>
        <v>8</v>
      </c>
      <c r="AV42" s="5">
        <f t="shared" si="72"/>
        <v>3</v>
      </c>
      <c r="AW42" s="33">
        <f t="shared" si="73"/>
        <v>6</v>
      </c>
      <c r="AX42" s="6">
        <f t="shared" si="6"/>
        <v>1</v>
      </c>
      <c r="AY42" s="35">
        <v>2</v>
      </c>
      <c r="AZ42" s="33">
        <f t="shared" si="74"/>
        <v>6</v>
      </c>
      <c r="BA42" s="6">
        <f t="shared" si="52"/>
        <v>1</v>
      </c>
      <c r="BB42" s="35">
        <v>3</v>
      </c>
      <c r="BC42" s="33">
        <f t="shared" si="75"/>
        <v>6</v>
      </c>
      <c r="BD42" s="6">
        <f t="shared" si="53"/>
        <v>1</v>
      </c>
      <c r="BE42" s="8">
        <f t="shared" si="113"/>
        <v>9</v>
      </c>
      <c r="BF42" s="5">
        <f t="shared" si="77"/>
        <v>3</v>
      </c>
      <c r="BG42" s="33">
        <f t="shared" si="78"/>
        <v>7</v>
      </c>
      <c r="BH42" s="6">
        <f t="shared" si="8"/>
        <v>1</v>
      </c>
      <c r="BI42" s="35">
        <v>2</v>
      </c>
      <c r="BJ42" s="33">
        <f t="shared" si="79"/>
        <v>7</v>
      </c>
      <c r="BK42" s="6">
        <f t="shared" si="54"/>
        <v>1</v>
      </c>
      <c r="BL42" s="35">
        <v>3</v>
      </c>
      <c r="BM42" s="33">
        <f t="shared" si="96"/>
        <v>7</v>
      </c>
      <c r="BN42" s="6">
        <f t="shared" si="55"/>
        <v>1</v>
      </c>
      <c r="BO42" s="8">
        <f t="shared" si="114"/>
        <v>11</v>
      </c>
      <c r="BP42" s="5">
        <f t="shared" si="56"/>
        <v>4</v>
      </c>
      <c r="BQ42" s="33">
        <f t="shared" si="81"/>
        <v>9</v>
      </c>
      <c r="BR42" s="6">
        <f t="shared" si="10"/>
        <v>2</v>
      </c>
      <c r="BS42" s="35">
        <v>2</v>
      </c>
      <c r="BT42" s="33">
        <f t="shared" si="82"/>
        <v>9</v>
      </c>
      <c r="BU42" s="6">
        <f t="shared" si="57"/>
        <v>1</v>
      </c>
      <c r="BV42" s="35">
        <v>3</v>
      </c>
      <c r="BW42" s="33">
        <f t="shared" si="83"/>
        <v>9</v>
      </c>
      <c r="BX42" s="6">
        <f t="shared" si="58"/>
        <v>1</v>
      </c>
      <c r="BY42" s="8">
        <f t="shared" si="115"/>
        <v>11</v>
      </c>
      <c r="BZ42" s="5">
        <f t="shared" si="59"/>
        <v>4</v>
      </c>
      <c r="CA42" s="33">
        <f t="shared" si="85"/>
        <v>11</v>
      </c>
      <c r="CB42" s="6">
        <f t="shared" si="12"/>
        <v>2</v>
      </c>
      <c r="CC42" s="35">
        <v>2</v>
      </c>
      <c r="CD42" s="33">
        <f t="shared" si="86"/>
        <v>11</v>
      </c>
      <c r="CE42" s="6">
        <f t="shared" si="60"/>
        <v>1</v>
      </c>
      <c r="CF42" s="35">
        <v>3</v>
      </c>
      <c r="CG42" s="33">
        <f t="shared" si="87"/>
        <v>11</v>
      </c>
      <c r="CH42" s="6">
        <f t="shared" si="61"/>
        <v>1</v>
      </c>
      <c r="CI42" s="8">
        <f t="shared" si="116"/>
        <v>11</v>
      </c>
      <c r="CJ42" s="15">
        <f t="shared" si="33"/>
        <v>1</v>
      </c>
      <c r="CK42" s="33">
        <f t="shared" si="89"/>
        <v>14</v>
      </c>
      <c r="CL42" s="6">
        <f t="shared" si="14"/>
        <v>1</v>
      </c>
      <c r="CM42" s="35">
        <v>2</v>
      </c>
      <c r="CN42" s="33">
        <f t="shared" si="90"/>
        <v>14</v>
      </c>
      <c r="CO42" s="6">
        <f t="shared" si="62"/>
        <v>1</v>
      </c>
      <c r="CP42" s="35">
        <v>3</v>
      </c>
      <c r="CQ42" s="33">
        <f t="shared" si="91"/>
        <v>14</v>
      </c>
      <c r="CR42" s="6">
        <f t="shared" si="63"/>
        <v>1</v>
      </c>
      <c r="CS42" s="8">
        <f t="shared" si="117"/>
        <v>11</v>
      </c>
      <c r="CT42" s="15">
        <f t="shared" si="35"/>
        <v>2</v>
      </c>
      <c r="CU42" s="33">
        <f t="shared" si="120"/>
        <v>25</v>
      </c>
      <c r="CV42" s="6">
        <f t="shared" ref="CV42:CV73" si="121">IF(CT42=$F42,IF($F42="","",IF((VLOOKUP($F42,$F:$G,2,FALSE)="步兵"),1,2)),IF(CT42=$H42,IF($H42="","",IF((VLOOKUP($H42,$H:$I,2,FALSE)="步兵"),1,2)),IF(CT42=$J42,IF($J42="","",IF((VLOOKUP($J42,$J:$K,2,FALSE)="步兵"),1,2)),IF(CT42=$L42,IF($L42="","",IF((VLOOKUP($L42,$L:$M,2,FALSE)="步兵"),1,2)),IF(CT42=$O42,IF($O42="","",IF((VLOOKUP($O42,$O:$P,2,FALSE)="步兵"),1,2)),IF(CT42=$Q42,IF($Q42="","",IF((VLOOKUP($Q42,$Q:$R,2,FALSE)="步兵"),1,2)),"出怪口错误"))))))</f>
        <v>1</v>
      </c>
      <c r="CW42" s="35">
        <v>2</v>
      </c>
      <c r="CX42" s="33">
        <f t="shared" si="93"/>
        <v>16</v>
      </c>
      <c r="CY42" s="6">
        <f t="shared" si="64"/>
        <v>1</v>
      </c>
      <c r="CZ42" s="35">
        <v>3</v>
      </c>
      <c r="DA42" s="33">
        <f t="shared" si="94"/>
        <v>25</v>
      </c>
      <c r="DB42" s="6">
        <f t="shared" si="65"/>
        <v>1</v>
      </c>
      <c r="DC42" s="1">
        <f t="shared" si="118"/>
        <v>11</v>
      </c>
    </row>
    <row r="43" s="2" customFormat="1" spans="5:107">
      <c r="E43" s="25" t="s">
        <v>1042</v>
      </c>
      <c r="F43" s="26">
        <v>1</v>
      </c>
      <c r="G43" s="27" t="s">
        <v>1276</v>
      </c>
      <c r="H43" s="27">
        <v>2</v>
      </c>
      <c r="I43" s="27" t="s">
        <v>1276</v>
      </c>
      <c r="J43" s="27">
        <v>3</v>
      </c>
      <c r="K43" s="27" t="s">
        <v>1276</v>
      </c>
      <c r="L43" s="27"/>
      <c r="M43" s="27"/>
      <c r="N43" s="28"/>
      <c r="O43" s="26">
        <v>4</v>
      </c>
      <c r="P43" s="27" t="s">
        <v>1277</v>
      </c>
      <c r="Q43" s="27">
        <v>5</v>
      </c>
      <c r="R43" s="27" t="s">
        <v>1277</v>
      </c>
      <c r="U43" s="2">
        <v>41</v>
      </c>
      <c r="V43" s="1" t="str">
        <f t="shared" si="107"/>
        <v>1</v>
      </c>
      <c r="W43" s="1">
        <v>61</v>
      </c>
      <c r="X43" s="30" t="s">
        <v>231</v>
      </c>
      <c r="Y43" s="3">
        <f>出怪成长!C42</f>
        <v>15</v>
      </c>
      <c r="Z43" s="31" t="str">
        <f t="shared" si="97"/>
        <v>1:2:1|1:6:1|2:12:1|2:7:1#2:7:1#3:7:1|3:6:1#2:6:1#3:6:1|3:8:1#2:8:1#3:8:1|4:10:2#2:10:1#3:10:1|4:12:2#2:12:1#3:12:1|1:16:1#2:16:1#3:16:1|2:28:1#2:19:1#3:28:1</v>
      </c>
      <c r="AA43" s="5">
        <f t="shared" si="119"/>
        <v>1</v>
      </c>
      <c r="AB43" s="33">
        <f t="shared" si="108"/>
        <v>2</v>
      </c>
      <c r="AC43" s="6">
        <f t="shared" si="0"/>
        <v>1</v>
      </c>
      <c r="AD43" s="5">
        <f t="shared" si="18"/>
        <v>1</v>
      </c>
      <c r="AE43" s="33">
        <f t="shared" si="109"/>
        <v>6</v>
      </c>
      <c r="AF43" s="6">
        <f t="shared" si="20"/>
        <v>1</v>
      </c>
      <c r="AG43" s="7">
        <f>AG35+AG$1</f>
        <v>4.5</v>
      </c>
      <c r="AH43" s="5">
        <f t="shared" si="21"/>
        <v>2</v>
      </c>
      <c r="AI43" s="33">
        <f t="shared" si="1"/>
        <v>12</v>
      </c>
      <c r="AJ43" s="6">
        <f t="shared" si="2"/>
        <v>1</v>
      </c>
      <c r="AK43" s="34">
        <f>AK35+AK$1</f>
        <v>6.5</v>
      </c>
      <c r="AL43" s="5">
        <f t="shared" si="23"/>
        <v>2</v>
      </c>
      <c r="AM43" s="33">
        <f t="shared" si="68"/>
        <v>7</v>
      </c>
      <c r="AN43" s="6">
        <f t="shared" si="4"/>
        <v>1</v>
      </c>
      <c r="AO43" s="35">
        <v>2</v>
      </c>
      <c r="AP43" s="33">
        <f t="shared" si="69"/>
        <v>7</v>
      </c>
      <c r="AQ43" s="6">
        <f t="shared" si="50"/>
        <v>1</v>
      </c>
      <c r="AR43" s="35">
        <v>3</v>
      </c>
      <c r="AS43" s="33">
        <f t="shared" si="70"/>
        <v>7</v>
      </c>
      <c r="AT43" s="6">
        <f t="shared" si="51"/>
        <v>1</v>
      </c>
      <c r="AU43" s="34">
        <f>AU35+AU$1</f>
        <v>9</v>
      </c>
      <c r="AV43" s="5">
        <f t="shared" si="72"/>
        <v>3</v>
      </c>
      <c r="AW43" s="33">
        <f t="shared" si="73"/>
        <v>6</v>
      </c>
      <c r="AX43" s="6">
        <f t="shared" si="6"/>
        <v>1</v>
      </c>
      <c r="AY43" s="35">
        <v>2</v>
      </c>
      <c r="AZ43" s="33">
        <f t="shared" si="74"/>
        <v>6</v>
      </c>
      <c r="BA43" s="6">
        <f t="shared" si="52"/>
        <v>1</v>
      </c>
      <c r="BB43" s="35">
        <v>3</v>
      </c>
      <c r="BC43" s="33">
        <f t="shared" si="75"/>
        <v>6</v>
      </c>
      <c r="BD43" s="6">
        <f t="shared" si="53"/>
        <v>1</v>
      </c>
      <c r="BE43" s="7">
        <f>BE35+BE$1</f>
        <v>10</v>
      </c>
      <c r="BF43" s="5">
        <f t="shared" si="77"/>
        <v>3</v>
      </c>
      <c r="BG43" s="33">
        <f t="shared" si="78"/>
        <v>8</v>
      </c>
      <c r="BH43" s="6">
        <f t="shared" si="8"/>
        <v>1</v>
      </c>
      <c r="BI43" s="35">
        <v>2</v>
      </c>
      <c r="BJ43" s="33">
        <f t="shared" si="79"/>
        <v>8</v>
      </c>
      <c r="BK43" s="6">
        <f t="shared" si="54"/>
        <v>1</v>
      </c>
      <c r="BL43" s="35">
        <v>3</v>
      </c>
      <c r="BM43" s="33">
        <f t="shared" si="96"/>
        <v>8</v>
      </c>
      <c r="BN43" s="6">
        <f t="shared" si="55"/>
        <v>1</v>
      </c>
      <c r="BO43" s="7">
        <f>BO35+BO$1</f>
        <v>12.5</v>
      </c>
      <c r="BP43" s="5">
        <f t="shared" si="56"/>
        <v>4</v>
      </c>
      <c r="BQ43" s="33">
        <f t="shared" si="81"/>
        <v>10</v>
      </c>
      <c r="BR43" s="6">
        <f t="shared" si="10"/>
        <v>2</v>
      </c>
      <c r="BS43" s="35">
        <v>2</v>
      </c>
      <c r="BT43" s="33">
        <f t="shared" si="82"/>
        <v>10</v>
      </c>
      <c r="BU43" s="6">
        <f t="shared" si="57"/>
        <v>1</v>
      </c>
      <c r="BV43" s="35">
        <v>3</v>
      </c>
      <c r="BW43" s="33">
        <f t="shared" si="83"/>
        <v>10</v>
      </c>
      <c r="BX43" s="6">
        <f t="shared" si="58"/>
        <v>1</v>
      </c>
      <c r="BY43" s="7">
        <f>BY35+BY$1</f>
        <v>12.5</v>
      </c>
      <c r="BZ43" s="5">
        <f t="shared" si="59"/>
        <v>4</v>
      </c>
      <c r="CA43" s="33">
        <f t="shared" si="85"/>
        <v>12</v>
      </c>
      <c r="CB43" s="6">
        <f t="shared" si="12"/>
        <v>2</v>
      </c>
      <c r="CC43" s="35">
        <v>2</v>
      </c>
      <c r="CD43" s="33">
        <f t="shared" si="86"/>
        <v>12</v>
      </c>
      <c r="CE43" s="6">
        <f t="shared" si="60"/>
        <v>1</v>
      </c>
      <c r="CF43" s="35">
        <v>3</v>
      </c>
      <c r="CG43" s="33">
        <f t="shared" si="87"/>
        <v>12</v>
      </c>
      <c r="CH43" s="6">
        <f t="shared" si="61"/>
        <v>1</v>
      </c>
      <c r="CI43" s="7">
        <f>CI35+CI$1</f>
        <v>12.5</v>
      </c>
      <c r="CJ43" s="15">
        <f t="shared" si="33"/>
        <v>1</v>
      </c>
      <c r="CK43" s="33">
        <f t="shared" si="89"/>
        <v>16</v>
      </c>
      <c r="CL43" s="6">
        <f t="shared" si="14"/>
        <v>1</v>
      </c>
      <c r="CM43" s="35">
        <v>2</v>
      </c>
      <c r="CN43" s="33">
        <f t="shared" si="90"/>
        <v>16</v>
      </c>
      <c r="CO43" s="6">
        <f t="shared" si="62"/>
        <v>1</v>
      </c>
      <c r="CP43" s="35">
        <v>3</v>
      </c>
      <c r="CQ43" s="33">
        <f t="shared" si="91"/>
        <v>16</v>
      </c>
      <c r="CR43" s="6">
        <f t="shared" si="63"/>
        <v>1</v>
      </c>
      <c r="CS43" s="7">
        <f>CS35+CS$1</f>
        <v>12.5</v>
      </c>
      <c r="CT43" s="15">
        <f t="shared" si="35"/>
        <v>2</v>
      </c>
      <c r="CU43" s="32">
        <f t="shared" si="120"/>
        <v>28</v>
      </c>
      <c r="CV43" s="6">
        <f t="shared" si="121"/>
        <v>1</v>
      </c>
      <c r="CW43" s="35">
        <v>2</v>
      </c>
      <c r="CX43" s="33">
        <f t="shared" si="93"/>
        <v>19</v>
      </c>
      <c r="CY43" s="6">
        <f t="shared" si="64"/>
        <v>1</v>
      </c>
      <c r="CZ43" s="35">
        <v>3</v>
      </c>
      <c r="DA43" s="33">
        <f t="shared" si="94"/>
        <v>28</v>
      </c>
      <c r="DB43" s="6">
        <f t="shared" si="65"/>
        <v>1</v>
      </c>
      <c r="DC43" s="34">
        <f>DC35+DC$1</f>
        <v>12.5</v>
      </c>
    </row>
    <row r="44" s="2" customFormat="1" spans="5:107">
      <c r="E44" s="25" t="s">
        <v>1052</v>
      </c>
      <c r="F44" s="26">
        <v>1</v>
      </c>
      <c r="G44" s="27" t="s">
        <v>1276</v>
      </c>
      <c r="H44" s="27">
        <v>2</v>
      </c>
      <c r="I44" s="27" t="s">
        <v>1276</v>
      </c>
      <c r="J44" s="27">
        <v>3</v>
      </c>
      <c r="K44" s="27" t="s">
        <v>1276</v>
      </c>
      <c r="L44" s="27"/>
      <c r="M44" s="27"/>
      <c r="N44" s="28"/>
      <c r="O44" s="26">
        <v>4</v>
      </c>
      <c r="P44" s="27" t="s">
        <v>1277</v>
      </c>
      <c r="Q44" s="27">
        <v>5</v>
      </c>
      <c r="R44" s="27" t="s">
        <v>1277</v>
      </c>
      <c r="U44" s="2">
        <v>42</v>
      </c>
      <c r="V44" s="1" t="str">
        <f t="shared" si="107"/>
        <v>2</v>
      </c>
      <c r="W44" s="1">
        <v>62</v>
      </c>
      <c r="X44" s="30" t="s">
        <v>231</v>
      </c>
      <c r="Y44" s="3">
        <f>出怪成长!C43</f>
        <v>15</v>
      </c>
      <c r="Z44" s="31" t="str">
        <f t="shared" si="97"/>
        <v>1:2:1|1:6:1|2:12:1|2:7:1#2:7:1#3:7:1|3:6:1#2:6:1#3:6:1|3:8:1#2:8:1#3:8:1|4:10:2#2:10:1#3:10:1|4:12:2#2:12:1#3:12:1|1:16:1#2:16:1#3:16:1|2:28:1#2:19:1#3:28:1</v>
      </c>
      <c r="AA44" s="5">
        <f t="shared" si="119"/>
        <v>1</v>
      </c>
      <c r="AB44" s="33">
        <f t="shared" si="108"/>
        <v>2</v>
      </c>
      <c r="AC44" s="6">
        <f t="shared" si="0"/>
        <v>1</v>
      </c>
      <c r="AD44" s="5">
        <f t="shared" si="18"/>
        <v>1</v>
      </c>
      <c r="AE44" s="33">
        <f t="shared" si="109"/>
        <v>6</v>
      </c>
      <c r="AF44" s="6">
        <f t="shared" si="20"/>
        <v>1</v>
      </c>
      <c r="AG44" s="7">
        <f t="shared" ref="AG44:AG50" si="122">AG43</f>
        <v>4.5</v>
      </c>
      <c r="AH44" s="5">
        <f t="shared" si="21"/>
        <v>2</v>
      </c>
      <c r="AI44" s="33">
        <f t="shared" si="1"/>
        <v>12</v>
      </c>
      <c r="AJ44" s="6">
        <f t="shared" si="2"/>
        <v>1</v>
      </c>
      <c r="AK44" s="1">
        <f t="shared" ref="AK44:AK50" si="123">AK43</f>
        <v>6.5</v>
      </c>
      <c r="AL44" s="5">
        <f t="shared" si="23"/>
        <v>2</v>
      </c>
      <c r="AM44" s="33">
        <f t="shared" si="68"/>
        <v>7</v>
      </c>
      <c r="AN44" s="6">
        <f t="shared" si="4"/>
        <v>1</v>
      </c>
      <c r="AO44" s="35">
        <v>2</v>
      </c>
      <c r="AP44" s="33">
        <f t="shared" si="69"/>
        <v>7</v>
      </c>
      <c r="AQ44" s="6">
        <f t="shared" si="50"/>
        <v>1</v>
      </c>
      <c r="AR44" s="35">
        <v>3</v>
      </c>
      <c r="AS44" s="33">
        <f t="shared" si="70"/>
        <v>7</v>
      </c>
      <c r="AT44" s="6">
        <f t="shared" si="51"/>
        <v>1</v>
      </c>
      <c r="AU44" s="1">
        <f t="shared" ref="AU44:AU50" si="124">AU43</f>
        <v>9</v>
      </c>
      <c r="AV44" s="5">
        <f t="shared" si="72"/>
        <v>3</v>
      </c>
      <c r="AW44" s="33">
        <f t="shared" si="73"/>
        <v>6</v>
      </c>
      <c r="AX44" s="6">
        <f t="shared" si="6"/>
        <v>1</v>
      </c>
      <c r="AY44" s="35">
        <v>2</v>
      </c>
      <c r="AZ44" s="33">
        <f t="shared" si="74"/>
        <v>6</v>
      </c>
      <c r="BA44" s="6">
        <f t="shared" si="52"/>
        <v>1</v>
      </c>
      <c r="BB44" s="35">
        <v>3</v>
      </c>
      <c r="BC44" s="33">
        <f t="shared" si="75"/>
        <v>6</v>
      </c>
      <c r="BD44" s="6">
        <f t="shared" si="53"/>
        <v>1</v>
      </c>
      <c r="BE44" s="8">
        <f t="shared" ref="BE44:BE50" si="125">BE43</f>
        <v>10</v>
      </c>
      <c r="BF44" s="5">
        <f t="shared" si="77"/>
        <v>3</v>
      </c>
      <c r="BG44" s="33">
        <f t="shared" si="78"/>
        <v>8</v>
      </c>
      <c r="BH44" s="6">
        <f t="shared" si="8"/>
        <v>1</v>
      </c>
      <c r="BI44" s="35">
        <v>2</v>
      </c>
      <c r="BJ44" s="33">
        <f t="shared" si="79"/>
        <v>8</v>
      </c>
      <c r="BK44" s="6">
        <f t="shared" si="54"/>
        <v>1</v>
      </c>
      <c r="BL44" s="35">
        <v>3</v>
      </c>
      <c r="BM44" s="33">
        <f t="shared" si="96"/>
        <v>8</v>
      </c>
      <c r="BN44" s="6">
        <f t="shared" si="55"/>
        <v>1</v>
      </c>
      <c r="BO44" s="8">
        <f t="shared" ref="BO44:BO50" si="126">BO43</f>
        <v>12.5</v>
      </c>
      <c r="BP44" s="5">
        <f t="shared" si="56"/>
        <v>4</v>
      </c>
      <c r="BQ44" s="33">
        <f t="shared" si="81"/>
        <v>10</v>
      </c>
      <c r="BR44" s="6">
        <f t="shared" si="10"/>
        <v>2</v>
      </c>
      <c r="BS44" s="35">
        <v>2</v>
      </c>
      <c r="BT44" s="33">
        <f t="shared" si="82"/>
        <v>10</v>
      </c>
      <c r="BU44" s="6">
        <f t="shared" si="57"/>
        <v>1</v>
      </c>
      <c r="BV44" s="35">
        <v>3</v>
      </c>
      <c r="BW44" s="33">
        <f t="shared" si="83"/>
        <v>10</v>
      </c>
      <c r="BX44" s="6">
        <f t="shared" si="58"/>
        <v>1</v>
      </c>
      <c r="BY44" s="8">
        <f t="shared" ref="BY44:BY50" si="127">BY43</f>
        <v>12.5</v>
      </c>
      <c r="BZ44" s="5">
        <f t="shared" si="59"/>
        <v>4</v>
      </c>
      <c r="CA44" s="33">
        <f t="shared" si="85"/>
        <v>12</v>
      </c>
      <c r="CB44" s="6">
        <f t="shared" si="12"/>
        <v>2</v>
      </c>
      <c r="CC44" s="35">
        <v>2</v>
      </c>
      <c r="CD44" s="33">
        <f t="shared" si="86"/>
        <v>12</v>
      </c>
      <c r="CE44" s="6">
        <f t="shared" si="60"/>
        <v>1</v>
      </c>
      <c r="CF44" s="35">
        <v>3</v>
      </c>
      <c r="CG44" s="33">
        <f t="shared" si="87"/>
        <v>12</v>
      </c>
      <c r="CH44" s="6">
        <f t="shared" si="61"/>
        <v>1</v>
      </c>
      <c r="CI44" s="8">
        <f t="shared" ref="CI44:CI50" si="128">CI43</f>
        <v>12.5</v>
      </c>
      <c r="CJ44" s="15">
        <f t="shared" si="33"/>
        <v>1</v>
      </c>
      <c r="CK44" s="33">
        <f t="shared" si="89"/>
        <v>16</v>
      </c>
      <c r="CL44" s="6">
        <f t="shared" si="14"/>
        <v>1</v>
      </c>
      <c r="CM44" s="35">
        <v>2</v>
      </c>
      <c r="CN44" s="33">
        <f t="shared" si="90"/>
        <v>16</v>
      </c>
      <c r="CO44" s="6">
        <f t="shared" si="62"/>
        <v>1</v>
      </c>
      <c r="CP44" s="35">
        <v>3</v>
      </c>
      <c r="CQ44" s="33">
        <f t="shared" si="91"/>
        <v>16</v>
      </c>
      <c r="CR44" s="6">
        <f t="shared" si="63"/>
        <v>1</v>
      </c>
      <c r="CS44" s="8">
        <f t="shared" ref="CS44:CS50" si="129">CS43</f>
        <v>12.5</v>
      </c>
      <c r="CT44" s="15">
        <f t="shared" si="35"/>
        <v>2</v>
      </c>
      <c r="CU44" s="33">
        <f t="shared" si="120"/>
        <v>28</v>
      </c>
      <c r="CV44" s="6">
        <f t="shared" si="121"/>
        <v>1</v>
      </c>
      <c r="CW44" s="35">
        <v>2</v>
      </c>
      <c r="CX44" s="33">
        <f t="shared" si="93"/>
        <v>19</v>
      </c>
      <c r="CY44" s="6">
        <f t="shared" si="64"/>
        <v>1</v>
      </c>
      <c r="CZ44" s="35">
        <v>3</v>
      </c>
      <c r="DA44" s="33">
        <f t="shared" si="94"/>
        <v>28</v>
      </c>
      <c r="DB44" s="6">
        <f t="shared" si="65"/>
        <v>1</v>
      </c>
      <c r="DC44" s="1">
        <f t="shared" ref="DC44:DC50" si="130">DC43</f>
        <v>12.5</v>
      </c>
    </row>
    <row r="45" s="2" customFormat="1" spans="5:107">
      <c r="E45" s="25" t="s">
        <v>1059</v>
      </c>
      <c r="F45" s="26">
        <v>1</v>
      </c>
      <c r="G45" s="27" t="s">
        <v>1276</v>
      </c>
      <c r="H45" s="27">
        <v>2</v>
      </c>
      <c r="I45" s="27" t="s">
        <v>1276</v>
      </c>
      <c r="J45" s="27">
        <v>3</v>
      </c>
      <c r="K45" s="27" t="s">
        <v>1276</v>
      </c>
      <c r="L45" s="27"/>
      <c r="M45" s="27"/>
      <c r="N45" s="28"/>
      <c r="O45" s="26">
        <v>4</v>
      </c>
      <c r="P45" s="27" t="s">
        <v>1277</v>
      </c>
      <c r="Q45" s="27">
        <v>5</v>
      </c>
      <c r="R45" s="27" t="s">
        <v>1277</v>
      </c>
      <c r="U45" s="2">
        <v>43</v>
      </c>
      <c r="V45" s="1" t="str">
        <f t="shared" si="107"/>
        <v>3</v>
      </c>
      <c r="W45" s="1">
        <v>63</v>
      </c>
      <c r="X45" s="30" t="s">
        <v>231</v>
      </c>
      <c r="Y45" s="3">
        <f>出怪成长!C44</f>
        <v>15</v>
      </c>
      <c r="Z45" s="31" t="str">
        <f t="shared" si="97"/>
        <v>1:2:1|1:6:1|2:12:1|2:7:1#2:7:1#3:7:1|3:6:1#2:6:1#3:6:1|3:8:1#2:8:1#3:8:1|4:10:2#2:10:1#3:10:1|4:12:2#2:12:1#3:12:1|1:16:1#2:16:1#3:16:1|2:28:1#2:19:1#3:28:1</v>
      </c>
      <c r="AA45" s="5">
        <f t="shared" si="119"/>
        <v>1</v>
      </c>
      <c r="AB45" s="33">
        <f t="shared" si="108"/>
        <v>2</v>
      </c>
      <c r="AC45" s="6">
        <f t="shared" si="0"/>
        <v>1</v>
      </c>
      <c r="AD45" s="5">
        <f t="shared" si="18"/>
        <v>1</v>
      </c>
      <c r="AE45" s="33">
        <f t="shared" si="109"/>
        <v>6</v>
      </c>
      <c r="AF45" s="6">
        <f t="shared" si="20"/>
        <v>1</v>
      </c>
      <c r="AG45" s="7">
        <f t="shared" si="122"/>
        <v>4.5</v>
      </c>
      <c r="AH45" s="5">
        <f t="shared" si="21"/>
        <v>2</v>
      </c>
      <c r="AI45" s="33">
        <f t="shared" si="1"/>
        <v>12</v>
      </c>
      <c r="AJ45" s="6">
        <f t="shared" si="2"/>
        <v>1</v>
      </c>
      <c r="AK45" s="1">
        <f t="shared" si="123"/>
        <v>6.5</v>
      </c>
      <c r="AL45" s="5">
        <f t="shared" si="23"/>
        <v>2</v>
      </c>
      <c r="AM45" s="33">
        <f t="shared" si="68"/>
        <v>7</v>
      </c>
      <c r="AN45" s="6">
        <f t="shared" si="4"/>
        <v>1</v>
      </c>
      <c r="AO45" s="35">
        <v>2</v>
      </c>
      <c r="AP45" s="33">
        <f t="shared" si="69"/>
        <v>7</v>
      </c>
      <c r="AQ45" s="6">
        <f t="shared" si="50"/>
        <v>1</v>
      </c>
      <c r="AR45" s="35">
        <v>3</v>
      </c>
      <c r="AS45" s="33">
        <f t="shared" si="70"/>
        <v>7</v>
      </c>
      <c r="AT45" s="6">
        <f t="shared" si="51"/>
        <v>1</v>
      </c>
      <c r="AU45" s="1">
        <f t="shared" si="124"/>
        <v>9</v>
      </c>
      <c r="AV45" s="5">
        <f t="shared" si="72"/>
        <v>3</v>
      </c>
      <c r="AW45" s="33">
        <f t="shared" si="73"/>
        <v>6</v>
      </c>
      <c r="AX45" s="6">
        <f t="shared" si="6"/>
        <v>1</v>
      </c>
      <c r="AY45" s="35">
        <v>2</v>
      </c>
      <c r="AZ45" s="33">
        <f t="shared" si="74"/>
        <v>6</v>
      </c>
      <c r="BA45" s="6">
        <f t="shared" si="52"/>
        <v>1</v>
      </c>
      <c r="BB45" s="35">
        <v>3</v>
      </c>
      <c r="BC45" s="33">
        <f t="shared" si="75"/>
        <v>6</v>
      </c>
      <c r="BD45" s="6">
        <f t="shared" si="53"/>
        <v>1</v>
      </c>
      <c r="BE45" s="8">
        <f t="shared" si="125"/>
        <v>10</v>
      </c>
      <c r="BF45" s="5">
        <f t="shared" si="77"/>
        <v>3</v>
      </c>
      <c r="BG45" s="33">
        <f t="shared" si="78"/>
        <v>8</v>
      </c>
      <c r="BH45" s="6">
        <f t="shared" si="8"/>
        <v>1</v>
      </c>
      <c r="BI45" s="35">
        <v>2</v>
      </c>
      <c r="BJ45" s="33">
        <f t="shared" si="79"/>
        <v>8</v>
      </c>
      <c r="BK45" s="6">
        <f t="shared" si="54"/>
        <v>1</v>
      </c>
      <c r="BL45" s="35">
        <v>3</v>
      </c>
      <c r="BM45" s="33">
        <f t="shared" si="96"/>
        <v>8</v>
      </c>
      <c r="BN45" s="6">
        <f t="shared" si="55"/>
        <v>1</v>
      </c>
      <c r="BO45" s="8">
        <f t="shared" si="126"/>
        <v>12.5</v>
      </c>
      <c r="BP45" s="5">
        <f t="shared" si="56"/>
        <v>4</v>
      </c>
      <c r="BQ45" s="33">
        <f t="shared" si="81"/>
        <v>10</v>
      </c>
      <c r="BR45" s="6">
        <f t="shared" si="10"/>
        <v>2</v>
      </c>
      <c r="BS45" s="35">
        <v>2</v>
      </c>
      <c r="BT45" s="33">
        <f t="shared" si="82"/>
        <v>10</v>
      </c>
      <c r="BU45" s="6">
        <f t="shared" si="57"/>
        <v>1</v>
      </c>
      <c r="BV45" s="35">
        <v>3</v>
      </c>
      <c r="BW45" s="33">
        <f t="shared" si="83"/>
        <v>10</v>
      </c>
      <c r="BX45" s="6">
        <f t="shared" si="58"/>
        <v>1</v>
      </c>
      <c r="BY45" s="8">
        <f t="shared" si="127"/>
        <v>12.5</v>
      </c>
      <c r="BZ45" s="5">
        <f t="shared" si="59"/>
        <v>4</v>
      </c>
      <c r="CA45" s="33">
        <f t="shared" si="85"/>
        <v>12</v>
      </c>
      <c r="CB45" s="6">
        <f t="shared" si="12"/>
        <v>2</v>
      </c>
      <c r="CC45" s="35">
        <v>2</v>
      </c>
      <c r="CD45" s="33">
        <f t="shared" si="86"/>
        <v>12</v>
      </c>
      <c r="CE45" s="6">
        <f t="shared" si="60"/>
        <v>1</v>
      </c>
      <c r="CF45" s="35">
        <v>3</v>
      </c>
      <c r="CG45" s="33">
        <f t="shared" si="87"/>
        <v>12</v>
      </c>
      <c r="CH45" s="6">
        <f t="shared" si="61"/>
        <v>1</v>
      </c>
      <c r="CI45" s="8">
        <f t="shared" si="128"/>
        <v>12.5</v>
      </c>
      <c r="CJ45" s="15">
        <f t="shared" si="33"/>
        <v>1</v>
      </c>
      <c r="CK45" s="33">
        <f t="shared" si="89"/>
        <v>16</v>
      </c>
      <c r="CL45" s="6">
        <f t="shared" si="14"/>
        <v>1</v>
      </c>
      <c r="CM45" s="35">
        <v>2</v>
      </c>
      <c r="CN45" s="33">
        <f t="shared" si="90"/>
        <v>16</v>
      </c>
      <c r="CO45" s="6">
        <f t="shared" si="62"/>
        <v>1</v>
      </c>
      <c r="CP45" s="35">
        <v>3</v>
      </c>
      <c r="CQ45" s="33">
        <f t="shared" si="91"/>
        <v>16</v>
      </c>
      <c r="CR45" s="6">
        <f t="shared" si="63"/>
        <v>1</v>
      </c>
      <c r="CS45" s="8">
        <f t="shared" si="129"/>
        <v>12.5</v>
      </c>
      <c r="CT45" s="15">
        <f t="shared" si="35"/>
        <v>2</v>
      </c>
      <c r="CU45" s="32">
        <f t="shared" si="120"/>
        <v>28</v>
      </c>
      <c r="CV45" s="6">
        <f t="shared" si="121"/>
        <v>1</v>
      </c>
      <c r="CW45" s="35">
        <v>2</v>
      </c>
      <c r="CX45" s="33">
        <f t="shared" si="93"/>
        <v>19</v>
      </c>
      <c r="CY45" s="6">
        <f t="shared" si="64"/>
        <v>1</v>
      </c>
      <c r="CZ45" s="35">
        <v>3</v>
      </c>
      <c r="DA45" s="33">
        <f t="shared" si="94"/>
        <v>28</v>
      </c>
      <c r="DB45" s="6">
        <f t="shared" si="65"/>
        <v>1</v>
      </c>
      <c r="DC45" s="1">
        <f t="shared" si="130"/>
        <v>12.5</v>
      </c>
    </row>
    <row r="46" s="2" customFormat="1" spans="5:107">
      <c r="E46" s="25" t="s">
        <v>1066</v>
      </c>
      <c r="F46" s="26">
        <v>1</v>
      </c>
      <c r="G46" s="27" t="s">
        <v>1276</v>
      </c>
      <c r="H46" s="27">
        <v>2</v>
      </c>
      <c r="I46" s="27" t="s">
        <v>1276</v>
      </c>
      <c r="J46" s="27">
        <v>3</v>
      </c>
      <c r="K46" s="27" t="s">
        <v>1276</v>
      </c>
      <c r="L46" s="27"/>
      <c r="M46" s="27"/>
      <c r="N46" s="28"/>
      <c r="O46" s="26">
        <v>4</v>
      </c>
      <c r="P46" s="27" t="s">
        <v>1277</v>
      </c>
      <c r="Q46" s="27">
        <v>5</v>
      </c>
      <c r="R46" s="27" t="s">
        <v>1277</v>
      </c>
      <c r="U46" s="2">
        <v>44</v>
      </c>
      <c r="V46" s="1" t="str">
        <f t="shared" si="107"/>
        <v>4</v>
      </c>
      <c r="W46" s="1">
        <v>64</v>
      </c>
      <c r="X46" s="30" t="s">
        <v>231</v>
      </c>
      <c r="Y46" s="3">
        <f>出怪成长!C45</f>
        <v>15</v>
      </c>
      <c r="Z46" s="31" t="str">
        <f t="shared" si="97"/>
        <v>1:2:1|1:6:1|2:12:1|2:7:1#2:7:1#3:7:1|3:6:1#2:6:1#3:6:1|3:8:1#2:8:1#3:8:1|4:10:2#2:10:1#3:10:1|4:12:2#2:12:1#3:12:1|1:16:1#2:16:1#3:16:1|2:28:1#2:19:1#3:28:1</v>
      </c>
      <c r="AA46" s="5">
        <f t="shared" si="119"/>
        <v>1</v>
      </c>
      <c r="AB46" s="33">
        <f t="shared" si="108"/>
        <v>2</v>
      </c>
      <c r="AC46" s="6">
        <f t="shared" si="0"/>
        <v>1</v>
      </c>
      <c r="AD46" s="5">
        <f t="shared" si="18"/>
        <v>1</v>
      </c>
      <c r="AE46" s="33">
        <f t="shared" si="109"/>
        <v>6</v>
      </c>
      <c r="AF46" s="6">
        <f t="shared" si="20"/>
        <v>1</v>
      </c>
      <c r="AG46" s="7">
        <f t="shared" si="122"/>
        <v>4.5</v>
      </c>
      <c r="AH46" s="5">
        <f t="shared" si="21"/>
        <v>2</v>
      </c>
      <c r="AI46" s="33">
        <f t="shared" si="1"/>
        <v>12</v>
      </c>
      <c r="AJ46" s="6">
        <f t="shared" si="2"/>
        <v>1</v>
      </c>
      <c r="AK46" s="1">
        <f t="shared" si="123"/>
        <v>6.5</v>
      </c>
      <c r="AL46" s="5">
        <f t="shared" si="23"/>
        <v>2</v>
      </c>
      <c r="AM46" s="33">
        <f t="shared" si="68"/>
        <v>7</v>
      </c>
      <c r="AN46" s="6">
        <f t="shared" si="4"/>
        <v>1</v>
      </c>
      <c r="AO46" s="35">
        <v>2</v>
      </c>
      <c r="AP46" s="33">
        <f t="shared" si="69"/>
        <v>7</v>
      </c>
      <c r="AQ46" s="6">
        <f t="shared" si="50"/>
        <v>1</v>
      </c>
      <c r="AR46" s="35">
        <v>3</v>
      </c>
      <c r="AS46" s="33">
        <f t="shared" si="70"/>
        <v>7</v>
      </c>
      <c r="AT46" s="6">
        <f t="shared" si="51"/>
        <v>1</v>
      </c>
      <c r="AU46" s="1">
        <f t="shared" si="124"/>
        <v>9</v>
      </c>
      <c r="AV46" s="5">
        <f t="shared" si="72"/>
        <v>3</v>
      </c>
      <c r="AW46" s="33">
        <f t="shared" si="73"/>
        <v>6</v>
      </c>
      <c r="AX46" s="6">
        <f t="shared" si="6"/>
        <v>1</v>
      </c>
      <c r="AY46" s="35">
        <v>2</v>
      </c>
      <c r="AZ46" s="33">
        <f t="shared" si="74"/>
        <v>6</v>
      </c>
      <c r="BA46" s="6">
        <f t="shared" si="52"/>
        <v>1</v>
      </c>
      <c r="BB46" s="35">
        <v>3</v>
      </c>
      <c r="BC46" s="33">
        <f t="shared" si="75"/>
        <v>6</v>
      </c>
      <c r="BD46" s="6">
        <f t="shared" si="53"/>
        <v>1</v>
      </c>
      <c r="BE46" s="8">
        <f t="shared" si="125"/>
        <v>10</v>
      </c>
      <c r="BF46" s="5">
        <f t="shared" si="77"/>
        <v>3</v>
      </c>
      <c r="BG46" s="33">
        <f t="shared" si="78"/>
        <v>8</v>
      </c>
      <c r="BH46" s="6">
        <f t="shared" si="8"/>
        <v>1</v>
      </c>
      <c r="BI46" s="35">
        <v>2</v>
      </c>
      <c r="BJ46" s="33">
        <f t="shared" si="79"/>
        <v>8</v>
      </c>
      <c r="BK46" s="6">
        <f t="shared" si="54"/>
        <v>1</v>
      </c>
      <c r="BL46" s="35">
        <v>3</v>
      </c>
      <c r="BM46" s="33">
        <f t="shared" si="96"/>
        <v>8</v>
      </c>
      <c r="BN46" s="6">
        <f t="shared" si="55"/>
        <v>1</v>
      </c>
      <c r="BO46" s="8">
        <f t="shared" si="126"/>
        <v>12.5</v>
      </c>
      <c r="BP46" s="5">
        <f t="shared" si="56"/>
        <v>4</v>
      </c>
      <c r="BQ46" s="33">
        <f t="shared" si="81"/>
        <v>10</v>
      </c>
      <c r="BR46" s="6">
        <f t="shared" si="10"/>
        <v>2</v>
      </c>
      <c r="BS46" s="35">
        <v>2</v>
      </c>
      <c r="BT46" s="33">
        <f t="shared" si="82"/>
        <v>10</v>
      </c>
      <c r="BU46" s="6">
        <f t="shared" si="57"/>
        <v>1</v>
      </c>
      <c r="BV46" s="35">
        <v>3</v>
      </c>
      <c r="BW46" s="33">
        <f t="shared" si="83"/>
        <v>10</v>
      </c>
      <c r="BX46" s="6">
        <f t="shared" si="58"/>
        <v>1</v>
      </c>
      <c r="BY46" s="8">
        <f t="shared" si="127"/>
        <v>12.5</v>
      </c>
      <c r="BZ46" s="5">
        <f t="shared" si="59"/>
        <v>4</v>
      </c>
      <c r="CA46" s="33">
        <f t="shared" si="85"/>
        <v>12</v>
      </c>
      <c r="CB46" s="6">
        <f t="shared" si="12"/>
        <v>2</v>
      </c>
      <c r="CC46" s="35">
        <v>2</v>
      </c>
      <c r="CD46" s="33">
        <f t="shared" si="86"/>
        <v>12</v>
      </c>
      <c r="CE46" s="6">
        <f t="shared" si="60"/>
        <v>1</v>
      </c>
      <c r="CF46" s="35">
        <v>3</v>
      </c>
      <c r="CG46" s="33">
        <f t="shared" si="87"/>
        <v>12</v>
      </c>
      <c r="CH46" s="6">
        <f t="shared" si="61"/>
        <v>1</v>
      </c>
      <c r="CI46" s="8">
        <f t="shared" si="128"/>
        <v>12.5</v>
      </c>
      <c r="CJ46" s="15">
        <f t="shared" si="33"/>
        <v>1</v>
      </c>
      <c r="CK46" s="33">
        <f t="shared" si="89"/>
        <v>16</v>
      </c>
      <c r="CL46" s="6">
        <f t="shared" si="14"/>
        <v>1</v>
      </c>
      <c r="CM46" s="35">
        <v>2</v>
      </c>
      <c r="CN46" s="33">
        <f t="shared" si="90"/>
        <v>16</v>
      </c>
      <c r="CO46" s="6">
        <f t="shared" si="62"/>
        <v>1</v>
      </c>
      <c r="CP46" s="35">
        <v>3</v>
      </c>
      <c r="CQ46" s="33">
        <f t="shared" si="91"/>
        <v>16</v>
      </c>
      <c r="CR46" s="6">
        <f t="shared" si="63"/>
        <v>1</v>
      </c>
      <c r="CS46" s="8">
        <f t="shared" si="129"/>
        <v>12.5</v>
      </c>
      <c r="CT46" s="15">
        <f t="shared" si="35"/>
        <v>2</v>
      </c>
      <c r="CU46" s="33">
        <f t="shared" si="120"/>
        <v>28</v>
      </c>
      <c r="CV46" s="6">
        <f t="shared" si="121"/>
        <v>1</v>
      </c>
      <c r="CW46" s="35">
        <v>2</v>
      </c>
      <c r="CX46" s="33">
        <f t="shared" si="93"/>
        <v>19</v>
      </c>
      <c r="CY46" s="6">
        <f t="shared" si="64"/>
        <v>1</v>
      </c>
      <c r="CZ46" s="35">
        <v>3</v>
      </c>
      <c r="DA46" s="33">
        <f t="shared" si="94"/>
        <v>28</v>
      </c>
      <c r="DB46" s="6">
        <f t="shared" si="65"/>
        <v>1</v>
      </c>
      <c r="DC46" s="1">
        <f t="shared" si="130"/>
        <v>12.5</v>
      </c>
    </row>
    <row r="47" s="2" customFormat="1" spans="5:107">
      <c r="E47" s="25" t="s">
        <v>1075</v>
      </c>
      <c r="F47" s="26">
        <v>1</v>
      </c>
      <c r="G47" s="27" t="s">
        <v>1276</v>
      </c>
      <c r="H47" s="27">
        <v>2</v>
      </c>
      <c r="I47" s="27" t="s">
        <v>1276</v>
      </c>
      <c r="J47" s="27">
        <v>3</v>
      </c>
      <c r="K47" s="27" t="s">
        <v>1276</v>
      </c>
      <c r="L47" s="27">
        <v>4</v>
      </c>
      <c r="M47" s="27" t="s">
        <v>1276</v>
      </c>
      <c r="N47" s="28"/>
      <c r="O47" s="26">
        <v>5</v>
      </c>
      <c r="P47" s="27" t="s">
        <v>1277</v>
      </c>
      <c r="Q47" s="27">
        <v>6</v>
      </c>
      <c r="R47" s="27" t="s">
        <v>1277</v>
      </c>
      <c r="U47" s="2">
        <v>45</v>
      </c>
      <c r="V47" s="1" t="str">
        <f t="shared" si="107"/>
        <v>5</v>
      </c>
      <c r="W47" s="1">
        <v>65</v>
      </c>
      <c r="X47" s="30" t="s">
        <v>231</v>
      </c>
      <c r="Y47" s="3">
        <f>出怪成长!C46</f>
        <v>15</v>
      </c>
      <c r="Z47" s="31" t="str">
        <f t="shared" si="97"/>
        <v>1:3:1|1:7:1|2:13:1|2:7:1#2:7:1#3:7:1|3:6:1#2:6:1#3:6:1|3:8:1#2:8:1#3:8:1|4:10:1#2:10:1#3:10:1|4:12:1#2:12:1#3:12:1|1:16:1#2:16:1#3:16:1|2:28:1#2:19:1#3:28:1</v>
      </c>
      <c r="AA47" s="5">
        <f t="shared" si="119"/>
        <v>1</v>
      </c>
      <c r="AB47" s="33">
        <f t="shared" si="108"/>
        <v>3</v>
      </c>
      <c r="AC47" s="6">
        <f t="shared" si="0"/>
        <v>1</v>
      </c>
      <c r="AD47" s="5">
        <f t="shared" si="18"/>
        <v>1</v>
      </c>
      <c r="AE47" s="33">
        <f t="shared" si="109"/>
        <v>7</v>
      </c>
      <c r="AF47" s="6">
        <f t="shared" si="20"/>
        <v>1</v>
      </c>
      <c r="AG47" s="7">
        <f t="shared" si="122"/>
        <v>4.5</v>
      </c>
      <c r="AH47" s="5">
        <f t="shared" si="21"/>
        <v>2</v>
      </c>
      <c r="AI47" s="33">
        <f t="shared" si="1"/>
        <v>13</v>
      </c>
      <c r="AJ47" s="6">
        <f t="shared" si="2"/>
        <v>1</v>
      </c>
      <c r="AK47" s="1">
        <f t="shared" si="123"/>
        <v>6.5</v>
      </c>
      <c r="AL47" s="5">
        <f t="shared" si="23"/>
        <v>2</v>
      </c>
      <c r="AM47" s="33">
        <f t="shared" si="68"/>
        <v>7</v>
      </c>
      <c r="AN47" s="6">
        <f t="shared" si="4"/>
        <v>1</v>
      </c>
      <c r="AO47" s="35">
        <v>2</v>
      </c>
      <c r="AP47" s="33">
        <f t="shared" si="69"/>
        <v>7</v>
      </c>
      <c r="AQ47" s="6">
        <f t="shared" si="50"/>
        <v>1</v>
      </c>
      <c r="AR47" s="35">
        <v>3</v>
      </c>
      <c r="AS47" s="33">
        <f t="shared" si="70"/>
        <v>7</v>
      </c>
      <c r="AT47" s="6">
        <f t="shared" si="51"/>
        <v>1</v>
      </c>
      <c r="AU47" s="1">
        <f t="shared" si="124"/>
        <v>9</v>
      </c>
      <c r="AV47" s="5">
        <f t="shared" si="72"/>
        <v>3</v>
      </c>
      <c r="AW47" s="33">
        <f t="shared" si="73"/>
        <v>6</v>
      </c>
      <c r="AX47" s="6">
        <f t="shared" si="6"/>
        <v>1</v>
      </c>
      <c r="AY47" s="35">
        <v>2</v>
      </c>
      <c r="AZ47" s="33">
        <f t="shared" si="74"/>
        <v>6</v>
      </c>
      <c r="BA47" s="6">
        <f t="shared" si="52"/>
        <v>1</v>
      </c>
      <c r="BB47" s="35">
        <v>3</v>
      </c>
      <c r="BC47" s="33">
        <f t="shared" si="75"/>
        <v>6</v>
      </c>
      <c r="BD47" s="6">
        <f t="shared" si="53"/>
        <v>1</v>
      </c>
      <c r="BE47" s="8">
        <f t="shared" si="125"/>
        <v>10</v>
      </c>
      <c r="BF47" s="5">
        <f t="shared" si="77"/>
        <v>3</v>
      </c>
      <c r="BG47" s="33">
        <f t="shared" si="78"/>
        <v>8</v>
      </c>
      <c r="BH47" s="6">
        <f t="shared" si="8"/>
        <v>1</v>
      </c>
      <c r="BI47" s="35">
        <v>2</v>
      </c>
      <c r="BJ47" s="33">
        <f t="shared" si="79"/>
        <v>8</v>
      </c>
      <c r="BK47" s="6">
        <f t="shared" si="54"/>
        <v>1</v>
      </c>
      <c r="BL47" s="35">
        <v>3</v>
      </c>
      <c r="BM47" s="33">
        <f t="shared" si="96"/>
        <v>8</v>
      </c>
      <c r="BN47" s="6">
        <f t="shared" si="55"/>
        <v>1</v>
      </c>
      <c r="BO47" s="8">
        <f t="shared" si="126"/>
        <v>12.5</v>
      </c>
      <c r="BP47" s="5">
        <f t="shared" si="56"/>
        <v>4</v>
      </c>
      <c r="BQ47" s="33">
        <f t="shared" si="81"/>
        <v>10</v>
      </c>
      <c r="BR47" s="6">
        <f t="shared" si="10"/>
        <v>1</v>
      </c>
      <c r="BS47" s="35">
        <v>2</v>
      </c>
      <c r="BT47" s="33">
        <f t="shared" si="82"/>
        <v>10</v>
      </c>
      <c r="BU47" s="6">
        <f t="shared" si="57"/>
        <v>1</v>
      </c>
      <c r="BV47" s="35">
        <v>3</v>
      </c>
      <c r="BW47" s="33">
        <f t="shared" si="83"/>
        <v>10</v>
      </c>
      <c r="BX47" s="6">
        <f t="shared" si="58"/>
        <v>1</v>
      </c>
      <c r="BY47" s="8">
        <f t="shared" si="127"/>
        <v>12.5</v>
      </c>
      <c r="BZ47" s="5">
        <f t="shared" si="59"/>
        <v>4</v>
      </c>
      <c r="CA47" s="33">
        <f t="shared" si="85"/>
        <v>12</v>
      </c>
      <c r="CB47" s="6">
        <f t="shared" si="12"/>
        <v>1</v>
      </c>
      <c r="CC47" s="35">
        <v>2</v>
      </c>
      <c r="CD47" s="33">
        <f t="shared" si="86"/>
        <v>12</v>
      </c>
      <c r="CE47" s="6">
        <f t="shared" si="60"/>
        <v>1</v>
      </c>
      <c r="CF47" s="35">
        <v>3</v>
      </c>
      <c r="CG47" s="33">
        <f t="shared" si="87"/>
        <v>12</v>
      </c>
      <c r="CH47" s="6">
        <f t="shared" si="61"/>
        <v>1</v>
      </c>
      <c r="CI47" s="8">
        <f t="shared" si="128"/>
        <v>12.5</v>
      </c>
      <c r="CJ47" s="15">
        <f t="shared" si="33"/>
        <v>1</v>
      </c>
      <c r="CK47" s="33">
        <f t="shared" si="89"/>
        <v>16</v>
      </c>
      <c r="CL47" s="6">
        <f t="shared" si="14"/>
        <v>1</v>
      </c>
      <c r="CM47" s="35">
        <v>2</v>
      </c>
      <c r="CN47" s="33">
        <f t="shared" si="90"/>
        <v>16</v>
      </c>
      <c r="CO47" s="6">
        <f t="shared" si="62"/>
        <v>1</v>
      </c>
      <c r="CP47" s="35">
        <v>3</v>
      </c>
      <c r="CQ47" s="33">
        <f t="shared" si="91"/>
        <v>16</v>
      </c>
      <c r="CR47" s="6">
        <f t="shared" si="63"/>
        <v>1</v>
      </c>
      <c r="CS47" s="8">
        <f t="shared" si="129"/>
        <v>12.5</v>
      </c>
      <c r="CT47" s="15">
        <f t="shared" si="35"/>
        <v>2</v>
      </c>
      <c r="CU47" s="32">
        <f t="shared" si="120"/>
        <v>28</v>
      </c>
      <c r="CV47" s="6">
        <f t="shared" si="121"/>
        <v>1</v>
      </c>
      <c r="CW47" s="35">
        <v>2</v>
      </c>
      <c r="CX47" s="33">
        <f t="shared" si="93"/>
        <v>19</v>
      </c>
      <c r="CY47" s="6">
        <f t="shared" si="64"/>
        <v>1</v>
      </c>
      <c r="CZ47" s="35">
        <v>3</v>
      </c>
      <c r="DA47" s="33">
        <f t="shared" si="94"/>
        <v>28</v>
      </c>
      <c r="DB47" s="6">
        <f t="shared" si="65"/>
        <v>1</v>
      </c>
      <c r="DC47" s="1">
        <f t="shared" si="130"/>
        <v>12.5</v>
      </c>
    </row>
    <row r="48" s="2" customFormat="1" spans="5:107">
      <c r="E48" s="25" t="s">
        <v>1083</v>
      </c>
      <c r="F48" s="26">
        <v>1</v>
      </c>
      <c r="G48" s="27" t="s">
        <v>1276</v>
      </c>
      <c r="H48" s="27">
        <v>2</v>
      </c>
      <c r="I48" s="27" t="s">
        <v>1276</v>
      </c>
      <c r="J48" s="27"/>
      <c r="K48" s="27"/>
      <c r="L48" s="27"/>
      <c r="M48" s="27"/>
      <c r="N48" s="28"/>
      <c r="O48" s="26">
        <v>3</v>
      </c>
      <c r="P48" s="27" t="s">
        <v>1277</v>
      </c>
      <c r="Q48" s="27">
        <v>4</v>
      </c>
      <c r="R48" s="27" t="s">
        <v>1277</v>
      </c>
      <c r="U48" s="2">
        <v>46</v>
      </c>
      <c r="V48" s="1" t="str">
        <f t="shared" si="107"/>
        <v>6</v>
      </c>
      <c r="W48" s="1">
        <v>66</v>
      </c>
      <c r="X48" s="30" t="s">
        <v>231</v>
      </c>
      <c r="Y48" s="3">
        <f>出怪成长!C47</f>
        <v>15</v>
      </c>
      <c r="Z48" s="31" t="str">
        <f t="shared" si="97"/>
        <v>1:3:1|1:7:1|2:13:1|2:7:1#2:7:1#3:7:2|3:6:2#2:6:1#3:6:2|3:8:2#2:8:1#3:8:2|4:10:2#2:10:1#3:10:2|4:12:2#2:12:1#3:12:2|1:16:1#2:16:1#3:16:2|2:28:1#2:19:1#3:28:2</v>
      </c>
      <c r="AA48" s="5">
        <f t="shared" si="119"/>
        <v>1</v>
      </c>
      <c r="AB48" s="33">
        <f t="shared" si="108"/>
        <v>3</v>
      </c>
      <c r="AC48" s="6">
        <f t="shared" si="0"/>
        <v>1</v>
      </c>
      <c r="AD48" s="5">
        <f t="shared" si="18"/>
        <v>1</v>
      </c>
      <c r="AE48" s="33">
        <f t="shared" si="109"/>
        <v>7</v>
      </c>
      <c r="AF48" s="6">
        <f t="shared" si="20"/>
        <v>1</v>
      </c>
      <c r="AG48" s="7">
        <f t="shared" si="122"/>
        <v>4.5</v>
      </c>
      <c r="AH48" s="5">
        <f t="shared" si="21"/>
        <v>2</v>
      </c>
      <c r="AI48" s="33">
        <f t="shared" si="1"/>
        <v>13</v>
      </c>
      <c r="AJ48" s="6">
        <f t="shared" si="2"/>
        <v>1</v>
      </c>
      <c r="AK48" s="1">
        <f t="shared" si="123"/>
        <v>6.5</v>
      </c>
      <c r="AL48" s="5">
        <f t="shared" si="23"/>
        <v>2</v>
      </c>
      <c r="AM48" s="33">
        <f t="shared" si="68"/>
        <v>7</v>
      </c>
      <c r="AN48" s="6">
        <f t="shared" si="4"/>
        <v>1</v>
      </c>
      <c r="AO48" s="35">
        <v>2</v>
      </c>
      <c r="AP48" s="33">
        <f t="shared" si="69"/>
        <v>7</v>
      </c>
      <c r="AQ48" s="6">
        <f t="shared" si="50"/>
        <v>1</v>
      </c>
      <c r="AR48" s="35">
        <v>3</v>
      </c>
      <c r="AS48" s="33">
        <f t="shared" si="70"/>
        <v>7</v>
      </c>
      <c r="AT48" s="6">
        <f t="shared" si="51"/>
        <v>2</v>
      </c>
      <c r="AU48" s="1">
        <f t="shared" si="124"/>
        <v>9</v>
      </c>
      <c r="AV48" s="5">
        <f t="shared" si="72"/>
        <v>3</v>
      </c>
      <c r="AW48" s="33">
        <f t="shared" si="73"/>
        <v>6</v>
      </c>
      <c r="AX48" s="6">
        <f t="shared" si="6"/>
        <v>2</v>
      </c>
      <c r="AY48" s="35">
        <v>2</v>
      </c>
      <c r="AZ48" s="33">
        <f t="shared" si="74"/>
        <v>6</v>
      </c>
      <c r="BA48" s="6">
        <f t="shared" si="52"/>
        <v>1</v>
      </c>
      <c r="BB48" s="35">
        <v>3</v>
      </c>
      <c r="BC48" s="33">
        <f t="shared" si="75"/>
        <v>6</v>
      </c>
      <c r="BD48" s="6">
        <f t="shared" si="53"/>
        <v>2</v>
      </c>
      <c r="BE48" s="8">
        <f t="shared" si="125"/>
        <v>10</v>
      </c>
      <c r="BF48" s="5">
        <f t="shared" si="77"/>
        <v>3</v>
      </c>
      <c r="BG48" s="33">
        <f t="shared" si="78"/>
        <v>8</v>
      </c>
      <c r="BH48" s="6">
        <f t="shared" si="8"/>
        <v>2</v>
      </c>
      <c r="BI48" s="35">
        <v>2</v>
      </c>
      <c r="BJ48" s="33">
        <f t="shared" si="79"/>
        <v>8</v>
      </c>
      <c r="BK48" s="6">
        <f t="shared" si="54"/>
        <v>1</v>
      </c>
      <c r="BL48" s="35">
        <v>3</v>
      </c>
      <c r="BM48" s="33">
        <f t="shared" si="96"/>
        <v>8</v>
      </c>
      <c r="BN48" s="6">
        <f t="shared" si="55"/>
        <v>2</v>
      </c>
      <c r="BO48" s="8">
        <f t="shared" si="126"/>
        <v>12.5</v>
      </c>
      <c r="BP48" s="5">
        <f t="shared" si="56"/>
        <v>4</v>
      </c>
      <c r="BQ48" s="33">
        <f t="shared" si="81"/>
        <v>10</v>
      </c>
      <c r="BR48" s="6">
        <f t="shared" si="10"/>
        <v>2</v>
      </c>
      <c r="BS48" s="35">
        <v>2</v>
      </c>
      <c r="BT48" s="33">
        <f t="shared" si="82"/>
        <v>10</v>
      </c>
      <c r="BU48" s="6">
        <f t="shared" si="57"/>
        <v>1</v>
      </c>
      <c r="BV48" s="35">
        <v>3</v>
      </c>
      <c r="BW48" s="33">
        <f t="shared" si="83"/>
        <v>10</v>
      </c>
      <c r="BX48" s="6">
        <f t="shared" si="58"/>
        <v>2</v>
      </c>
      <c r="BY48" s="8">
        <f t="shared" si="127"/>
        <v>12.5</v>
      </c>
      <c r="BZ48" s="5">
        <f t="shared" si="59"/>
        <v>4</v>
      </c>
      <c r="CA48" s="33">
        <f t="shared" si="85"/>
        <v>12</v>
      </c>
      <c r="CB48" s="6">
        <f t="shared" si="12"/>
        <v>2</v>
      </c>
      <c r="CC48" s="35">
        <v>2</v>
      </c>
      <c r="CD48" s="33">
        <f t="shared" si="86"/>
        <v>12</v>
      </c>
      <c r="CE48" s="6">
        <f t="shared" si="60"/>
        <v>1</v>
      </c>
      <c r="CF48" s="35">
        <v>3</v>
      </c>
      <c r="CG48" s="33">
        <f t="shared" si="87"/>
        <v>12</v>
      </c>
      <c r="CH48" s="6">
        <f t="shared" si="61"/>
        <v>2</v>
      </c>
      <c r="CI48" s="8">
        <f t="shared" si="128"/>
        <v>12.5</v>
      </c>
      <c r="CJ48" s="15">
        <f t="shared" si="33"/>
        <v>1</v>
      </c>
      <c r="CK48" s="33">
        <f t="shared" si="89"/>
        <v>16</v>
      </c>
      <c r="CL48" s="6">
        <f t="shared" si="14"/>
        <v>1</v>
      </c>
      <c r="CM48" s="35">
        <v>2</v>
      </c>
      <c r="CN48" s="33">
        <f t="shared" si="90"/>
        <v>16</v>
      </c>
      <c r="CO48" s="6">
        <f t="shared" si="62"/>
        <v>1</v>
      </c>
      <c r="CP48" s="35">
        <v>3</v>
      </c>
      <c r="CQ48" s="33">
        <f t="shared" si="91"/>
        <v>16</v>
      </c>
      <c r="CR48" s="6">
        <f t="shared" si="63"/>
        <v>2</v>
      </c>
      <c r="CS48" s="8">
        <f t="shared" si="129"/>
        <v>12.5</v>
      </c>
      <c r="CT48" s="15">
        <f t="shared" si="35"/>
        <v>2</v>
      </c>
      <c r="CU48" s="33">
        <f t="shared" si="120"/>
        <v>28</v>
      </c>
      <c r="CV48" s="6">
        <f t="shared" si="121"/>
        <v>1</v>
      </c>
      <c r="CW48" s="35">
        <v>2</v>
      </c>
      <c r="CX48" s="33">
        <f t="shared" si="93"/>
        <v>19</v>
      </c>
      <c r="CY48" s="6">
        <f t="shared" si="64"/>
        <v>1</v>
      </c>
      <c r="CZ48" s="35">
        <v>3</v>
      </c>
      <c r="DA48" s="33">
        <f t="shared" si="94"/>
        <v>28</v>
      </c>
      <c r="DB48" s="6">
        <f t="shared" si="65"/>
        <v>2</v>
      </c>
      <c r="DC48" s="1">
        <f t="shared" si="130"/>
        <v>12.5</v>
      </c>
    </row>
    <row r="49" s="2" customFormat="1" spans="5:107">
      <c r="E49" s="25" t="s">
        <v>1090</v>
      </c>
      <c r="F49" s="26">
        <v>1</v>
      </c>
      <c r="G49" s="27" t="s">
        <v>1276</v>
      </c>
      <c r="H49" s="27">
        <v>2</v>
      </c>
      <c r="I49" s="27" t="s">
        <v>1276</v>
      </c>
      <c r="J49" s="27">
        <v>3</v>
      </c>
      <c r="K49" s="27" t="s">
        <v>1276</v>
      </c>
      <c r="L49" s="27"/>
      <c r="M49" s="27"/>
      <c r="N49" s="28"/>
      <c r="O49" s="26">
        <v>4</v>
      </c>
      <c r="P49" s="27" t="s">
        <v>1277</v>
      </c>
      <c r="Q49" s="27">
        <v>5</v>
      </c>
      <c r="R49" s="27" t="s">
        <v>1277</v>
      </c>
      <c r="U49" s="2">
        <v>47</v>
      </c>
      <c r="V49" s="1" t="str">
        <f t="shared" si="107"/>
        <v>7</v>
      </c>
      <c r="W49" s="1">
        <v>67</v>
      </c>
      <c r="X49" s="30" t="s">
        <v>231</v>
      </c>
      <c r="Y49" s="3">
        <f>出怪成长!C48</f>
        <v>15</v>
      </c>
      <c r="Z49" s="31" t="str">
        <f t="shared" si="97"/>
        <v>1:3:1|1:7:1|2:13:1|2:7:1#2:7:1#3:7:1|3:6:1#2:6:1#3:6:1|3:8:1#2:8:1#3:8:1|4:10:2#2:10:1#3:10:1|4:12:2#2:12:1#3:12:1|1:16:1#2:16:1#3:16:1|2:28:1#2:19:1#3:28:1</v>
      </c>
      <c r="AA49" s="5">
        <f t="shared" si="119"/>
        <v>1</v>
      </c>
      <c r="AB49" s="33">
        <f t="shared" si="108"/>
        <v>3</v>
      </c>
      <c r="AC49" s="6">
        <f t="shared" si="0"/>
        <v>1</v>
      </c>
      <c r="AD49" s="5">
        <f t="shared" si="18"/>
        <v>1</v>
      </c>
      <c r="AE49" s="33">
        <f t="shared" si="109"/>
        <v>7</v>
      </c>
      <c r="AF49" s="6">
        <f t="shared" si="20"/>
        <v>1</v>
      </c>
      <c r="AG49" s="7">
        <f t="shared" si="122"/>
        <v>4.5</v>
      </c>
      <c r="AH49" s="5">
        <f t="shared" si="21"/>
        <v>2</v>
      </c>
      <c r="AI49" s="33">
        <f t="shared" si="1"/>
        <v>13</v>
      </c>
      <c r="AJ49" s="6">
        <f t="shared" si="2"/>
        <v>1</v>
      </c>
      <c r="AK49" s="1">
        <f t="shared" si="123"/>
        <v>6.5</v>
      </c>
      <c r="AL49" s="5">
        <f t="shared" si="23"/>
        <v>2</v>
      </c>
      <c r="AM49" s="33">
        <f t="shared" si="68"/>
        <v>7</v>
      </c>
      <c r="AN49" s="6">
        <f t="shared" si="4"/>
        <v>1</v>
      </c>
      <c r="AO49" s="35">
        <v>2</v>
      </c>
      <c r="AP49" s="33">
        <f t="shared" si="69"/>
        <v>7</v>
      </c>
      <c r="AQ49" s="6">
        <f t="shared" si="50"/>
        <v>1</v>
      </c>
      <c r="AR49" s="35">
        <v>3</v>
      </c>
      <c r="AS49" s="33">
        <f t="shared" si="70"/>
        <v>7</v>
      </c>
      <c r="AT49" s="6">
        <f t="shared" si="51"/>
        <v>1</v>
      </c>
      <c r="AU49" s="1">
        <f t="shared" si="124"/>
        <v>9</v>
      </c>
      <c r="AV49" s="5">
        <f t="shared" si="72"/>
        <v>3</v>
      </c>
      <c r="AW49" s="33">
        <f t="shared" si="73"/>
        <v>6</v>
      </c>
      <c r="AX49" s="6">
        <f t="shared" si="6"/>
        <v>1</v>
      </c>
      <c r="AY49" s="35">
        <v>2</v>
      </c>
      <c r="AZ49" s="33">
        <f t="shared" si="74"/>
        <v>6</v>
      </c>
      <c r="BA49" s="6">
        <f t="shared" si="52"/>
        <v>1</v>
      </c>
      <c r="BB49" s="35">
        <v>3</v>
      </c>
      <c r="BC49" s="33">
        <f t="shared" si="75"/>
        <v>6</v>
      </c>
      <c r="BD49" s="6">
        <f t="shared" si="53"/>
        <v>1</v>
      </c>
      <c r="BE49" s="8">
        <f t="shared" si="125"/>
        <v>10</v>
      </c>
      <c r="BF49" s="5">
        <f t="shared" si="77"/>
        <v>3</v>
      </c>
      <c r="BG49" s="33">
        <f t="shared" si="78"/>
        <v>8</v>
      </c>
      <c r="BH49" s="6">
        <f t="shared" si="8"/>
        <v>1</v>
      </c>
      <c r="BI49" s="35">
        <v>2</v>
      </c>
      <c r="BJ49" s="33">
        <f t="shared" si="79"/>
        <v>8</v>
      </c>
      <c r="BK49" s="6">
        <f t="shared" si="54"/>
        <v>1</v>
      </c>
      <c r="BL49" s="35">
        <v>3</v>
      </c>
      <c r="BM49" s="33">
        <f t="shared" si="96"/>
        <v>8</v>
      </c>
      <c r="BN49" s="6">
        <f t="shared" si="55"/>
        <v>1</v>
      </c>
      <c r="BO49" s="8">
        <f t="shared" si="126"/>
        <v>12.5</v>
      </c>
      <c r="BP49" s="5">
        <f t="shared" si="56"/>
        <v>4</v>
      </c>
      <c r="BQ49" s="33">
        <f t="shared" si="81"/>
        <v>10</v>
      </c>
      <c r="BR49" s="6">
        <f t="shared" si="10"/>
        <v>2</v>
      </c>
      <c r="BS49" s="35">
        <v>2</v>
      </c>
      <c r="BT49" s="33">
        <f t="shared" si="82"/>
        <v>10</v>
      </c>
      <c r="BU49" s="6">
        <f t="shared" si="57"/>
        <v>1</v>
      </c>
      <c r="BV49" s="35">
        <v>3</v>
      </c>
      <c r="BW49" s="33">
        <f t="shared" si="83"/>
        <v>10</v>
      </c>
      <c r="BX49" s="6">
        <f t="shared" si="58"/>
        <v>1</v>
      </c>
      <c r="BY49" s="8">
        <f t="shared" si="127"/>
        <v>12.5</v>
      </c>
      <c r="BZ49" s="5">
        <f t="shared" si="59"/>
        <v>4</v>
      </c>
      <c r="CA49" s="33">
        <f t="shared" si="85"/>
        <v>12</v>
      </c>
      <c r="CB49" s="6">
        <f t="shared" si="12"/>
        <v>2</v>
      </c>
      <c r="CC49" s="35">
        <v>2</v>
      </c>
      <c r="CD49" s="33">
        <f t="shared" si="86"/>
        <v>12</v>
      </c>
      <c r="CE49" s="6">
        <f t="shared" si="60"/>
        <v>1</v>
      </c>
      <c r="CF49" s="35">
        <v>3</v>
      </c>
      <c r="CG49" s="33">
        <f t="shared" si="87"/>
        <v>12</v>
      </c>
      <c r="CH49" s="6">
        <f t="shared" si="61"/>
        <v>1</v>
      </c>
      <c r="CI49" s="8">
        <f t="shared" si="128"/>
        <v>12.5</v>
      </c>
      <c r="CJ49" s="15">
        <f t="shared" si="33"/>
        <v>1</v>
      </c>
      <c r="CK49" s="33">
        <f t="shared" si="89"/>
        <v>16</v>
      </c>
      <c r="CL49" s="6">
        <f t="shared" si="14"/>
        <v>1</v>
      </c>
      <c r="CM49" s="35">
        <v>2</v>
      </c>
      <c r="CN49" s="33">
        <f t="shared" si="90"/>
        <v>16</v>
      </c>
      <c r="CO49" s="6">
        <f t="shared" si="62"/>
        <v>1</v>
      </c>
      <c r="CP49" s="35">
        <v>3</v>
      </c>
      <c r="CQ49" s="33">
        <f t="shared" si="91"/>
        <v>16</v>
      </c>
      <c r="CR49" s="6">
        <f t="shared" si="63"/>
        <v>1</v>
      </c>
      <c r="CS49" s="8">
        <f t="shared" si="129"/>
        <v>12.5</v>
      </c>
      <c r="CT49" s="15">
        <f t="shared" si="35"/>
        <v>2</v>
      </c>
      <c r="CU49" s="32">
        <f t="shared" si="120"/>
        <v>28</v>
      </c>
      <c r="CV49" s="6">
        <f t="shared" si="121"/>
        <v>1</v>
      </c>
      <c r="CW49" s="35">
        <v>2</v>
      </c>
      <c r="CX49" s="33">
        <f t="shared" si="93"/>
        <v>19</v>
      </c>
      <c r="CY49" s="6">
        <f t="shared" si="64"/>
        <v>1</v>
      </c>
      <c r="CZ49" s="35">
        <v>3</v>
      </c>
      <c r="DA49" s="33">
        <f t="shared" si="94"/>
        <v>28</v>
      </c>
      <c r="DB49" s="6">
        <f t="shared" si="65"/>
        <v>1</v>
      </c>
      <c r="DC49" s="1">
        <f t="shared" si="130"/>
        <v>12.5</v>
      </c>
    </row>
    <row r="50" s="2" customFormat="1" spans="5:107">
      <c r="E50" s="25" t="s">
        <v>1093</v>
      </c>
      <c r="F50" s="26">
        <v>1</v>
      </c>
      <c r="G50" s="27" t="s">
        <v>1276</v>
      </c>
      <c r="H50" s="27">
        <v>2</v>
      </c>
      <c r="I50" s="27" t="s">
        <v>1276</v>
      </c>
      <c r="J50" s="27">
        <v>3</v>
      </c>
      <c r="K50" s="27" t="s">
        <v>1276</v>
      </c>
      <c r="L50" s="27">
        <v>4</v>
      </c>
      <c r="M50" s="27" t="s">
        <v>1276</v>
      </c>
      <c r="N50" s="28"/>
      <c r="O50" s="26">
        <v>5</v>
      </c>
      <c r="P50" s="27" t="s">
        <v>1277</v>
      </c>
      <c r="Q50" s="27">
        <v>6</v>
      </c>
      <c r="R50" s="27" t="s">
        <v>1277</v>
      </c>
      <c r="U50" s="2">
        <v>48</v>
      </c>
      <c r="V50" s="1" t="str">
        <f t="shared" si="107"/>
        <v>8</v>
      </c>
      <c r="W50" s="1">
        <v>68</v>
      </c>
      <c r="X50" s="30" t="s">
        <v>231</v>
      </c>
      <c r="Y50" s="3">
        <f>出怪成长!C49</f>
        <v>15</v>
      </c>
      <c r="Z50" s="31" t="str">
        <f t="shared" si="97"/>
        <v>1:3:1|1:7:1|2:13:1|2:7:1#2:7:1#3:7:1|3:6:1#2:6:1#3:6:1|3:8:1#2:8:1#3:8:1|4:10:1#2:10:1#3:10:1|4:12:1#2:12:1#3:12:1|1:16:1#2:16:1#3:16:1|2:28:1#2:19:1#3:28:1</v>
      </c>
      <c r="AA50" s="5">
        <f t="shared" si="119"/>
        <v>1</v>
      </c>
      <c r="AB50" s="33">
        <f t="shared" si="108"/>
        <v>3</v>
      </c>
      <c r="AC50" s="6">
        <f t="shared" si="0"/>
        <v>1</v>
      </c>
      <c r="AD50" s="5">
        <f t="shared" si="18"/>
        <v>1</v>
      </c>
      <c r="AE50" s="33">
        <f t="shared" si="109"/>
        <v>7</v>
      </c>
      <c r="AF50" s="6">
        <f t="shared" si="20"/>
        <v>1</v>
      </c>
      <c r="AG50" s="7">
        <f t="shared" si="122"/>
        <v>4.5</v>
      </c>
      <c r="AH50" s="5">
        <f t="shared" si="21"/>
        <v>2</v>
      </c>
      <c r="AI50" s="33">
        <f t="shared" si="1"/>
        <v>13</v>
      </c>
      <c r="AJ50" s="6">
        <f t="shared" si="2"/>
        <v>1</v>
      </c>
      <c r="AK50" s="1">
        <f t="shared" si="123"/>
        <v>6.5</v>
      </c>
      <c r="AL50" s="5">
        <f t="shared" si="23"/>
        <v>2</v>
      </c>
      <c r="AM50" s="33">
        <f t="shared" si="68"/>
        <v>7</v>
      </c>
      <c r="AN50" s="6">
        <f t="shared" si="4"/>
        <v>1</v>
      </c>
      <c r="AO50" s="35">
        <v>2</v>
      </c>
      <c r="AP50" s="33">
        <f t="shared" si="69"/>
        <v>7</v>
      </c>
      <c r="AQ50" s="6">
        <f t="shared" si="50"/>
        <v>1</v>
      </c>
      <c r="AR50" s="35">
        <v>3</v>
      </c>
      <c r="AS50" s="33">
        <f t="shared" si="70"/>
        <v>7</v>
      </c>
      <c r="AT50" s="6">
        <f t="shared" si="51"/>
        <v>1</v>
      </c>
      <c r="AU50" s="1">
        <f t="shared" si="124"/>
        <v>9</v>
      </c>
      <c r="AV50" s="5">
        <f t="shared" si="72"/>
        <v>3</v>
      </c>
      <c r="AW50" s="33">
        <f t="shared" si="73"/>
        <v>6</v>
      </c>
      <c r="AX50" s="6">
        <f t="shared" si="6"/>
        <v>1</v>
      </c>
      <c r="AY50" s="35">
        <v>2</v>
      </c>
      <c r="AZ50" s="33">
        <f t="shared" si="74"/>
        <v>6</v>
      </c>
      <c r="BA50" s="6">
        <f t="shared" si="52"/>
        <v>1</v>
      </c>
      <c r="BB50" s="35">
        <v>3</v>
      </c>
      <c r="BC50" s="33">
        <f t="shared" si="75"/>
        <v>6</v>
      </c>
      <c r="BD50" s="6">
        <f t="shared" si="53"/>
        <v>1</v>
      </c>
      <c r="BE50" s="8">
        <f t="shared" si="125"/>
        <v>10</v>
      </c>
      <c r="BF50" s="5">
        <f t="shared" si="77"/>
        <v>3</v>
      </c>
      <c r="BG50" s="33">
        <f t="shared" si="78"/>
        <v>8</v>
      </c>
      <c r="BH50" s="6">
        <f t="shared" si="8"/>
        <v>1</v>
      </c>
      <c r="BI50" s="35">
        <v>2</v>
      </c>
      <c r="BJ50" s="33">
        <f t="shared" si="79"/>
        <v>8</v>
      </c>
      <c r="BK50" s="6">
        <f t="shared" si="54"/>
        <v>1</v>
      </c>
      <c r="BL50" s="35">
        <v>3</v>
      </c>
      <c r="BM50" s="33">
        <f t="shared" si="96"/>
        <v>8</v>
      </c>
      <c r="BN50" s="6">
        <f t="shared" si="55"/>
        <v>1</v>
      </c>
      <c r="BO50" s="8">
        <f t="shared" si="126"/>
        <v>12.5</v>
      </c>
      <c r="BP50" s="5">
        <f t="shared" si="56"/>
        <v>4</v>
      </c>
      <c r="BQ50" s="33">
        <f t="shared" si="81"/>
        <v>10</v>
      </c>
      <c r="BR50" s="6">
        <f t="shared" si="10"/>
        <v>1</v>
      </c>
      <c r="BS50" s="35">
        <v>2</v>
      </c>
      <c r="BT50" s="33">
        <f t="shared" si="82"/>
        <v>10</v>
      </c>
      <c r="BU50" s="6">
        <f t="shared" si="57"/>
        <v>1</v>
      </c>
      <c r="BV50" s="35">
        <v>3</v>
      </c>
      <c r="BW50" s="33">
        <f t="shared" si="83"/>
        <v>10</v>
      </c>
      <c r="BX50" s="6">
        <f t="shared" si="58"/>
        <v>1</v>
      </c>
      <c r="BY50" s="8">
        <f t="shared" si="127"/>
        <v>12.5</v>
      </c>
      <c r="BZ50" s="5">
        <f t="shared" si="59"/>
        <v>4</v>
      </c>
      <c r="CA50" s="33">
        <f t="shared" si="85"/>
        <v>12</v>
      </c>
      <c r="CB50" s="6">
        <f t="shared" si="12"/>
        <v>1</v>
      </c>
      <c r="CC50" s="35">
        <v>2</v>
      </c>
      <c r="CD50" s="33">
        <f t="shared" si="86"/>
        <v>12</v>
      </c>
      <c r="CE50" s="6">
        <f t="shared" si="60"/>
        <v>1</v>
      </c>
      <c r="CF50" s="35">
        <v>3</v>
      </c>
      <c r="CG50" s="33">
        <f t="shared" si="87"/>
        <v>12</v>
      </c>
      <c r="CH50" s="6">
        <f t="shared" si="61"/>
        <v>1</v>
      </c>
      <c r="CI50" s="8">
        <f t="shared" si="128"/>
        <v>12.5</v>
      </c>
      <c r="CJ50" s="15">
        <f t="shared" si="33"/>
        <v>1</v>
      </c>
      <c r="CK50" s="33">
        <f t="shared" si="89"/>
        <v>16</v>
      </c>
      <c r="CL50" s="6">
        <f t="shared" si="14"/>
        <v>1</v>
      </c>
      <c r="CM50" s="35">
        <v>2</v>
      </c>
      <c r="CN50" s="33">
        <f t="shared" si="90"/>
        <v>16</v>
      </c>
      <c r="CO50" s="6">
        <f t="shared" si="62"/>
        <v>1</v>
      </c>
      <c r="CP50" s="35">
        <v>3</v>
      </c>
      <c r="CQ50" s="33">
        <f t="shared" si="91"/>
        <v>16</v>
      </c>
      <c r="CR50" s="6">
        <f t="shared" si="63"/>
        <v>1</v>
      </c>
      <c r="CS50" s="8">
        <f t="shared" si="129"/>
        <v>12.5</v>
      </c>
      <c r="CT50" s="15">
        <f t="shared" si="35"/>
        <v>2</v>
      </c>
      <c r="CU50" s="33">
        <f t="shared" si="120"/>
        <v>28</v>
      </c>
      <c r="CV50" s="6">
        <f t="shared" si="121"/>
        <v>1</v>
      </c>
      <c r="CW50" s="35">
        <v>2</v>
      </c>
      <c r="CX50" s="33">
        <f t="shared" si="93"/>
        <v>19</v>
      </c>
      <c r="CY50" s="6">
        <f t="shared" si="64"/>
        <v>1</v>
      </c>
      <c r="CZ50" s="35">
        <v>3</v>
      </c>
      <c r="DA50" s="33">
        <f t="shared" si="94"/>
        <v>28</v>
      </c>
      <c r="DB50" s="6">
        <f t="shared" si="65"/>
        <v>1</v>
      </c>
      <c r="DC50" s="1">
        <f t="shared" si="130"/>
        <v>12.5</v>
      </c>
    </row>
    <row r="51" s="2" customFormat="1" spans="5:107">
      <c r="E51" s="25" t="s">
        <v>1096</v>
      </c>
      <c r="F51" s="26">
        <v>1</v>
      </c>
      <c r="G51" s="27" t="s">
        <v>1276</v>
      </c>
      <c r="H51" s="27">
        <v>2</v>
      </c>
      <c r="I51" s="27" t="s">
        <v>1276</v>
      </c>
      <c r="J51" s="27">
        <v>3</v>
      </c>
      <c r="K51" s="27" t="s">
        <v>1276</v>
      </c>
      <c r="L51" s="27">
        <v>4</v>
      </c>
      <c r="M51" s="27" t="s">
        <v>1276</v>
      </c>
      <c r="N51" s="28"/>
      <c r="O51" s="26">
        <v>5</v>
      </c>
      <c r="P51" s="27" t="s">
        <v>1277</v>
      </c>
      <c r="Q51" s="27">
        <v>6</v>
      </c>
      <c r="R51" s="27" t="s">
        <v>1277</v>
      </c>
      <c r="U51" s="2">
        <v>49</v>
      </c>
      <c r="V51" s="1" t="str">
        <f t="shared" si="107"/>
        <v>1</v>
      </c>
      <c r="W51" s="1">
        <v>71</v>
      </c>
      <c r="X51" s="30" t="s">
        <v>248</v>
      </c>
      <c r="Y51" s="3">
        <f>出怪成长!C50</f>
        <v>15</v>
      </c>
      <c r="Z51" s="31" t="str">
        <f t="shared" si="97"/>
        <v>1:2:1|1:3:1|2:10:1|2:6:1#2:6:1#3:6:1|3:6:1#2:6:1#3:6:1|3:9:1#2:9:1#3:9:1|4:11:1#2:11:1#3:11:1|4:13:1#2:13:1#3:13:1|1:18:1#2:18:1#3:18:1|2:32:1#2:21:1#3:32:1</v>
      </c>
      <c r="AA51" s="5">
        <f t="shared" si="119"/>
        <v>1</v>
      </c>
      <c r="AB51" s="32">
        <f t="shared" si="108"/>
        <v>2</v>
      </c>
      <c r="AC51" s="6">
        <f t="shared" si="0"/>
        <v>1</v>
      </c>
      <c r="AD51" s="5">
        <f t="shared" si="18"/>
        <v>1</v>
      </c>
      <c r="AE51" s="32">
        <f t="shared" si="109"/>
        <v>3</v>
      </c>
      <c r="AF51" s="6">
        <f t="shared" si="20"/>
        <v>1</v>
      </c>
      <c r="AG51" s="13">
        <v>1.5</v>
      </c>
      <c r="AH51" s="5">
        <f t="shared" si="21"/>
        <v>2</v>
      </c>
      <c r="AI51" s="32">
        <f t="shared" si="1"/>
        <v>10</v>
      </c>
      <c r="AJ51" s="6">
        <f t="shared" si="2"/>
        <v>1</v>
      </c>
      <c r="AK51" s="34">
        <f>AK43+AK$1</f>
        <v>7</v>
      </c>
      <c r="AL51" s="5">
        <f t="shared" si="23"/>
        <v>2</v>
      </c>
      <c r="AM51" s="33">
        <f t="shared" si="68"/>
        <v>6</v>
      </c>
      <c r="AN51" s="6">
        <f t="shared" si="4"/>
        <v>1</v>
      </c>
      <c r="AO51" s="35">
        <v>2</v>
      </c>
      <c r="AP51" s="33">
        <f t="shared" si="69"/>
        <v>6</v>
      </c>
      <c r="AQ51" s="6">
        <f t="shared" si="50"/>
        <v>1</v>
      </c>
      <c r="AR51" s="35">
        <v>3</v>
      </c>
      <c r="AS51" s="33">
        <f t="shared" si="70"/>
        <v>6</v>
      </c>
      <c r="AT51" s="6">
        <f t="shared" si="51"/>
        <v>1</v>
      </c>
      <c r="AU51" s="34">
        <f>AU43+AU$1</f>
        <v>10</v>
      </c>
      <c r="AV51" s="5">
        <f t="shared" si="72"/>
        <v>3</v>
      </c>
      <c r="AW51" s="33">
        <f t="shared" si="73"/>
        <v>6</v>
      </c>
      <c r="AX51" s="6">
        <f t="shared" si="6"/>
        <v>1</v>
      </c>
      <c r="AY51" s="35">
        <v>2</v>
      </c>
      <c r="AZ51" s="33">
        <f t="shared" si="74"/>
        <v>6</v>
      </c>
      <c r="BA51" s="6">
        <f t="shared" si="52"/>
        <v>1</v>
      </c>
      <c r="BB51" s="35">
        <v>3</v>
      </c>
      <c r="BC51" s="33">
        <f t="shared" si="75"/>
        <v>6</v>
      </c>
      <c r="BD51" s="6">
        <f t="shared" si="53"/>
        <v>1</v>
      </c>
      <c r="BE51" s="7">
        <f>BE43+BE$1</f>
        <v>11</v>
      </c>
      <c r="BF51" s="5">
        <f t="shared" si="77"/>
        <v>3</v>
      </c>
      <c r="BG51" s="33">
        <f t="shared" si="78"/>
        <v>9</v>
      </c>
      <c r="BH51" s="6">
        <f t="shared" si="8"/>
        <v>1</v>
      </c>
      <c r="BI51" s="35">
        <v>2</v>
      </c>
      <c r="BJ51" s="33">
        <f t="shared" si="79"/>
        <v>9</v>
      </c>
      <c r="BK51" s="6">
        <f t="shared" si="54"/>
        <v>1</v>
      </c>
      <c r="BL51" s="35">
        <v>3</v>
      </c>
      <c r="BM51" s="33">
        <f t="shared" si="96"/>
        <v>9</v>
      </c>
      <c r="BN51" s="6">
        <f t="shared" si="55"/>
        <v>1</v>
      </c>
      <c r="BO51" s="7">
        <f>BO43+BO$1</f>
        <v>14</v>
      </c>
      <c r="BP51" s="5">
        <f t="shared" si="56"/>
        <v>4</v>
      </c>
      <c r="BQ51" s="33">
        <f t="shared" si="81"/>
        <v>11</v>
      </c>
      <c r="BR51" s="6">
        <f t="shared" si="10"/>
        <v>1</v>
      </c>
      <c r="BS51" s="35">
        <v>2</v>
      </c>
      <c r="BT51" s="33">
        <f t="shared" si="82"/>
        <v>11</v>
      </c>
      <c r="BU51" s="6">
        <f t="shared" si="57"/>
        <v>1</v>
      </c>
      <c r="BV51" s="35">
        <v>3</v>
      </c>
      <c r="BW51" s="33">
        <f t="shared" si="83"/>
        <v>11</v>
      </c>
      <c r="BX51" s="6">
        <f t="shared" si="58"/>
        <v>1</v>
      </c>
      <c r="BY51" s="7">
        <f>BY43+BY$1</f>
        <v>14</v>
      </c>
      <c r="BZ51" s="5">
        <f t="shared" si="59"/>
        <v>4</v>
      </c>
      <c r="CA51" s="33">
        <f t="shared" si="85"/>
        <v>13</v>
      </c>
      <c r="CB51" s="6">
        <f t="shared" si="12"/>
        <v>1</v>
      </c>
      <c r="CC51" s="35">
        <v>2</v>
      </c>
      <c r="CD51" s="33">
        <f t="shared" si="86"/>
        <v>13</v>
      </c>
      <c r="CE51" s="6">
        <f t="shared" si="60"/>
        <v>1</v>
      </c>
      <c r="CF51" s="35">
        <v>3</v>
      </c>
      <c r="CG51" s="33">
        <f t="shared" si="87"/>
        <v>13</v>
      </c>
      <c r="CH51" s="6">
        <f t="shared" si="61"/>
        <v>1</v>
      </c>
      <c r="CI51" s="7">
        <f>CI43+CI$1</f>
        <v>14</v>
      </c>
      <c r="CJ51" s="15">
        <f t="shared" si="33"/>
        <v>1</v>
      </c>
      <c r="CK51" s="33">
        <f t="shared" si="89"/>
        <v>18</v>
      </c>
      <c r="CL51" s="6">
        <f t="shared" si="14"/>
        <v>1</v>
      </c>
      <c r="CM51" s="35">
        <v>2</v>
      </c>
      <c r="CN51" s="33">
        <f t="shared" si="90"/>
        <v>18</v>
      </c>
      <c r="CO51" s="6">
        <f t="shared" si="62"/>
        <v>1</v>
      </c>
      <c r="CP51" s="35">
        <v>3</v>
      </c>
      <c r="CQ51" s="33">
        <f t="shared" si="91"/>
        <v>18</v>
      </c>
      <c r="CR51" s="6">
        <f t="shared" si="63"/>
        <v>1</v>
      </c>
      <c r="CS51" s="7">
        <f>CS43+CS$1</f>
        <v>14</v>
      </c>
      <c r="CT51" s="15">
        <f t="shared" si="35"/>
        <v>2</v>
      </c>
      <c r="CU51" s="32">
        <f t="shared" si="120"/>
        <v>32</v>
      </c>
      <c r="CV51" s="6">
        <f t="shared" si="121"/>
        <v>1</v>
      </c>
      <c r="CW51" s="35">
        <v>2</v>
      </c>
      <c r="CX51" s="33">
        <f t="shared" si="93"/>
        <v>21</v>
      </c>
      <c r="CY51" s="6">
        <f t="shared" si="64"/>
        <v>1</v>
      </c>
      <c r="CZ51" s="35">
        <v>3</v>
      </c>
      <c r="DA51" s="33">
        <f t="shared" si="94"/>
        <v>32</v>
      </c>
      <c r="DB51" s="6">
        <f t="shared" si="65"/>
        <v>1</v>
      </c>
      <c r="DC51" s="34">
        <f>DC43+DC$1</f>
        <v>14</v>
      </c>
    </row>
    <row r="52" s="2" customFormat="1" spans="5:107">
      <c r="E52" s="25" t="s">
        <v>1106</v>
      </c>
      <c r="F52" s="26">
        <v>1</v>
      </c>
      <c r="G52" s="27" t="s">
        <v>1276</v>
      </c>
      <c r="H52" s="27">
        <v>2</v>
      </c>
      <c r="I52" s="27" t="s">
        <v>1276</v>
      </c>
      <c r="J52" s="27">
        <v>3</v>
      </c>
      <c r="K52" s="27" t="s">
        <v>1276</v>
      </c>
      <c r="L52" s="27">
        <v>4</v>
      </c>
      <c r="M52" s="27" t="s">
        <v>1276</v>
      </c>
      <c r="N52" s="28"/>
      <c r="O52" s="26">
        <v>5</v>
      </c>
      <c r="P52" s="27" t="s">
        <v>1277</v>
      </c>
      <c r="Q52" s="27">
        <v>6</v>
      </c>
      <c r="R52" s="27" t="s">
        <v>1277</v>
      </c>
      <c r="U52" s="2">
        <v>50</v>
      </c>
      <c r="V52" s="1" t="str">
        <f t="shared" si="107"/>
        <v>2</v>
      </c>
      <c r="W52" s="1">
        <v>72</v>
      </c>
      <c r="X52" s="30" t="s">
        <v>248</v>
      </c>
      <c r="Y52" s="3">
        <f>出怪成长!C51</f>
        <v>15</v>
      </c>
      <c r="Z52" s="31" t="str">
        <f t="shared" si="97"/>
        <v>1:2:1|1:3:1|2:10:1|2:6:1#2:6:1#3:6:1|3:6:1#2:6:1#3:6:1|3:9:1#2:9:1#3:9:1|4:11:1#2:11:1#3:11:1|4:13:1#2:13:1#3:13:1|1:18:1#2:18:1#3:18:1|2:32:1#2:21:1#3:32:1</v>
      </c>
      <c r="AA52" s="5">
        <f t="shared" si="119"/>
        <v>1</v>
      </c>
      <c r="AB52" s="32">
        <f t="shared" si="108"/>
        <v>2</v>
      </c>
      <c r="AC52" s="6">
        <f t="shared" si="0"/>
        <v>1</v>
      </c>
      <c r="AD52" s="5">
        <f t="shared" si="18"/>
        <v>1</v>
      </c>
      <c r="AE52" s="32">
        <f t="shared" si="109"/>
        <v>3</v>
      </c>
      <c r="AF52" s="6">
        <f t="shared" si="20"/>
        <v>1</v>
      </c>
      <c r="AG52" s="13">
        <f t="shared" ref="AG52:AG58" si="131">AG51</f>
        <v>1.5</v>
      </c>
      <c r="AH52" s="5">
        <f t="shared" si="21"/>
        <v>2</v>
      </c>
      <c r="AI52" s="32">
        <f t="shared" si="1"/>
        <v>10</v>
      </c>
      <c r="AJ52" s="6">
        <f t="shared" si="2"/>
        <v>1</v>
      </c>
      <c r="AK52" s="1">
        <f t="shared" ref="AK52:AK58" si="132">AK51</f>
        <v>7</v>
      </c>
      <c r="AL52" s="5">
        <f t="shared" si="23"/>
        <v>2</v>
      </c>
      <c r="AM52" s="33">
        <f t="shared" ref="AM52:AM98" si="133">INT((AI52+AU52)/$AP$1)</f>
        <v>6</v>
      </c>
      <c r="AN52" s="6">
        <f t="shared" si="4"/>
        <v>1</v>
      </c>
      <c r="AO52" s="35">
        <v>2</v>
      </c>
      <c r="AP52" s="33">
        <f t="shared" ref="AP52:AP98" si="134">AM52</f>
        <v>6</v>
      </c>
      <c r="AQ52" s="6">
        <f t="shared" si="50"/>
        <v>1</v>
      </c>
      <c r="AR52" s="35">
        <v>3</v>
      </c>
      <c r="AS52" s="33">
        <f t="shared" ref="AS52:AS98" si="135">AM52</f>
        <v>6</v>
      </c>
      <c r="AT52" s="6">
        <f t="shared" si="51"/>
        <v>1</v>
      </c>
      <c r="AU52" s="1">
        <f t="shared" ref="AU52:AU58" si="136">AU51</f>
        <v>10</v>
      </c>
      <c r="AV52" s="5">
        <f t="shared" si="72"/>
        <v>3</v>
      </c>
      <c r="AW52" s="33">
        <f t="shared" ref="AW52:AW98" si="137">INT((AM52+BE52)/$AZ$1)</f>
        <v>6</v>
      </c>
      <c r="AX52" s="6">
        <f t="shared" si="6"/>
        <v>1</v>
      </c>
      <c r="AY52" s="35">
        <v>2</v>
      </c>
      <c r="AZ52" s="33">
        <f t="shared" ref="AZ52:AZ98" si="138">AW52</f>
        <v>6</v>
      </c>
      <c r="BA52" s="6">
        <f t="shared" si="52"/>
        <v>1</v>
      </c>
      <c r="BB52" s="35">
        <v>3</v>
      </c>
      <c r="BC52" s="33">
        <f t="shared" ref="BC52:BC98" si="139">AW52</f>
        <v>6</v>
      </c>
      <c r="BD52" s="6">
        <f t="shared" si="53"/>
        <v>1</v>
      </c>
      <c r="BE52" s="8">
        <f t="shared" ref="BE52:BE58" si="140">BE51</f>
        <v>11</v>
      </c>
      <c r="BF52" s="5">
        <f t="shared" si="77"/>
        <v>3</v>
      </c>
      <c r="BG52" s="33">
        <f t="shared" ref="BG52:BG98" si="141">INT((AW52+BO52)/$BJ$1)</f>
        <v>9</v>
      </c>
      <c r="BH52" s="6">
        <f t="shared" si="8"/>
        <v>1</v>
      </c>
      <c r="BI52" s="35">
        <v>2</v>
      </c>
      <c r="BJ52" s="33">
        <f t="shared" ref="BJ52:BJ98" si="142">BG52</f>
        <v>9</v>
      </c>
      <c r="BK52" s="6">
        <f t="shared" si="54"/>
        <v>1</v>
      </c>
      <c r="BL52" s="35">
        <v>3</v>
      </c>
      <c r="BM52" s="33">
        <f t="shared" si="96"/>
        <v>9</v>
      </c>
      <c r="BN52" s="6">
        <f t="shared" si="55"/>
        <v>1</v>
      </c>
      <c r="BO52" s="8">
        <f t="shared" ref="BO52:BO58" si="143">BO51</f>
        <v>14</v>
      </c>
      <c r="BP52" s="5">
        <f t="shared" si="56"/>
        <v>4</v>
      </c>
      <c r="BQ52" s="33">
        <f t="shared" ref="BQ52:BQ98" si="144">INT((BG52+BY52)/$BT$1)</f>
        <v>11</v>
      </c>
      <c r="BR52" s="6">
        <f t="shared" si="10"/>
        <v>1</v>
      </c>
      <c r="BS52" s="35">
        <v>2</v>
      </c>
      <c r="BT52" s="33">
        <f t="shared" ref="BT52:BT98" si="145">BQ52</f>
        <v>11</v>
      </c>
      <c r="BU52" s="6">
        <f t="shared" si="57"/>
        <v>1</v>
      </c>
      <c r="BV52" s="35">
        <v>3</v>
      </c>
      <c r="BW52" s="33">
        <f t="shared" ref="BW52:BW98" si="146">BQ52</f>
        <v>11</v>
      </c>
      <c r="BX52" s="6">
        <f t="shared" si="58"/>
        <v>1</v>
      </c>
      <c r="BY52" s="8">
        <f t="shared" ref="BY52:BY58" si="147">BY51</f>
        <v>14</v>
      </c>
      <c r="BZ52" s="5">
        <f t="shared" si="59"/>
        <v>4</v>
      </c>
      <c r="CA52" s="33">
        <f t="shared" ref="CA52:CA98" si="148">INT((BQ52+CI52)/$CD$1)</f>
        <v>13</v>
      </c>
      <c r="CB52" s="6">
        <f t="shared" si="12"/>
        <v>1</v>
      </c>
      <c r="CC52" s="35">
        <v>2</v>
      </c>
      <c r="CD52" s="33">
        <f t="shared" ref="CD52:CD98" si="149">CA52</f>
        <v>13</v>
      </c>
      <c r="CE52" s="6">
        <f t="shared" si="60"/>
        <v>1</v>
      </c>
      <c r="CF52" s="35">
        <v>3</v>
      </c>
      <c r="CG52" s="33">
        <f t="shared" ref="CG52:CG98" si="150">CA52</f>
        <v>13</v>
      </c>
      <c r="CH52" s="6">
        <f t="shared" si="61"/>
        <v>1</v>
      </c>
      <c r="CI52" s="8">
        <f t="shared" ref="CI52:CI58" si="151">CI51</f>
        <v>14</v>
      </c>
      <c r="CJ52" s="15">
        <f t="shared" si="33"/>
        <v>1</v>
      </c>
      <c r="CK52" s="33">
        <f t="shared" ref="CK52:CK98" si="152">INT((CA52+CS52)/$CN$1)</f>
        <v>18</v>
      </c>
      <c r="CL52" s="6">
        <f t="shared" si="14"/>
        <v>1</v>
      </c>
      <c r="CM52" s="35">
        <v>2</v>
      </c>
      <c r="CN52" s="33">
        <f t="shared" ref="CN52:CN98" si="153">CK52</f>
        <v>18</v>
      </c>
      <c r="CO52" s="6">
        <f t="shared" si="62"/>
        <v>1</v>
      </c>
      <c r="CP52" s="35">
        <v>3</v>
      </c>
      <c r="CQ52" s="33">
        <f t="shared" ref="CQ52:CQ98" si="154">CK52</f>
        <v>18</v>
      </c>
      <c r="CR52" s="6">
        <f t="shared" si="63"/>
        <v>1</v>
      </c>
      <c r="CS52" s="8">
        <f t="shared" ref="CS52:CS58" si="155">CS51</f>
        <v>14</v>
      </c>
      <c r="CT52" s="15">
        <f t="shared" si="35"/>
        <v>2</v>
      </c>
      <c r="CU52" s="33">
        <f t="shared" si="120"/>
        <v>32</v>
      </c>
      <c r="CV52" s="6">
        <f t="shared" si="121"/>
        <v>1</v>
      </c>
      <c r="CW52" s="35">
        <v>2</v>
      </c>
      <c r="CX52" s="33">
        <f t="shared" ref="CX52:CX98" si="156">INT(CK52*1.2)</f>
        <v>21</v>
      </c>
      <c r="CY52" s="6">
        <f t="shared" si="64"/>
        <v>1</v>
      </c>
      <c r="CZ52" s="35">
        <v>3</v>
      </c>
      <c r="DA52" s="33">
        <f t="shared" ref="DA52:DA98" si="157">CU52</f>
        <v>32</v>
      </c>
      <c r="DB52" s="6">
        <f t="shared" si="65"/>
        <v>1</v>
      </c>
      <c r="DC52" s="1">
        <f t="shared" ref="DC52:DC58" si="158">DC51</f>
        <v>14</v>
      </c>
    </row>
    <row r="53" s="2" customFormat="1" spans="5:107">
      <c r="E53" s="25" t="s">
        <v>1278</v>
      </c>
      <c r="F53" s="26">
        <v>1</v>
      </c>
      <c r="G53" s="27" t="s">
        <v>1276</v>
      </c>
      <c r="H53" s="27">
        <v>2</v>
      </c>
      <c r="I53" s="27" t="s">
        <v>1276</v>
      </c>
      <c r="J53" s="27">
        <v>3</v>
      </c>
      <c r="K53" s="27" t="s">
        <v>1276</v>
      </c>
      <c r="L53" s="27">
        <v>4</v>
      </c>
      <c r="M53" s="27" t="s">
        <v>1276</v>
      </c>
      <c r="N53" s="28"/>
      <c r="O53" s="26">
        <v>5</v>
      </c>
      <c r="P53" s="27" t="s">
        <v>1277</v>
      </c>
      <c r="Q53" s="27">
        <v>6</v>
      </c>
      <c r="R53" s="27" t="s">
        <v>1277</v>
      </c>
      <c r="U53" s="2">
        <v>51</v>
      </c>
      <c r="V53" s="1" t="str">
        <f t="shared" si="107"/>
        <v>3</v>
      </c>
      <c r="W53" s="1">
        <v>73</v>
      </c>
      <c r="X53" s="30" t="s">
        <v>248</v>
      </c>
      <c r="Y53" s="3">
        <f>出怪成长!C52</f>
        <v>15</v>
      </c>
      <c r="Z53" s="31" t="str">
        <f t="shared" si="97"/>
        <v>1:2:1|1:3:1|2:10:1|2:6:1#2:6:1#3:6:1|3:6:1#2:6:1#3:6:1|3:9:1#2:9:1#3:9:1|4:11:1#2:11:1#3:11:1|4:13:1#2:13:1#3:13:1|1:18:1#2:18:1#3:18:1|2:32:1#2:21:1#3:32:1</v>
      </c>
      <c r="AA53" s="5">
        <f t="shared" si="119"/>
        <v>1</v>
      </c>
      <c r="AB53" s="32">
        <f t="shared" si="108"/>
        <v>2</v>
      </c>
      <c r="AC53" s="6">
        <f t="shared" si="0"/>
        <v>1</v>
      </c>
      <c r="AD53" s="5">
        <f t="shared" si="18"/>
        <v>1</v>
      </c>
      <c r="AE53" s="32">
        <f t="shared" si="109"/>
        <v>3</v>
      </c>
      <c r="AF53" s="6">
        <f t="shared" si="20"/>
        <v>1</v>
      </c>
      <c r="AG53" s="13">
        <f t="shared" si="131"/>
        <v>1.5</v>
      </c>
      <c r="AH53" s="5">
        <f t="shared" si="21"/>
        <v>2</v>
      </c>
      <c r="AI53" s="32">
        <f t="shared" si="1"/>
        <v>10</v>
      </c>
      <c r="AJ53" s="6">
        <f t="shared" si="2"/>
        <v>1</v>
      </c>
      <c r="AK53" s="1">
        <f t="shared" si="132"/>
        <v>7</v>
      </c>
      <c r="AL53" s="5">
        <f t="shared" si="23"/>
        <v>2</v>
      </c>
      <c r="AM53" s="33">
        <f t="shared" si="133"/>
        <v>6</v>
      </c>
      <c r="AN53" s="6">
        <f t="shared" si="4"/>
        <v>1</v>
      </c>
      <c r="AO53" s="35">
        <v>2</v>
      </c>
      <c r="AP53" s="33">
        <f t="shared" si="134"/>
        <v>6</v>
      </c>
      <c r="AQ53" s="6">
        <f t="shared" si="50"/>
        <v>1</v>
      </c>
      <c r="AR53" s="35">
        <v>3</v>
      </c>
      <c r="AS53" s="33">
        <f t="shared" si="135"/>
        <v>6</v>
      </c>
      <c r="AT53" s="6">
        <f t="shared" si="51"/>
        <v>1</v>
      </c>
      <c r="AU53" s="1">
        <f t="shared" si="136"/>
        <v>10</v>
      </c>
      <c r="AV53" s="5">
        <f t="shared" si="72"/>
        <v>3</v>
      </c>
      <c r="AW53" s="33">
        <f t="shared" si="137"/>
        <v>6</v>
      </c>
      <c r="AX53" s="6">
        <f t="shared" si="6"/>
        <v>1</v>
      </c>
      <c r="AY53" s="35">
        <v>2</v>
      </c>
      <c r="AZ53" s="33">
        <f t="shared" si="138"/>
        <v>6</v>
      </c>
      <c r="BA53" s="6">
        <f t="shared" si="52"/>
        <v>1</v>
      </c>
      <c r="BB53" s="35">
        <v>3</v>
      </c>
      <c r="BC53" s="33">
        <f t="shared" si="139"/>
        <v>6</v>
      </c>
      <c r="BD53" s="6">
        <f t="shared" si="53"/>
        <v>1</v>
      </c>
      <c r="BE53" s="8">
        <f t="shared" si="140"/>
        <v>11</v>
      </c>
      <c r="BF53" s="5">
        <f t="shared" si="77"/>
        <v>3</v>
      </c>
      <c r="BG53" s="33">
        <f t="shared" si="141"/>
        <v>9</v>
      </c>
      <c r="BH53" s="6">
        <f t="shared" si="8"/>
        <v>1</v>
      </c>
      <c r="BI53" s="35">
        <v>2</v>
      </c>
      <c r="BJ53" s="33">
        <f t="shared" si="142"/>
        <v>9</v>
      </c>
      <c r="BK53" s="6">
        <f t="shared" si="54"/>
        <v>1</v>
      </c>
      <c r="BL53" s="35">
        <v>3</v>
      </c>
      <c r="BM53" s="33">
        <f t="shared" ref="BM53:BM98" si="159">BG53</f>
        <v>9</v>
      </c>
      <c r="BN53" s="6">
        <f t="shared" si="55"/>
        <v>1</v>
      </c>
      <c r="BO53" s="8">
        <f t="shared" si="143"/>
        <v>14</v>
      </c>
      <c r="BP53" s="5">
        <f t="shared" si="56"/>
        <v>4</v>
      </c>
      <c r="BQ53" s="33">
        <f t="shared" si="144"/>
        <v>11</v>
      </c>
      <c r="BR53" s="6">
        <f t="shared" si="10"/>
        <v>1</v>
      </c>
      <c r="BS53" s="35">
        <v>2</v>
      </c>
      <c r="BT53" s="33">
        <f t="shared" si="145"/>
        <v>11</v>
      </c>
      <c r="BU53" s="6">
        <f t="shared" si="57"/>
        <v>1</v>
      </c>
      <c r="BV53" s="35">
        <v>3</v>
      </c>
      <c r="BW53" s="33">
        <f t="shared" si="146"/>
        <v>11</v>
      </c>
      <c r="BX53" s="6">
        <f t="shared" si="58"/>
        <v>1</v>
      </c>
      <c r="BY53" s="8">
        <f t="shared" si="147"/>
        <v>14</v>
      </c>
      <c r="BZ53" s="5">
        <f t="shared" si="59"/>
        <v>4</v>
      </c>
      <c r="CA53" s="33">
        <f t="shared" si="148"/>
        <v>13</v>
      </c>
      <c r="CB53" s="6">
        <f t="shared" si="12"/>
        <v>1</v>
      </c>
      <c r="CC53" s="35">
        <v>2</v>
      </c>
      <c r="CD53" s="33">
        <f t="shared" si="149"/>
        <v>13</v>
      </c>
      <c r="CE53" s="6">
        <f t="shared" si="60"/>
        <v>1</v>
      </c>
      <c r="CF53" s="35">
        <v>3</v>
      </c>
      <c r="CG53" s="33">
        <f t="shared" si="150"/>
        <v>13</v>
      </c>
      <c r="CH53" s="6">
        <f t="shared" si="61"/>
        <v>1</v>
      </c>
      <c r="CI53" s="8">
        <f t="shared" si="151"/>
        <v>14</v>
      </c>
      <c r="CJ53" s="15">
        <f t="shared" si="33"/>
        <v>1</v>
      </c>
      <c r="CK53" s="33">
        <f t="shared" si="152"/>
        <v>18</v>
      </c>
      <c r="CL53" s="6">
        <f t="shared" si="14"/>
        <v>1</v>
      </c>
      <c r="CM53" s="35">
        <v>2</v>
      </c>
      <c r="CN53" s="33">
        <f t="shared" si="153"/>
        <v>18</v>
      </c>
      <c r="CO53" s="6">
        <f t="shared" si="62"/>
        <v>1</v>
      </c>
      <c r="CP53" s="35">
        <v>3</v>
      </c>
      <c r="CQ53" s="33">
        <f t="shared" si="154"/>
        <v>18</v>
      </c>
      <c r="CR53" s="6">
        <f t="shared" si="63"/>
        <v>1</v>
      </c>
      <c r="CS53" s="8">
        <f t="shared" si="155"/>
        <v>14</v>
      </c>
      <c r="CT53" s="15">
        <f t="shared" si="35"/>
        <v>2</v>
      </c>
      <c r="CU53" s="32">
        <f t="shared" si="120"/>
        <v>32</v>
      </c>
      <c r="CV53" s="6">
        <f t="shared" si="121"/>
        <v>1</v>
      </c>
      <c r="CW53" s="35">
        <v>2</v>
      </c>
      <c r="CX53" s="33">
        <f t="shared" si="156"/>
        <v>21</v>
      </c>
      <c r="CY53" s="6">
        <f t="shared" si="64"/>
        <v>1</v>
      </c>
      <c r="CZ53" s="35">
        <v>3</v>
      </c>
      <c r="DA53" s="33">
        <f t="shared" si="157"/>
        <v>32</v>
      </c>
      <c r="DB53" s="6">
        <f t="shared" si="65"/>
        <v>1</v>
      </c>
      <c r="DC53" s="1">
        <f t="shared" si="158"/>
        <v>14</v>
      </c>
    </row>
    <row r="54" s="2" customFormat="1" spans="5:107">
      <c r="E54" s="25" t="s">
        <v>1279</v>
      </c>
      <c r="F54" s="26">
        <v>1</v>
      </c>
      <c r="G54" s="27" t="s">
        <v>1276</v>
      </c>
      <c r="H54" s="27">
        <v>2</v>
      </c>
      <c r="I54" s="27" t="s">
        <v>1276</v>
      </c>
      <c r="J54" s="27">
        <v>3</v>
      </c>
      <c r="K54" s="27" t="s">
        <v>1276</v>
      </c>
      <c r="L54" s="27">
        <v>4</v>
      </c>
      <c r="M54" s="27" t="s">
        <v>1276</v>
      </c>
      <c r="N54" s="28"/>
      <c r="O54" s="26">
        <v>5</v>
      </c>
      <c r="P54" s="27" t="s">
        <v>1277</v>
      </c>
      <c r="Q54" s="27">
        <v>6</v>
      </c>
      <c r="R54" s="27" t="s">
        <v>1277</v>
      </c>
      <c r="U54" s="2">
        <v>52</v>
      </c>
      <c r="V54" s="1" t="str">
        <f t="shared" si="107"/>
        <v>4</v>
      </c>
      <c r="W54" s="1">
        <v>74</v>
      </c>
      <c r="X54" s="30" t="s">
        <v>248</v>
      </c>
      <c r="Y54" s="3">
        <f>出怪成长!C53</f>
        <v>15</v>
      </c>
      <c r="Z54" s="31" t="str">
        <f t="shared" si="97"/>
        <v>1:2:1|1:3:1|2:10:1|2:6:1#2:6:1#3:6:1|3:6:1#2:6:1#3:6:1|3:9:1#2:9:1#3:9:1|4:11:1#2:11:1#3:11:1|4:13:1#2:13:1#3:13:1|1:18:1#2:18:1#3:18:1|2:32:1#2:21:1#3:32:1</v>
      </c>
      <c r="AA54" s="5">
        <f t="shared" si="119"/>
        <v>1</v>
      </c>
      <c r="AB54" s="32">
        <f t="shared" si="108"/>
        <v>2</v>
      </c>
      <c r="AC54" s="6">
        <f t="shared" si="0"/>
        <v>1</v>
      </c>
      <c r="AD54" s="5">
        <f t="shared" si="18"/>
        <v>1</v>
      </c>
      <c r="AE54" s="32">
        <f t="shared" si="109"/>
        <v>3</v>
      </c>
      <c r="AF54" s="6">
        <f t="shared" si="20"/>
        <v>1</v>
      </c>
      <c r="AG54" s="13">
        <f t="shared" si="131"/>
        <v>1.5</v>
      </c>
      <c r="AH54" s="5">
        <f t="shared" si="21"/>
        <v>2</v>
      </c>
      <c r="AI54" s="32">
        <f t="shared" si="1"/>
        <v>10</v>
      </c>
      <c r="AJ54" s="6">
        <f t="shared" si="2"/>
        <v>1</v>
      </c>
      <c r="AK54" s="1">
        <f t="shared" si="132"/>
        <v>7</v>
      </c>
      <c r="AL54" s="5">
        <f t="shared" si="23"/>
        <v>2</v>
      </c>
      <c r="AM54" s="33">
        <f t="shared" si="133"/>
        <v>6</v>
      </c>
      <c r="AN54" s="6">
        <f t="shared" si="4"/>
        <v>1</v>
      </c>
      <c r="AO54" s="35">
        <v>2</v>
      </c>
      <c r="AP54" s="33">
        <f t="shared" si="134"/>
        <v>6</v>
      </c>
      <c r="AQ54" s="6">
        <f t="shared" si="50"/>
        <v>1</v>
      </c>
      <c r="AR54" s="35">
        <v>3</v>
      </c>
      <c r="AS54" s="33">
        <f t="shared" si="135"/>
        <v>6</v>
      </c>
      <c r="AT54" s="6">
        <f t="shared" si="51"/>
        <v>1</v>
      </c>
      <c r="AU54" s="1">
        <f t="shared" si="136"/>
        <v>10</v>
      </c>
      <c r="AV54" s="5">
        <f t="shared" si="72"/>
        <v>3</v>
      </c>
      <c r="AW54" s="33">
        <f t="shared" si="137"/>
        <v>6</v>
      </c>
      <c r="AX54" s="6">
        <f t="shared" si="6"/>
        <v>1</v>
      </c>
      <c r="AY54" s="35">
        <v>2</v>
      </c>
      <c r="AZ54" s="33">
        <f t="shared" si="138"/>
        <v>6</v>
      </c>
      <c r="BA54" s="6">
        <f t="shared" si="52"/>
        <v>1</v>
      </c>
      <c r="BB54" s="35">
        <v>3</v>
      </c>
      <c r="BC54" s="33">
        <f t="shared" si="139"/>
        <v>6</v>
      </c>
      <c r="BD54" s="6">
        <f t="shared" si="53"/>
        <v>1</v>
      </c>
      <c r="BE54" s="8">
        <f t="shared" si="140"/>
        <v>11</v>
      </c>
      <c r="BF54" s="5">
        <f t="shared" si="77"/>
        <v>3</v>
      </c>
      <c r="BG54" s="33">
        <f t="shared" si="141"/>
        <v>9</v>
      </c>
      <c r="BH54" s="6">
        <f t="shared" si="8"/>
        <v>1</v>
      </c>
      <c r="BI54" s="35">
        <v>2</v>
      </c>
      <c r="BJ54" s="33">
        <f t="shared" si="142"/>
        <v>9</v>
      </c>
      <c r="BK54" s="6">
        <f t="shared" si="54"/>
        <v>1</v>
      </c>
      <c r="BL54" s="35">
        <v>3</v>
      </c>
      <c r="BM54" s="33">
        <f t="shared" si="159"/>
        <v>9</v>
      </c>
      <c r="BN54" s="6">
        <f t="shared" si="55"/>
        <v>1</v>
      </c>
      <c r="BO54" s="8">
        <f t="shared" si="143"/>
        <v>14</v>
      </c>
      <c r="BP54" s="5">
        <f t="shared" si="56"/>
        <v>4</v>
      </c>
      <c r="BQ54" s="33">
        <f t="shared" si="144"/>
        <v>11</v>
      </c>
      <c r="BR54" s="6">
        <f t="shared" si="10"/>
        <v>1</v>
      </c>
      <c r="BS54" s="35">
        <v>2</v>
      </c>
      <c r="BT54" s="33">
        <f t="shared" si="145"/>
        <v>11</v>
      </c>
      <c r="BU54" s="6">
        <f t="shared" si="57"/>
        <v>1</v>
      </c>
      <c r="BV54" s="35">
        <v>3</v>
      </c>
      <c r="BW54" s="33">
        <f t="shared" si="146"/>
        <v>11</v>
      </c>
      <c r="BX54" s="6">
        <f t="shared" si="58"/>
        <v>1</v>
      </c>
      <c r="BY54" s="8">
        <f t="shared" si="147"/>
        <v>14</v>
      </c>
      <c r="BZ54" s="5">
        <f t="shared" si="59"/>
        <v>4</v>
      </c>
      <c r="CA54" s="33">
        <f t="shared" si="148"/>
        <v>13</v>
      </c>
      <c r="CB54" s="6">
        <f t="shared" si="12"/>
        <v>1</v>
      </c>
      <c r="CC54" s="35">
        <v>2</v>
      </c>
      <c r="CD54" s="33">
        <f t="shared" si="149"/>
        <v>13</v>
      </c>
      <c r="CE54" s="6">
        <f t="shared" si="60"/>
        <v>1</v>
      </c>
      <c r="CF54" s="35">
        <v>3</v>
      </c>
      <c r="CG54" s="33">
        <f t="shared" si="150"/>
        <v>13</v>
      </c>
      <c r="CH54" s="6">
        <f t="shared" si="61"/>
        <v>1</v>
      </c>
      <c r="CI54" s="8">
        <f t="shared" si="151"/>
        <v>14</v>
      </c>
      <c r="CJ54" s="15">
        <f t="shared" si="33"/>
        <v>1</v>
      </c>
      <c r="CK54" s="33">
        <f t="shared" si="152"/>
        <v>18</v>
      </c>
      <c r="CL54" s="6">
        <f t="shared" si="14"/>
        <v>1</v>
      </c>
      <c r="CM54" s="35">
        <v>2</v>
      </c>
      <c r="CN54" s="33">
        <f t="shared" si="153"/>
        <v>18</v>
      </c>
      <c r="CO54" s="6">
        <f t="shared" si="62"/>
        <v>1</v>
      </c>
      <c r="CP54" s="35">
        <v>3</v>
      </c>
      <c r="CQ54" s="33">
        <f t="shared" si="154"/>
        <v>18</v>
      </c>
      <c r="CR54" s="6">
        <f t="shared" si="63"/>
        <v>1</v>
      </c>
      <c r="CS54" s="8">
        <f t="shared" si="155"/>
        <v>14</v>
      </c>
      <c r="CT54" s="15">
        <f t="shared" si="35"/>
        <v>2</v>
      </c>
      <c r="CU54" s="33">
        <f t="shared" si="120"/>
        <v>32</v>
      </c>
      <c r="CV54" s="6">
        <f t="shared" si="121"/>
        <v>1</v>
      </c>
      <c r="CW54" s="35">
        <v>2</v>
      </c>
      <c r="CX54" s="33">
        <f t="shared" si="156"/>
        <v>21</v>
      </c>
      <c r="CY54" s="6">
        <f t="shared" si="64"/>
        <v>1</v>
      </c>
      <c r="CZ54" s="35">
        <v>3</v>
      </c>
      <c r="DA54" s="33">
        <f t="shared" si="157"/>
        <v>32</v>
      </c>
      <c r="DB54" s="6">
        <f t="shared" si="65"/>
        <v>1</v>
      </c>
      <c r="DC54" s="1">
        <f t="shared" si="158"/>
        <v>14</v>
      </c>
    </row>
    <row r="55" s="2" customFormat="1" spans="5:107">
      <c r="E55" s="25" t="s">
        <v>1280</v>
      </c>
      <c r="F55" s="26">
        <v>1</v>
      </c>
      <c r="G55" s="27" t="s">
        <v>1276</v>
      </c>
      <c r="H55" s="27">
        <v>2</v>
      </c>
      <c r="I55" s="27" t="s">
        <v>1276</v>
      </c>
      <c r="J55" s="27">
        <v>3</v>
      </c>
      <c r="K55" s="27" t="s">
        <v>1276</v>
      </c>
      <c r="L55" s="27">
        <v>4</v>
      </c>
      <c r="M55" s="27" t="s">
        <v>1276</v>
      </c>
      <c r="N55" s="28"/>
      <c r="O55" s="26">
        <v>5</v>
      </c>
      <c r="P55" s="27" t="s">
        <v>1277</v>
      </c>
      <c r="Q55" s="27">
        <v>6</v>
      </c>
      <c r="R55" s="27" t="s">
        <v>1277</v>
      </c>
      <c r="U55" s="2">
        <v>53</v>
      </c>
      <c r="V55" s="1" t="str">
        <f t="shared" si="107"/>
        <v>5</v>
      </c>
      <c r="W55" s="1">
        <v>75</v>
      </c>
      <c r="X55" s="30" t="s">
        <v>248</v>
      </c>
      <c r="Y55" s="3">
        <f>出怪成长!C54</f>
        <v>15</v>
      </c>
      <c r="Z55" s="31" t="str">
        <f t="shared" si="97"/>
        <v>1:3:1|1:4:1|2:11:1|2:7:1#2:7:1#3:7:1|3:7:1#2:7:1#3:7:1|3:9:1#2:9:1#3:9:1|4:11:1#2:11:1#3:11:1|4:13:1#2:13:1#3:13:1|1:18:1#2:18:1#3:18:1|2:32:1#2:21:1#3:32:1</v>
      </c>
      <c r="AA55" s="5">
        <f t="shared" si="119"/>
        <v>1</v>
      </c>
      <c r="AB55" s="32">
        <f t="shared" si="108"/>
        <v>3</v>
      </c>
      <c r="AC55" s="6">
        <f t="shared" si="0"/>
        <v>1</v>
      </c>
      <c r="AD55" s="5">
        <f t="shared" si="18"/>
        <v>1</v>
      </c>
      <c r="AE55" s="32">
        <f t="shared" si="109"/>
        <v>4</v>
      </c>
      <c r="AF55" s="6">
        <f t="shared" si="20"/>
        <v>1</v>
      </c>
      <c r="AG55" s="13">
        <f t="shared" si="131"/>
        <v>1.5</v>
      </c>
      <c r="AH55" s="5">
        <f t="shared" si="21"/>
        <v>2</v>
      </c>
      <c r="AI55" s="32">
        <f t="shared" si="1"/>
        <v>11</v>
      </c>
      <c r="AJ55" s="6">
        <f t="shared" si="2"/>
        <v>1</v>
      </c>
      <c r="AK55" s="1">
        <f t="shared" si="132"/>
        <v>7</v>
      </c>
      <c r="AL55" s="5">
        <f t="shared" si="23"/>
        <v>2</v>
      </c>
      <c r="AM55" s="33">
        <f t="shared" si="133"/>
        <v>7</v>
      </c>
      <c r="AN55" s="6">
        <f t="shared" si="4"/>
        <v>1</v>
      </c>
      <c r="AO55" s="35">
        <v>2</v>
      </c>
      <c r="AP55" s="33">
        <f t="shared" si="134"/>
        <v>7</v>
      </c>
      <c r="AQ55" s="6">
        <f t="shared" si="50"/>
        <v>1</v>
      </c>
      <c r="AR55" s="35">
        <v>3</v>
      </c>
      <c r="AS55" s="33">
        <f t="shared" si="135"/>
        <v>7</v>
      </c>
      <c r="AT55" s="6">
        <f t="shared" si="51"/>
        <v>1</v>
      </c>
      <c r="AU55" s="1">
        <f t="shared" si="136"/>
        <v>10</v>
      </c>
      <c r="AV55" s="5">
        <f t="shared" si="72"/>
        <v>3</v>
      </c>
      <c r="AW55" s="33">
        <f t="shared" si="137"/>
        <v>7</v>
      </c>
      <c r="AX55" s="6">
        <f t="shared" si="6"/>
        <v>1</v>
      </c>
      <c r="AY55" s="35">
        <v>2</v>
      </c>
      <c r="AZ55" s="33">
        <f t="shared" si="138"/>
        <v>7</v>
      </c>
      <c r="BA55" s="6">
        <f t="shared" si="52"/>
        <v>1</v>
      </c>
      <c r="BB55" s="35">
        <v>3</v>
      </c>
      <c r="BC55" s="33">
        <f t="shared" si="139"/>
        <v>7</v>
      </c>
      <c r="BD55" s="6">
        <f t="shared" si="53"/>
        <v>1</v>
      </c>
      <c r="BE55" s="8">
        <f t="shared" si="140"/>
        <v>11</v>
      </c>
      <c r="BF55" s="5">
        <f t="shared" si="77"/>
        <v>3</v>
      </c>
      <c r="BG55" s="33">
        <f t="shared" si="141"/>
        <v>9</v>
      </c>
      <c r="BH55" s="6">
        <f t="shared" si="8"/>
        <v>1</v>
      </c>
      <c r="BI55" s="35">
        <v>2</v>
      </c>
      <c r="BJ55" s="33">
        <f t="shared" si="142"/>
        <v>9</v>
      </c>
      <c r="BK55" s="6">
        <f t="shared" si="54"/>
        <v>1</v>
      </c>
      <c r="BL55" s="35">
        <v>3</v>
      </c>
      <c r="BM55" s="33">
        <f t="shared" si="159"/>
        <v>9</v>
      </c>
      <c r="BN55" s="6">
        <f t="shared" si="55"/>
        <v>1</v>
      </c>
      <c r="BO55" s="8">
        <f t="shared" si="143"/>
        <v>14</v>
      </c>
      <c r="BP55" s="5">
        <f t="shared" si="56"/>
        <v>4</v>
      </c>
      <c r="BQ55" s="33">
        <f t="shared" si="144"/>
        <v>11</v>
      </c>
      <c r="BR55" s="6">
        <f t="shared" si="10"/>
        <v>1</v>
      </c>
      <c r="BS55" s="35">
        <v>2</v>
      </c>
      <c r="BT55" s="33">
        <f t="shared" si="145"/>
        <v>11</v>
      </c>
      <c r="BU55" s="6">
        <f t="shared" si="57"/>
        <v>1</v>
      </c>
      <c r="BV55" s="35">
        <v>3</v>
      </c>
      <c r="BW55" s="33">
        <f t="shared" si="146"/>
        <v>11</v>
      </c>
      <c r="BX55" s="6">
        <f t="shared" si="58"/>
        <v>1</v>
      </c>
      <c r="BY55" s="8">
        <f t="shared" si="147"/>
        <v>14</v>
      </c>
      <c r="BZ55" s="5">
        <f t="shared" si="59"/>
        <v>4</v>
      </c>
      <c r="CA55" s="33">
        <f t="shared" si="148"/>
        <v>13</v>
      </c>
      <c r="CB55" s="6">
        <f t="shared" si="12"/>
        <v>1</v>
      </c>
      <c r="CC55" s="35">
        <v>2</v>
      </c>
      <c r="CD55" s="33">
        <f t="shared" si="149"/>
        <v>13</v>
      </c>
      <c r="CE55" s="6">
        <f t="shared" si="60"/>
        <v>1</v>
      </c>
      <c r="CF55" s="35">
        <v>3</v>
      </c>
      <c r="CG55" s="33">
        <f t="shared" si="150"/>
        <v>13</v>
      </c>
      <c r="CH55" s="6">
        <f t="shared" si="61"/>
        <v>1</v>
      </c>
      <c r="CI55" s="8">
        <f t="shared" si="151"/>
        <v>14</v>
      </c>
      <c r="CJ55" s="15">
        <f t="shared" si="33"/>
        <v>1</v>
      </c>
      <c r="CK55" s="33">
        <f t="shared" si="152"/>
        <v>18</v>
      </c>
      <c r="CL55" s="6">
        <f t="shared" si="14"/>
        <v>1</v>
      </c>
      <c r="CM55" s="35">
        <v>2</v>
      </c>
      <c r="CN55" s="33">
        <f t="shared" si="153"/>
        <v>18</v>
      </c>
      <c r="CO55" s="6">
        <f t="shared" si="62"/>
        <v>1</v>
      </c>
      <c r="CP55" s="35">
        <v>3</v>
      </c>
      <c r="CQ55" s="33">
        <f t="shared" si="154"/>
        <v>18</v>
      </c>
      <c r="CR55" s="6">
        <f t="shared" si="63"/>
        <v>1</v>
      </c>
      <c r="CS55" s="8">
        <f t="shared" si="155"/>
        <v>14</v>
      </c>
      <c r="CT55" s="15">
        <f t="shared" si="35"/>
        <v>2</v>
      </c>
      <c r="CU55" s="32">
        <f t="shared" si="120"/>
        <v>32</v>
      </c>
      <c r="CV55" s="6">
        <f t="shared" si="121"/>
        <v>1</v>
      </c>
      <c r="CW55" s="35">
        <v>2</v>
      </c>
      <c r="CX55" s="33">
        <f t="shared" si="156"/>
        <v>21</v>
      </c>
      <c r="CY55" s="6">
        <f t="shared" si="64"/>
        <v>1</v>
      </c>
      <c r="CZ55" s="35">
        <v>3</v>
      </c>
      <c r="DA55" s="33">
        <f t="shared" si="157"/>
        <v>32</v>
      </c>
      <c r="DB55" s="6">
        <f t="shared" si="65"/>
        <v>1</v>
      </c>
      <c r="DC55" s="1">
        <f t="shared" si="158"/>
        <v>14</v>
      </c>
    </row>
    <row r="56" s="2" customFormat="1" spans="5:107">
      <c r="E56" s="25" t="s">
        <v>1281</v>
      </c>
      <c r="F56" s="26">
        <v>1</v>
      </c>
      <c r="G56" s="27" t="s">
        <v>1276</v>
      </c>
      <c r="H56" s="27">
        <v>2</v>
      </c>
      <c r="I56" s="27" t="s">
        <v>1276</v>
      </c>
      <c r="J56" s="27">
        <v>3</v>
      </c>
      <c r="K56" s="27" t="s">
        <v>1276</v>
      </c>
      <c r="L56" s="27">
        <v>4</v>
      </c>
      <c r="M56" s="27" t="s">
        <v>1276</v>
      </c>
      <c r="N56" s="28"/>
      <c r="O56" s="26">
        <v>5</v>
      </c>
      <c r="P56" s="27" t="s">
        <v>1277</v>
      </c>
      <c r="Q56" s="27">
        <v>6</v>
      </c>
      <c r="R56" s="27" t="s">
        <v>1277</v>
      </c>
      <c r="U56" s="2">
        <v>54</v>
      </c>
      <c r="V56" s="1" t="str">
        <f t="shared" si="107"/>
        <v>6</v>
      </c>
      <c r="W56" s="1">
        <v>76</v>
      </c>
      <c r="X56" s="30" t="s">
        <v>248</v>
      </c>
      <c r="Y56" s="3">
        <f>出怪成长!C55</f>
        <v>15</v>
      </c>
      <c r="Z56" s="31" t="str">
        <f t="shared" si="97"/>
        <v>1:3:1|1:4:1|2:11:1|2:7:1#2:7:1#3:7:1|3:7:1#2:7:1#3:7:1|3:9:1#2:9:1#3:9:1|4:11:1#2:11:1#3:11:1|4:13:1#2:13:1#3:13:1|1:18:1#2:18:1#3:18:1|2:32:1#2:21:1#3:32:1</v>
      </c>
      <c r="AA56" s="5">
        <f t="shared" si="119"/>
        <v>1</v>
      </c>
      <c r="AB56" s="32">
        <f t="shared" si="108"/>
        <v>3</v>
      </c>
      <c r="AC56" s="6">
        <f t="shared" si="0"/>
        <v>1</v>
      </c>
      <c r="AD56" s="5">
        <f t="shared" si="18"/>
        <v>1</v>
      </c>
      <c r="AE56" s="32">
        <f t="shared" si="109"/>
        <v>4</v>
      </c>
      <c r="AF56" s="6">
        <f t="shared" si="20"/>
        <v>1</v>
      </c>
      <c r="AG56" s="13">
        <f t="shared" si="131"/>
        <v>1.5</v>
      </c>
      <c r="AH56" s="5">
        <f t="shared" si="21"/>
        <v>2</v>
      </c>
      <c r="AI56" s="32">
        <f t="shared" si="1"/>
        <v>11</v>
      </c>
      <c r="AJ56" s="6">
        <f t="shared" si="2"/>
        <v>1</v>
      </c>
      <c r="AK56" s="1">
        <f t="shared" si="132"/>
        <v>7</v>
      </c>
      <c r="AL56" s="5">
        <f t="shared" si="23"/>
        <v>2</v>
      </c>
      <c r="AM56" s="33">
        <f t="shared" si="133"/>
        <v>7</v>
      </c>
      <c r="AN56" s="6">
        <f t="shared" si="4"/>
        <v>1</v>
      </c>
      <c r="AO56" s="35">
        <v>2</v>
      </c>
      <c r="AP56" s="33">
        <f t="shared" si="134"/>
        <v>7</v>
      </c>
      <c r="AQ56" s="6">
        <f t="shared" si="50"/>
        <v>1</v>
      </c>
      <c r="AR56" s="35">
        <v>3</v>
      </c>
      <c r="AS56" s="33">
        <f t="shared" si="135"/>
        <v>7</v>
      </c>
      <c r="AT56" s="6">
        <f t="shared" si="51"/>
        <v>1</v>
      </c>
      <c r="AU56" s="1">
        <f t="shared" si="136"/>
        <v>10</v>
      </c>
      <c r="AV56" s="5">
        <f t="shared" si="72"/>
        <v>3</v>
      </c>
      <c r="AW56" s="33">
        <f t="shared" si="137"/>
        <v>7</v>
      </c>
      <c r="AX56" s="6">
        <f t="shared" si="6"/>
        <v>1</v>
      </c>
      <c r="AY56" s="35">
        <v>2</v>
      </c>
      <c r="AZ56" s="33">
        <f t="shared" si="138"/>
        <v>7</v>
      </c>
      <c r="BA56" s="6">
        <f t="shared" si="52"/>
        <v>1</v>
      </c>
      <c r="BB56" s="35">
        <v>3</v>
      </c>
      <c r="BC56" s="33">
        <f t="shared" si="139"/>
        <v>7</v>
      </c>
      <c r="BD56" s="6">
        <f t="shared" si="53"/>
        <v>1</v>
      </c>
      <c r="BE56" s="8">
        <f t="shared" si="140"/>
        <v>11</v>
      </c>
      <c r="BF56" s="5">
        <f t="shared" si="77"/>
        <v>3</v>
      </c>
      <c r="BG56" s="33">
        <f t="shared" si="141"/>
        <v>9</v>
      </c>
      <c r="BH56" s="6">
        <f t="shared" si="8"/>
        <v>1</v>
      </c>
      <c r="BI56" s="35">
        <v>2</v>
      </c>
      <c r="BJ56" s="33">
        <f t="shared" si="142"/>
        <v>9</v>
      </c>
      <c r="BK56" s="6">
        <f t="shared" si="54"/>
        <v>1</v>
      </c>
      <c r="BL56" s="35">
        <v>3</v>
      </c>
      <c r="BM56" s="33">
        <f t="shared" si="159"/>
        <v>9</v>
      </c>
      <c r="BN56" s="6">
        <f t="shared" si="55"/>
        <v>1</v>
      </c>
      <c r="BO56" s="8">
        <f t="shared" si="143"/>
        <v>14</v>
      </c>
      <c r="BP56" s="5">
        <f t="shared" si="56"/>
        <v>4</v>
      </c>
      <c r="BQ56" s="33">
        <f t="shared" si="144"/>
        <v>11</v>
      </c>
      <c r="BR56" s="6">
        <f t="shared" si="10"/>
        <v>1</v>
      </c>
      <c r="BS56" s="35">
        <v>2</v>
      </c>
      <c r="BT56" s="33">
        <f t="shared" si="145"/>
        <v>11</v>
      </c>
      <c r="BU56" s="6">
        <f t="shared" si="57"/>
        <v>1</v>
      </c>
      <c r="BV56" s="35">
        <v>3</v>
      </c>
      <c r="BW56" s="33">
        <f t="shared" si="146"/>
        <v>11</v>
      </c>
      <c r="BX56" s="6">
        <f t="shared" si="58"/>
        <v>1</v>
      </c>
      <c r="BY56" s="8">
        <f t="shared" si="147"/>
        <v>14</v>
      </c>
      <c r="BZ56" s="5">
        <f t="shared" si="59"/>
        <v>4</v>
      </c>
      <c r="CA56" s="33">
        <f t="shared" si="148"/>
        <v>13</v>
      </c>
      <c r="CB56" s="6">
        <f t="shared" si="12"/>
        <v>1</v>
      </c>
      <c r="CC56" s="35">
        <v>2</v>
      </c>
      <c r="CD56" s="33">
        <f t="shared" si="149"/>
        <v>13</v>
      </c>
      <c r="CE56" s="6">
        <f t="shared" si="60"/>
        <v>1</v>
      </c>
      <c r="CF56" s="35">
        <v>3</v>
      </c>
      <c r="CG56" s="33">
        <f t="shared" si="150"/>
        <v>13</v>
      </c>
      <c r="CH56" s="6">
        <f t="shared" si="61"/>
        <v>1</v>
      </c>
      <c r="CI56" s="8">
        <f t="shared" si="151"/>
        <v>14</v>
      </c>
      <c r="CJ56" s="15">
        <f t="shared" si="33"/>
        <v>1</v>
      </c>
      <c r="CK56" s="33">
        <f t="shared" si="152"/>
        <v>18</v>
      </c>
      <c r="CL56" s="6">
        <f t="shared" si="14"/>
        <v>1</v>
      </c>
      <c r="CM56" s="35">
        <v>2</v>
      </c>
      <c r="CN56" s="33">
        <f t="shared" si="153"/>
        <v>18</v>
      </c>
      <c r="CO56" s="6">
        <f t="shared" si="62"/>
        <v>1</v>
      </c>
      <c r="CP56" s="35">
        <v>3</v>
      </c>
      <c r="CQ56" s="33">
        <f t="shared" si="154"/>
        <v>18</v>
      </c>
      <c r="CR56" s="6">
        <f t="shared" si="63"/>
        <v>1</v>
      </c>
      <c r="CS56" s="8">
        <f t="shared" si="155"/>
        <v>14</v>
      </c>
      <c r="CT56" s="15">
        <f t="shared" si="35"/>
        <v>2</v>
      </c>
      <c r="CU56" s="33">
        <f t="shared" si="120"/>
        <v>32</v>
      </c>
      <c r="CV56" s="6">
        <f t="shared" si="121"/>
        <v>1</v>
      </c>
      <c r="CW56" s="35">
        <v>2</v>
      </c>
      <c r="CX56" s="33">
        <f t="shared" si="156"/>
        <v>21</v>
      </c>
      <c r="CY56" s="6">
        <f t="shared" si="64"/>
        <v>1</v>
      </c>
      <c r="CZ56" s="35">
        <v>3</v>
      </c>
      <c r="DA56" s="33">
        <f t="shared" si="157"/>
        <v>32</v>
      </c>
      <c r="DB56" s="6">
        <f t="shared" si="65"/>
        <v>1</v>
      </c>
      <c r="DC56" s="1">
        <f t="shared" si="158"/>
        <v>14</v>
      </c>
    </row>
    <row r="57" s="2" customFormat="1" spans="5:107">
      <c r="E57" s="25" t="s">
        <v>1282</v>
      </c>
      <c r="F57" s="26">
        <v>1</v>
      </c>
      <c r="G57" s="27" t="s">
        <v>1276</v>
      </c>
      <c r="H57" s="27">
        <v>2</v>
      </c>
      <c r="I57" s="27" t="s">
        <v>1276</v>
      </c>
      <c r="J57" s="27">
        <v>3</v>
      </c>
      <c r="K57" s="27" t="s">
        <v>1276</v>
      </c>
      <c r="L57" s="27">
        <v>4</v>
      </c>
      <c r="M57" s="27" t="s">
        <v>1276</v>
      </c>
      <c r="N57" s="28"/>
      <c r="O57" s="26">
        <v>5</v>
      </c>
      <c r="P57" s="27" t="s">
        <v>1277</v>
      </c>
      <c r="Q57" s="27">
        <v>6</v>
      </c>
      <c r="R57" s="27" t="s">
        <v>1277</v>
      </c>
      <c r="U57" s="2">
        <v>55</v>
      </c>
      <c r="V57" s="1" t="str">
        <f t="shared" si="107"/>
        <v>1</v>
      </c>
      <c r="W57" s="1">
        <v>81</v>
      </c>
      <c r="X57" s="30" t="s">
        <v>256</v>
      </c>
      <c r="Y57" s="3">
        <f>出怪成长!C56</f>
        <v>15</v>
      </c>
      <c r="Z57" s="31" t="str">
        <f t="shared" si="97"/>
        <v>1:2:1|1:3:1|2:10:1|2:6:1#2:6:1#3:6:1|3:6:1#2:6:1#3:6:1|3:9:1#2:9:1#3:9:1|4:11:1#2:11:1#3:11:1|4:13:1#2:13:1#3:13:1|1:18:1#2:18:1#3:18:1|2:32:1#2:21:1#3:32:1</v>
      </c>
      <c r="AA57" s="5">
        <f t="shared" si="119"/>
        <v>1</v>
      </c>
      <c r="AB57" s="32">
        <f t="shared" si="108"/>
        <v>2</v>
      </c>
      <c r="AC57" s="6">
        <f t="shared" si="0"/>
        <v>1</v>
      </c>
      <c r="AD57" s="5">
        <f t="shared" si="18"/>
        <v>1</v>
      </c>
      <c r="AE57" s="32">
        <f t="shared" si="109"/>
        <v>3</v>
      </c>
      <c r="AF57" s="6">
        <f t="shared" si="20"/>
        <v>1</v>
      </c>
      <c r="AG57" s="13">
        <f t="shared" si="131"/>
        <v>1.5</v>
      </c>
      <c r="AH57" s="5">
        <f t="shared" si="21"/>
        <v>2</v>
      </c>
      <c r="AI57" s="32">
        <f t="shared" si="1"/>
        <v>10</v>
      </c>
      <c r="AJ57" s="6">
        <f t="shared" si="2"/>
        <v>1</v>
      </c>
      <c r="AK57" s="1">
        <f t="shared" si="132"/>
        <v>7</v>
      </c>
      <c r="AL57" s="5">
        <f t="shared" si="23"/>
        <v>2</v>
      </c>
      <c r="AM57" s="33">
        <f t="shared" si="133"/>
        <v>6</v>
      </c>
      <c r="AN57" s="6">
        <f t="shared" si="4"/>
        <v>1</v>
      </c>
      <c r="AO57" s="35">
        <v>2</v>
      </c>
      <c r="AP57" s="33">
        <f t="shared" si="134"/>
        <v>6</v>
      </c>
      <c r="AQ57" s="6">
        <f t="shared" si="50"/>
        <v>1</v>
      </c>
      <c r="AR57" s="35">
        <v>3</v>
      </c>
      <c r="AS57" s="33">
        <f t="shared" si="135"/>
        <v>6</v>
      </c>
      <c r="AT57" s="6">
        <f t="shared" si="51"/>
        <v>1</v>
      </c>
      <c r="AU57" s="1">
        <f t="shared" si="136"/>
        <v>10</v>
      </c>
      <c r="AV57" s="5">
        <f t="shared" si="72"/>
        <v>3</v>
      </c>
      <c r="AW57" s="33">
        <f t="shared" si="137"/>
        <v>6</v>
      </c>
      <c r="AX57" s="6">
        <f t="shared" si="6"/>
        <v>1</v>
      </c>
      <c r="AY57" s="35">
        <v>2</v>
      </c>
      <c r="AZ57" s="33">
        <f t="shared" si="138"/>
        <v>6</v>
      </c>
      <c r="BA57" s="6">
        <f t="shared" si="52"/>
        <v>1</v>
      </c>
      <c r="BB57" s="35">
        <v>3</v>
      </c>
      <c r="BC57" s="33">
        <f t="shared" si="139"/>
        <v>6</v>
      </c>
      <c r="BD57" s="6">
        <f t="shared" si="53"/>
        <v>1</v>
      </c>
      <c r="BE57" s="8">
        <f t="shared" si="140"/>
        <v>11</v>
      </c>
      <c r="BF57" s="5">
        <f t="shared" si="77"/>
        <v>3</v>
      </c>
      <c r="BG57" s="33">
        <f t="shared" si="141"/>
        <v>9</v>
      </c>
      <c r="BH57" s="6">
        <f t="shared" si="8"/>
        <v>1</v>
      </c>
      <c r="BI57" s="35">
        <v>2</v>
      </c>
      <c r="BJ57" s="33">
        <f t="shared" si="142"/>
        <v>9</v>
      </c>
      <c r="BK57" s="6">
        <f t="shared" si="54"/>
        <v>1</v>
      </c>
      <c r="BL57" s="35">
        <v>3</v>
      </c>
      <c r="BM57" s="33">
        <f t="shared" si="159"/>
        <v>9</v>
      </c>
      <c r="BN57" s="6">
        <f t="shared" si="55"/>
        <v>1</v>
      </c>
      <c r="BO57" s="8">
        <f t="shared" si="143"/>
        <v>14</v>
      </c>
      <c r="BP57" s="5">
        <f t="shared" si="56"/>
        <v>4</v>
      </c>
      <c r="BQ57" s="33">
        <f t="shared" si="144"/>
        <v>11</v>
      </c>
      <c r="BR57" s="6">
        <f t="shared" si="10"/>
        <v>1</v>
      </c>
      <c r="BS57" s="35">
        <v>2</v>
      </c>
      <c r="BT57" s="33">
        <f t="shared" si="145"/>
        <v>11</v>
      </c>
      <c r="BU57" s="6">
        <f t="shared" si="57"/>
        <v>1</v>
      </c>
      <c r="BV57" s="35">
        <v>3</v>
      </c>
      <c r="BW57" s="33">
        <f t="shared" si="146"/>
        <v>11</v>
      </c>
      <c r="BX57" s="6">
        <f t="shared" si="58"/>
        <v>1</v>
      </c>
      <c r="BY57" s="8">
        <f t="shared" si="147"/>
        <v>14</v>
      </c>
      <c r="BZ57" s="5">
        <f t="shared" si="59"/>
        <v>4</v>
      </c>
      <c r="CA57" s="33">
        <f t="shared" si="148"/>
        <v>13</v>
      </c>
      <c r="CB57" s="6">
        <f t="shared" si="12"/>
        <v>1</v>
      </c>
      <c r="CC57" s="35">
        <v>2</v>
      </c>
      <c r="CD57" s="33">
        <f t="shared" si="149"/>
        <v>13</v>
      </c>
      <c r="CE57" s="6">
        <f t="shared" si="60"/>
        <v>1</v>
      </c>
      <c r="CF57" s="35">
        <v>3</v>
      </c>
      <c r="CG57" s="33">
        <f t="shared" si="150"/>
        <v>13</v>
      </c>
      <c r="CH57" s="6">
        <f t="shared" si="61"/>
        <v>1</v>
      </c>
      <c r="CI57" s="8">
        <f t="shared" si="151"/>
        <v>14</v>
      </c>
      <c r="CJ57" s="15">
        <f t="shared" si="33"/>
        <v>1</v>
      </c>
      <c r="CK57" s="33">
        <f t="shared" si="152"/>
        <v>18</v>
      </c>
      <c r="CL57" s="6">
        <f t="shared" si="14"/>
        <v>1</v>
      </c>
      <c r="CM57" s="35">
        <v>2</v>
      </c>
      <c r="CN57" s="33">
        <f t="shared" si="153"/>
        <v>18</v>
      </c>
      <c r="CO57" s="6">
        <f t="shared" si="62"/>
        <v>1</v>
      </c>
      <c r="CP57" s="35">
        <v>3</v>
      </c>
      <c r="CQ57" s="33">
        <f t="shared" si="154"/>
        <v>18</v>
      </c>
      <c r="CR57" s="6">
        <f t="shared" si="63"/>
        <v>1</v>
      </c>
      <c r="CS57" s="8">
        <f t="shared" si="155"/>
        <v>14</v>
      </c>
      <c r="CT57" s="15">
        <f t="shared" si="35"/>
        <v>2</v>
      </c>
      <c r="CU57" s="32">
        <f t="shared" si="120"/>
        <v>32</v>
      </c>
      <c r="CV57" s="6">
        <f t="shared" si="121"/>
        <v>1</v>
      </c>
      <c r="CW57" s="35">
        <v>2</v>
      </c>
      <c r="CX57" s="33">
        <f t="shared" si="156"/>
        <v>21</v>
      </c>
      <c r="CY57" s="6">
        <f t="shared" si="64"/>
        <v>1</v>
      </c>
      <c r="CZ57" s="35">
        <v>3</v>
      </c>
      <c r="DA57" s="33">
        <f t="shared" si="157"/>
        <v>32</v>
      </c>
      <c r="DB57" s="6">
        <f t="shared" si="65"/>
        <v>1</v>
      </c>
      <c r="DC57" s="1">
        <f t="shared" si="158"/>
        <v>14</v>
      </c>
    </row>
    <row r="58" s="2" customFormat="1" spans="5:107">
      <c r="E58" s="25" t="s">
        <v>1283</v>
      </c>
      <c r="F58" s="26">
        <v>1</v>
      </c>
      <c r="G58" s="27" t="s">
        <v>1276</v>
      </c>
      <c r="H58" s="27">
        <v>2</v>
      </c>
      <c r="I58" s="27" t="s">
        <v>1276</v>
      </c>
      <c r="J58" s="27">
        <v>3</v>
      </c>
      <c r="K58" s="27" t="s">
        <v>1276</v>
      </c>
      <c r="L58" s="27">
        <v>4</v>
      </c>
      <c r="M58" s="27" t="s">
        <v>1276</v>
      </c>
      <c r="N58" s="28"/>
      <c r="O58" s="26">
        <v>5</v>
      </c>
      <c r="P58" s="27" t="s">
        <v>1277</v>
      </c>
      <c r="Q58" s="27">
        <v>6</v>
      </c>
      <c r="R58" s="27" t="s">
        <v>1277</v>
      </c>
      <c r="U58" s="2">
        <v>56</v>
      </c>
      <c r="V58" s="1" t="str">
        <f t="shared" si="107"/>
        <v>2</v>
      </c>
      <c r="W58" s="1">
        <v>82</v>
      </c>
      <c r="X58" s="30" t="s">
        <v>256</v>
      </c>
      <c r="Y58" s="3">
        <f>出怪成长!C57</f>
        <v>15</v>
      </c>
      <c r="Z58" s="31" t="str">
        <f t="shared" si="97"/>
        <v>1:2:1|1:3:1|2:10:1|2:6:1#2:6:1#3:6:1|3:6:1#2:6:1#3:6:1|3:9:1#2:9:1#3:9:1|4:11:1#2:11:1#3:11:1|4:13:1#2:13:1#3:13:1|1:18:1#2:18:1#3:18:1|2:32:1#2:21:1#3:32:1</v>
      </c>
      <c r="AA58" s="5">
        <f t="shared" si="119"/>
        <v>1</v>
      </c>
      <c r="AB58" s="32">
        <f t="shared" si="108"/>
        <v>2</v>
      </c>
      <c r="AC58" s="6">
        <f t="shared" si="0"/>
        <v>1</v>
      </c>
      <c r="AD58" s="5">
        <f t="shared" si="18"/>
        <v>1</v>
      </c>
      <c r="AE58" s="32">
        <f t="shared" si="109"/>
        <v>3</v>
      </c>
      <c r="AF58" s="6">
        <f t="shared" si="20"/>
        <v>1</v>
      </c>
      <c r="AG58" s="13">
        <f t="shared" si="131"/>
        <v>1.5</v>
      </c>
      <c r="AH58" s="5">
        <f t="shared" si="21"/>
        <v>2</v>
      </c>
      <c r="AI58" s="32">
        <f t="shared" si="1"/>
        <v>10</v>
      </c>
      <c r="AJ58" s="6">
        <f t="shared" si="2"/>
        <v>1</v>
      </c>
      <c r="AK58" s="1">
        <f t="shared" si="132"/>
        <v>7</v>
      </c>
      <c r="AL58" s="5">
        <f t="shared" si="23"/>
        <v>2</v>
      </c>
      <c r="AM58" s="33">
        <f t="shared" si="133"/>
        <v>6</v>
      </c>
      <c r="AN58" s="6">
        <f t="shared" si="4"/>
        <v>1</v>
      </c>
      <c r="AO58" s="35">
        <v>2</v>
      </c>
      <c r="AP58" s="33">
        <f t="shared" si="134"/>
        <v>6</v>
      </c>
      <c r="AQ58" s="6">
        <f t="shared" si="50"/>
        <v>1</v>
      </c>
      <c r="AR58" s="35">
        <v>3</v>
      </c>
      <c r="AS58" s="33">
        <f t="shared" si="135"/>
        <v>6</v>
      </c>
      <c r="AT58" s="6">
        <f t="shared" si="51"/>
        <v>1</v>
      </c>
      <c r="AU58" s="1">
        <f t="shared" si="136"/>
        <v>10</v>
      </c>
      <c r="AV58" s="5">
        <f t="shared" si="72"/>
        <v>3</v>
      </c>
      <c r="AW58" s="33">
        <f t="shared" si="137"/>
        <v>6</v>
      </c>
      <c r="AX58" s="6">
        <f t="shared" si="6"/>
        <v>1</v>
      </c>
      <c r="AY58" s="35">
        <v>2</v>
      </c>
      <c r="AZ58" s="33">
        <f t="shared" si="138"/>
        <v>6</v>
      </c>
      <c r="BA58" s="6">
        <f t="shared" si="52"/>
        <v>1</v>
      </c>
      <c r="BB58" s="35">
        <v>3</v>
      </c>
      <c r="BC58" s="33">
        <f t="shared" si="139"/>
        <v>6</v>
      </c>
      <c r="BD58" s="6">
        <f t="shared" si="53"/>
        <v>1</v>
      </c>
      <c r="BE58" s="8">
        <f t="shared" si="140"/>
        <v>11</v>
      </c>
      <c r="BF58" s="5">
        <f t="shared" si="77"/>
        <v>3</v>
      </c>
      <c r="BG58" s="33">
        <f t="shared" si="141"/>
        <v>9</v>
      </c>
      <c r="BH58" s="6">
        <f t="shared" si="8"/>
        <v>1</v>
      </c>
      <c r="BI58" s="35">
        <v>2</v>
      </c>
      <c r="BJ58" s="33">
        <f t="shared" si="142"/>
        <v>9</v>
      </c>
      <c r="BK58" s="6">
        <f t="shared" si="54"/>
        <v>1</v>
      </c>
      <c r="BL58" s="35">
        <v>3</v>
      </c>
      <c r="BM58" s="33">
        <f t="shared" si="159"/>
        <v>9</v>
      </c>
      <c r="BN58" s="6">
        <f t="shared" si="55"/>
        <v>1</v>
      </c>
      <c r="BO58" s="8">
        <f t="shared" si="143"/>
        <v>14</v>
      </c>
      <c r="BP58" s="5">
        <f t="shared" si="56"/>
        <v>4</v>
      </c>
      <c r="BQ58" s="33">
        <f t="shared" si="144"/>
        <v>11</v>
      </c>
      <c r="BR58" s="6">
        <f t="shared" si="10"/>
        <v>1</v>
      </c>
      <c r="BS58" s="35">
        <v>2</v>
      </c>
      <c r="BT58" s="33">
        <f t="shared" si="145"/>
        <v>11</v>
      </c>
      <c r="BU58" s="6">
        <f t="shared" si="57"/>
        <v>1</v>
      </c>
      <c r="BV58" s="35">
        <v>3</v>
      </c>
      <c r="BW58" s="33">
        <f t="shared" si="146"/>
        <v>11</v>
      </c>
      <c r="BX58" s="6">
        <f t="shared" si="58"/>
        <v>1</v>
      </c>
      <c r="BY58" s="8">
        <f t="shared" si="147"/>
        <v>14</v>
      </c>
      <c r="BZ58" s="5">
        <f t="shared" si="59"/>
        <v>4</v>
      </c>
      <c r="CA58" s="33">
        <f t="shared" si="148"/>
        <v>13</v>
      </c>
      <c r="CB58" s="6">
        <f t="shared" si="12"/>
        <v>1</v>
      </c>
      <c r="CC58" s="35">
        <v>2</v>
      </c>
      <c r="CD58" s="33">
        <f t="shared" si="149"/>
        <v>13</v>
      </c>
      <c r="CE58" s="6">
        <f t="shared" si="60"/>
        <v>1</v>
      </c>
      <c r="CF58" s="35">
        <v>3</v>
      </c>
      <c r="CG58" s="33">
        <f t="shared" si="150"/>
        <v>13</v>
      </c>
      <c r="CH58" s="6">
        <f t="shared" si="61"/>
        <v>1</v>
      </c>
      <c r="CI58" s="8">
        <f t="shared" si="151"/>
        <v>14</v>
      </c>
      <c r="CJ58" s="15">
        <f t="shared" si="33"/>
        <v>1</v>
      </c>
      <c r="CK58" s="33">
        <f t="shared" si="152"/>
        <v>18</v>
      </c>
      <c r="CL58" s="6">
        <f t="shared" si="14"/>
        <v>1</v>
      </c>
      <c r="CM58" s="35">
        <v>2</v>
      </c>
      <c r="CN58" s="33">
        <f t="shared" si="153"/>
        <v>18</v>
      </c>
      <c r="CO58" s="6">
        <f t="shared" si="62"/>
        <v>1</v>
      </c>
      <c r="CP58" s="35">
        <v>3</v>
      </c>
      <c r="CQ58" s="33">
        <f t="shared" si="154"/>
        <v>18</v>
      </c>
      <c r="CR58" s="6">
        <f t="shared" si="63"/>
        <v>1</v>
      </c>
      <c r="CS58" s="8">
        <f t="shared" si="155"/>
        <v>14</v>
      </c>
      <c r="CT58" s="15">
        <f t="shared" si="35"/>
        <v>2</v>
      </c>
      <c r="CU58" s="33">
        <f t="shared" si="120"/>
        <v>32</v>
      </c>
      <c r="CV58" s="6">
        <f t="shared" si="121"/>
        <v>1</v>
      </c>
      <c r="CW58" s="35">
        <v>2</v>
      </c>
      <c r="CX58" s="33">
        <f t="shared" si="156"/>
        <v>21</v>
      </c>
      <c r="CY58" s="6">
        <f t="shared" si="64"/>
        <v>1</v>
      </c>
      <c r="CZ58" s="35">
        <v>3</v>
      </c>
      <c r="DA58" s="33">
        <f t="shared" si="157"/>
        <v>32</v>
      </c>
      <c r="DB58" s="6">
        <f t="shared" si="65"/>
        <v>1</v>
      </c>
      <c r="DC58" s="1">
        <f t="shared" si="158"/>
        <v>14</v>
      </c>
    </row>
    <row r="59" s="2" customFormat="1" spans="5:107">
      <c r="E59" s="25" t="s">
        <v>1284</v>
      </c>
      <c r="F59" s="26">
        <v>1</v>
      </c>
      <c r="G59" s="27" t="s">
        <v>1276</v>
      </c>
      <c r="H59" s="27">
        <v>2</v>
      </c>
      <c r="I59" s="27" t="s">
        <v>1276</v>
      </c>
      <c r="J59" s="27">
        <v>3</v>
      </c>
      <c r="K59" s="27" t="s">
        <v>1276</v>
      </c>
      <c r="L59" s="27">
        <v>4</v>
      </c>
      <c r="M59" s="27" t="s">
        <v>1276</v>
      </c>
      <c r="N59" s="28"/>
      <c r="O59" s="26">
        <v>5</v>
      </c>
      <c r="P59" s="27" t="s">
        <v>1277</v>
      </c>
      <c r="Q59" s="27">
        <v>6</v>
      </c>
      <c r="R59" s="27" t="s">
        <v>1277</v>
      </c>
      <c r="U59" s="2">
        <v>57</v>
      </c>
      <c r="V59" s="1" t="str">
        <f t="shared" si="107"/>
        <v>3</v>
      </c>
      <c r="W59" s="1">
        <v>83</v>
      </c>
      <c r="X59" s="30" t="s">
        <v>256</v>
      </c>
      <c r="Y59" s="3">
        <f>出怪成长!C58</f>
        <v>15</v>
      </c>
      <c r="Z59" s="31" t="str">
        <f t="shared" ref="Z59:Z98" si="160">AA59&amp;$AB$2&amp;AB59&amp;$AB$2&amp;AC59&amp;$AC$2&amp;AD59&amp;$AE$2&amp;AE59&amp;$AE$2&amp;AF59&amp;$AG$2&amp;AH59&amp;$AI$2&amp;AI59&amp;$AI$2&amp;AJ59&amp;$AK$2&amp;AL59&amp;$AM$2&amp;AM59&amp;$AM$2&amp;AN59&amp;$AL$1&amp;AO59&amp;$AM$2&amp;AP59&amp;$AM$2&amp;AQ59&amp;$AL$1&amp;AR59&amp;$AM$2&amp;AS59&amp;$AM$2&amp;AT59&amp;$AU$2&amp;AV59&amp;$AW$2&amp;AW59&amp;$AW$2&amp;AX59&amp;$AV$1&amp;AY59&amp;$AW$2&amp;AZ59&amp;$AW$2&amp;BA59&amp;$AV$1&amp;BB59&amp;$AW$2&amp;BC59&amp;$AW$2&amp;BD59&amp;$BE$2&amp;BF59&amp;$BG$2&amp;BG59&amp;$BG$2&amp;BH59&amp;$BF$1&amp;BI59&amp;$BG$2&amp;BJ59&amp;$BG$2&amp;BK59&amp;$BF$1&amp;BL59&amp;$BG$2&amp;BM59&amp;$BG$2&amp;BN59&amp;$BO$2&amp;BP59&amp;$BQ$2&amp;BQ59&amp;$BQ$2&amp;BR59&amp;$BP$1&amp;BS59&amp;$BQ$2&amp;BT59&amp;$BQ$2&amp;BU59&amp;$BP$1&amp;BV59&amp;$BQ$2&amp;BW59&amp;$BQ$2&amp;BX59&amp;$BY$2&amp;BZ59&amp;$CA$2&amp;CA59&amp;$CA$2&amp;CB59&amp;$BZ$1&amp;CC59&amp;$CA$2&amp;CD59&amp;$CA$2&amp;CE59&amp;$BZ$1&amp;CF59&amp;$CA$2&amp;CG59&amp;$CA$2&amp;CH59&amp;$CI$2&amp;CJ59&amp;$CK$2&amp;CK59&amp;$CK$2&amp;CL59&amp;$CJ$1&amp;CM59&amp;$CK$2&amp;CN59&amp;$CK$2&amp;CO59&amp;$CJ$1&amp;CP59&amp;$CK$2&amp;CQ59&amp;$CK$2&amp;CR59&amp;$CS$2&amp;CT59&amp;$CU$2&amp;CU59&amp;$CU$2&amp;CV59&amp;$CT$1&amp;CW59&amp;$CU$2&amp;CX59&amp;$CU$2&amp;CY59&amp;$CT$1&amp;CZ59&amp;$CU$2&amp;DA59&amp;$CU$2&amp;DB59</f>
        <v>1:2:1|1:3:1|2:10:1|2:7:1#2:7:1#3:7:1|3:7:1#2:7:1#3:7:1|3:10:1#2:10:1#3:10:1|4:12:1#2:12:1#3:12:1|4:15:1#2:15:1#3:15:1|1:20:1#2:20:1#3:20:1|2:35:1#2:24:1#3:35:1</v>
      </c>
      <c r="AA59" s="5">
        <f t="shared" si="119"/>
        <v>1</v>
      </c>
      <c r="AB59" s="32">
        <f t="shared" si="108"/>
        <v>2</v>
      </c>
      <c r="AC59" s="6">
        <f t="shared" si="0"/>
        <v>1</v>
      </c>
      <c r="AD59" s="5">
        <f t="shared" si="18"/>
        <v>1</v>
      </c>
      <c r="AE59" s="32">
        <f t="shared" si="109"/>
        <v>3</v>
      </c>
      <c r="AF59" s="6">
        <f t="shared" si="20"/>
        <v>1</v>
      </c>
      <c r="AG59" s="13">
        <v>1.5</v>
      </c>
      <c r="AH59" s="5">
        <f t="shared" si="21"/>
        <v>2</v>
      </c>
      <c r="AI59" s="32">
        <f t="shared" si="1"/>
        <v>10</v>
      </c>
      <c r="AJ59" s="6">
        <f t="shared" si="2"/>
        <v>1</v>
      </c>
      <c r="AK59" s="34">
        <f>AK51+AK$1</f>
        <v>7.5</v>
      </c>
      <c r="AL59" s="5">
        <f t="shared" si="23"/>
        <v>2</v>
      </c>
      <c r="AM59" s="33">
        <f t="shared" si="133"/>
        <v>7</v>
      </c>
      <c r="AN59" s="6">
        <f t="shared" si="4"/>
        <v>1</v>
      </c>
      <c r="AO59" s="35">
        <v>2</v>
      </c>
      <c r="AP59" s="33">
        <f t="shared" si="134"/>
        <v>7</v>
      </c>
      <c r="AQ59" s="6">
        <f t="shared" si="50"/>
        <v>1</v>
      </c>
      <c r="AR59" s="35">
        <v>3</v>
      </c>
      <c r="AS59" s="33">
        <f t="shared" si="135"/>
        <v>7</v>
      </c>
      <c r="AT59" s="6">
        <f t="shared" si="51"/>
        <v>1</v>
      </c>
      <c r="AU59" s="34">
        <f>AU51+AU$1</f>
        <v>11</v>
      </c>
      <c r="AV59" s="5">
        <f t="shared" si="72"/>
        <v>3</v>
      </c>
      <c r="AW59" s="33">
        <f t="shared" si="137"/>
        <v>7</v>
      </c>
      <c r="AX59" s="6">
        <f t="shared" si="6"/>
        <v>1</v>
      </c>
      <c r="AY59" s="35">
        <v>2</v>
      </c>
      <c r="AZ59" s="33">
        <f t="shared" si="138"/>
        <v>7</v>
      </c>
      <c r="BA59" s="6">
        <f t="shared" si="52"/>
        <v>1</v>
      </c>
      <c r="BB59" s="35">
        <v>3</v>
      </c>
      <c r="BC59" s="33">
        <f t="shared" si="139"/>
        <v>7</v>
      </c>
      <c r="BD59" s="6">
        <f t="shared" si="53"/>
        <v>1</v>
      </c>
      <c r="BE59" s="7">
        <f>BE51+BE$1</f>
        <v>12</v>
      </c>
      <c r="BF59" s="5">
        <f t="shared" si="77"/>
        <v>3</v>
      </c>
      <c r="BG59" s="33">
        <f t="shared" si="141"/>
        <v>10</v>
      </c>
      <c r="BH59" s="6">
        <f t="shared" si="8"/>
        <v>1</v>
      </c>
      <c r="BI59" s="35">
        <v>2</v>
      </c>
      <c r="BJ59" s="33">
        <f t="shared" si="142"/>
        <v>10</v>
      </c>
      <c r="BK59" s="6">
        <f t="shared" si="54"/>
        <v>1</v>
      </c>
      <c r="BL59" s="35">
        <v>3</v>
      </c>
      <c r="BM59" s="33">
        <f t="shared" si="159"/>
        <v>10</v>
      </c>
      <c r="BN59" s="6">
        <f t="shared" si="55"/>
        <v>1</v>
      </c>
      <c r="BO59" s="7">
        <f>BO51+BO$1</f>
        <v>15.5</v>
      </c>
      <c r="BP59" s="5">
        <f t="shared" si="56"/>
        <v>4</v>
      </c>
      <c r="BQ59" s="33">
        <f t="shared" si="144"/>
        <v>12</v>
      </c>
      <c r="BR59" s="6">
        <f t="shared" si="10"/>
        <v>1</v>
      </c>
      <c r="BS59" s="35">
        <v>2</v>
      </c>
      <c r="BT59" s="33">
        <f t="shared" si="145"/>
        <v>12</v>
      </c>
      <c r="BU59" s="6">
        <f t="shared" si="57"/>
        <v>1</v>
      </c>
      <c r="BV59" s="35">
        <v>3</v>
      </c>
      <c r="BW59" s="33">
        <f t="shared" si="146"/>
        <v>12</v>
      </c>
      <c r="BX59" s="6">
        <f t="shared" si="58"/>
        <v>1</v>
      </c>
      <c r="BY59" s="7">
        <f>BY51+BY$1</f>
        <v>15.5</v>
      </c>
      <c r="BZ59" s="5">
        <f t="shared" si="59"/>
        <v>4</v>
      </c>
      <c r="CA59" s="33">
        <f t="shared" si="148"/>
        <v>15</v>
      </c>
      <c r="CB59" s="6">
        <f t="shared" si="12"/>
        <v>1</v>
      </c>
      <c r="CC59" s="35">
        <v>2</v>
      </c>
      <c r="CD59" s="33">
        <f t="shared" si="149"/>
        <v>15</v>
      </c>
      <c r="CE59" s="6">
        <f t="shared" si="60"/>
        <v>1</v>
      </c>
      <c r="CF59" s="35">
        <v>3</v>
      </c>
      <c r="CG59" s="33">
        <f t="shared" si="150"/>
        <v>15</v>
      </c>
      <c r="CH59" s="6">
        <f t="shared" si="61"/>
        <v>1</v>
      </c>
      <c r="CI59" s="7">
        <f>CI51+CI$1</f>
        <v>15.5</v>
      </c>
      <c r="CJ59" s="15">
        <f t="shared" si="33"/>
        <v>1</v>
      </c>
      <c r="CK59" s="33">
        <f t="shared" si="152"/>
        <v>20</v>
      </c>
      <c r="CL59" s="6">
        <f t="shared" si="14"/>
        <v>1</v>
      </c>
      <c r="CM59" s="35">
        <v>2</v>
      </c>
      <c r="CN59" s="33">
        <f t="shared" si="153"/>
        <v>20</v>
      </c>
      <c r="CO59" s="6">
        <f t="shared" si="62"/>
        <v>1</v>
      </c>
      <c r="CP59" s="35">
        <v>3</v>
      </c>
      <c r="CQ59" s="33">
        <f t="shared" si="154"/>
        <v>20</v>
      </c>
      <c r="CR59" s="6">
        <f t="shared" si="63"/>
        <v>1</v>
      </c>
      <c r="CS59" s="7">
        <f>CS51+CS$1</f>
        <v>15.5</v>
      </c>
      <c r="CT59" s="15">
        <f t="shared" si="35"/>
        <v>2</v>
      </c>
      <c r="CU59" s="32">
        <f t="shared" si="120"/>
        <v>35</v>
      </c>
      <c r="CV59" s="6">
        <f t="shared" si="121"/>
        <v>1</v>
      </c>
      <c r="CW59" s="35">
        <v>2</v>
      </c>
      <c r="CX59" s="33">
        <f t="shared" si="156"/>
        <v>24</v>
      </c>
      <c r="CY59" s="6">
        <f t="shared" si="64"/>
        <v>1</v>
      </c>
      <c r="CZ59" s="35">
        <v>3</v>
      </c>
      <c r="DA59" s="33">
        <f t="shared" si="157"/>
        <v>35</v>
      </c>
      <c r="DB59" s="6">
        <f t="shared" si="65"/>
        <v>1</v>
      </c>
      <c r="DC59" s="34">
        <f>DC51+DC$1</f>
        <v>15.5</v>
      </c>
    </row>
    <row r="60" s="2" customFormat="1" spans="5:107">
      <c r="E60" s="25" t="s">
        <v>1285</v>
      </c>
      <c r="F60" s="26">
        <v>1</v>
      </c>
      <c r="G60" s="27" t="s">
        <v>1276</v>
      </c>
      <c r="H60" s="27">
        <v>2</v>
      </c>
      <c r="I60" s="27" t="s">
        <v>1276</v>
      </c>
      <c r="J60" s="27">
        <v>3</v>
      </c>
      <c r="K60" s="27" t="s">
        <v>1276</v>
      </c>
      <c r="L60" s="27">
        <v>4</v>
      </c>
      <c r="M60" s="27" t="s">
        <v>1276</v>
      </c>
      <c r="N60" s="28"/>
      <c r="O60" s="26">
        <v>5</v>
      </c>
      <c r="P60" s="27" t="s">
        <v>1277</v>
      </c>
      <c r="Q60" s="27">
        <v>6</v>
      </c>
      <c r="R60" s="27" t="s">
        <v>1277</v>
      </c>
      <c r="U60" s="2">
        <v>58</v>
      </c>
      <c r="V60" s="1" t="str">
        <f t="shared" si="107"/>
        <v>4</v>
      </c>
      <c r="W60" s="1">
        <v>84</v>
      </c>
      <c r="X60" s="30" t="s">
        <v>256</v>
      </c>
      <c r="Y60" s="3">
        <f>出怪成长!C59</f>
        <v>15</v>
      </c>
      <c r="Z60" s="31" t="str">
        <f t="shared" si="160"/>
        <v>1:2:1|1:3:1|2:10:1|2:7:1#2:7:1#3:7:1|3:7:1#2:7:1#3:7:1|3:10:1#2:10:1#3:10:1|4:12:1#2:12:1#3:12:1|4:15:1#2:15:1#3:15:1|1:20:1#2:20:1#3:20:1|2:35:1#2:24:1#3:35:1</v>
      </c>
      <c r="AA60" s="5">
        <f t="shared" si="119"/>
        <v>1</v>
      </c>
      <c r="AB60" s="32">
        <f t="shared" si="108"/>
        <v>2</v>
      </c>
      <c r="AC60" s="6">
        <f t="shared" si="0"/>
        <v>1</v>
      </c>
      <c r="AD60" s="5">
        <f t="shared" si="18"/>
        <v>1</v>
      </c>
      <c r="AE60" s="32">
        <f t="shared" si="109"/>
        <v>3</v>
      </c>
      <c r="AF60" s="6">
        <f t="shared" si="20"/>
        <v>1</v>
      </c>
      <c r="AG60" s="13">
        <f t="shared" ref="AG60:AG66" si="161">AG59</f>
        <v>1.5</v>
      </c>
      <c r="AH60" s="5">
        <f t="shared" si="21"/>
        <v>2</v>
      </c>
      <c r="AI60" s="32">
        <f t="shared" si="1"/>
        <v>10</v>
      </c>
      <c r="AJ60" s="6">
        <f t="shared" si="2"/>
        <v>1</v>
      </c>
      <c r="AK60" s="1">
        <f t="shared" ref="AK60:AK66" si="162">AK59</f>
        <v>7.5</v>
      </c>
      <c r="AL60" s="5">
        <f t="shared" si="23"/>
        <v>2</v>
      </c>
      <c r="AM60" s="33">
        <f t="shared" si="133"/>
        <v>7</v>
      </c>
      <c r="AN60" s="6">
        <f t="shared" si="4"/>
        <v>1</v>
      </c>
      <c r="AO60" s="35">
        <v>2</v>
      </c>
      <c r="AP60" s="33">
        <f t="shared" si="134"/>
        <v>7</v>
      </c>
      <c r="AQ60" s="6">
        <f t="shared" si="50"/>
        <v>1</v>
      </c>
      <c r="AR60" s="35">
        <v>3</v>
      </c>
      <c r="AS60" s="33">
        <f t="shared" si="135"/>
        <v>7</v>
      </c>
      <c r="AT60" s="6">
        <f t="shared" si="51"/>
        <v>1</v>
      </c>
      <c r="AU60" s="1">
        <f t="shared" ref="AU60:AU66" si="163">AU59</f>
        <v>11</v>
      </c>
      <c r="AV60" s="5">
        <f t="shared" si="72"/>
        <v>3</v>
      </c>
      <c r="AW60" s="33">
        <f t="shared" si="137"/>
        <v>7</v>
      </c>
      <c r="AX60" s="6">
        <f t="shared" si="6"/>
        <v>1</v>
      </c>
      <c r="AY60" s="35">
        <v>2</v>
      </c>
      <c r="AZ60" s="33">
        <f t="shared" si="138"/>
        <v>7</v>
      </c>
      <c r="BA60" s="6">
        <f t="shared" si="52"/>
        <v>1</v>
      </c>
      <c r="BB60" s="35">
        <v>3</v>
      </c>
      <c r="BC60" s="33">
        <f t="shared" si="139"/>
        <v>7</v>
      </c>
      <c r="BD60" s="6">
        <f t="shared" si="53"/>
        <v>1</v>
      </c>
      <c r="BE60" s="8">
        <f t="shared" ref="BE60:BE66" si="164">BE59</f>
        <v>12</v>
      </c>
      <c r="BF60" s="5">
        <f t="shared" si="77"/>
        <v>3</v>
      </c>
      <c r="BG60" s="33">
        <f t="shared" si="141"/>
        <v>10</v>
      </c>
      <c r="BH60" s="6">
        <f t="shared" si="8"/>
        <v>1</v>
      </c>
      <c r="BI60" s="35">
        <v>2</v>
      </c>
      <c r="BJ60" s="33">
        <f t="shared" si="142"/>
        <v>10</v>
      </c>
      <c r="BK60" s="6">
        <f t="shared" si="54"/>
        <v>1</v>
      </c>
      <c r="BL60" s="35">
        <v>3</v>
      </c>
      <c r="BM60" s="33">
        <f t="shared" si="159"/>
        <v>10</v>
      </c>
      <c r="BN60" s="6">
        <f t="shared" si="55"/>
        <v>1</v>
      </c>
      <c r="BO60" s="8">
        <f t="shared" ref="BO60:BO66" si="165">BO59</f>
        <v>15.5</v>
      </c>
      <c r="BP60" s="5">
        <f t="shared" si="56"/>
        <v>4</v>
      </c>
      <c r="BQ60" s="33">
        <f t="shared" si="144"/>
        <v>12</v>
      </c>
      <c r="BR60" s="6">
        <f t="shared" si="10"/>
        <v>1</v>
      </c>
      <c r="BS60" s="35">
        <v>2</v>
      </c>
      <c r="BT60" s="33">
        <f t="shared" si="145"/>
        <v>12</v>
      </c>
      <c r="BU60" s="6">
        <f t="shared" si="57"/>
        <v>1</v>
      </c>
      <c r="BV60" s="35">
        <v>3</v>
      </c>
      <c r="BW60" s="33">
        <f t="shared" si="146"/>
        <v>12</v>
      </c>
      <c r="BX60" s="6">
        <f t="shared" si="58"/>
        <v>1</v>
      </c>
      <c r="BY60" s="8">
        <f t="shared" ref="BY60:BY66" si="166">BY59</f>
        <v>15.5</v>
      </c>
      <c r="BZ60" s="5">
        <f t="shared" si="59"/>
        <v>4</v>
      </c>
      <c r="CA60" s="33">
        <f t="shared" si="148"/>
        <v>15</v>
      </c>
      <c r="CB60" s="6">
        <f t="shared" si="12"/>
        <v>1</v>
      </c>
      <c r="CC60" s="35">
        <v>2</v>
      </c>
      <c r="CD60" s="33">
        <f t="shared" si="149"/>
        <v>15</v>
      </c>
      <c r="CE60" s="6">
        <f t="shared" si="60"/>
        <v>1</v>
      </c>
      <c r="CF60" s="35">
        <v>3</v>
      </c>
      <c r="CG60" s="33">
        <f t="shared" si="150"/>
        <v>15</v>
      </c>
      <c r="CH60" s="6">
        <f t="shared" si="61"/>
        <v>1</v>
      </c>
      <c r="CI60" s="8">
        <f t="shared" ref="CI60:CI66" si="167">CI59</f>
        <v>15.5</v>
      </c>
      <c r="CJ60" s="15">
        <f t="shared" si="33"/>
        <v>1</v>
      </c>
      <c r="CK60" s="33">
        <f t="shared" si="152"/>
        <v>20</v>
      </c>
      <c r="CL60" s="6">
        <f t="shared" si="14"/>
        <v>1</v>
      </c>
      <c r="CM60" s="35">
        <v>2</v>
      </c>
      <c r="CN60" s="33">
        <f t="shared" si="153"/>
        <v>20</v>
      </c>
      <c r="CO60" s="6">
        <f t="shared" si="62"/>
        <v>1</v>
      </c>
      <c r="CP60" s="35">
        <v>3</v>
      </c>
      <c r="CQ60" s="33">
        <f t="shared" si="154"/>
        <v>20</v>
      </c>
      <c r="CR60" s="6">
        <f t="shared" si="63"/>
        <v>1</v>
      </c>
      <c r="CS60" s="8">
        <f t="shared" ref="CS60:CS66" si="168">CS59</f>
        <v>15.5</v>
      </c>
      <c r="CT60" s="15">
        <f t="shared" si="35"/>
        <v>2</v>
      </c>
      <c r="CU60" s="33">
        <f t="shared" si="120"/>
        <v>35</v>
      </c>
      <c r="CV60" s="6">
        <f t="shared" si="121"/>
        <v>1</v>
      </c>
      <c r="CW60" s="35">
        <v>2</v>
      </c>
      <c r="CX60" s="33">
        <f t="shared" si="156"/>
        <v>24</v>
      </c>
      <c r="CY60" s="6">
        <f t="shared" si="64"/>
        <v>1</v>
      </c>
      <c r="CZ60" s="35">
        <v>3</v>
      </c>
      <c r="DA60" s="33">
        <f t="shared" si="157"/>
        <v>35</v>
      </c>
      <c r="DB60" s="6">
        <f t="shared" si="65"/>
        <v>1</v>
      </c>
      <c r="DC60" s="1">
        <f t="shared" ref="DC60:DC66" si="169">DC59</f>
        <v>15.5</v>
      </c>
    </row>
    <row r="61" s="2" customFormat="1" spans="5:107">
      <c r="E61" s="25" t="s">
        <v>1286</v>
      </c>
      <c r="F61" s="26">
        <v>1</v>
      </c>
      <c r="G61" s="27" t="s">
        <v>1276</v>
      </c>
      <c r="H61" s="27">
        <v>2</v>
      </c>
      <c r="I61" s="27" t="s">
        <v>1276</v>
      </c>
      <c r="J61" s="27">
        <v>3</v>
      </c>
      <c r="K61" s="27" t="s">
        <v>1276</v>
      </c>
      <c r="L61" s="27">
        <v>4</v>
      </c>
      <c r="M61" s="27" t="s">
        <v>1276</v>
      </c>
      <c r="N61" s="28"/>
      <c r="O61" s="26">
        <v>5</v>
      </c>
      <c r="P61" s="27" t="s">
        <v>1277</v>
      </c>
      <c r="Q61" s="27">
        <v>6</v>
      </c>
      <c r="R61" s="27" t="s">
        <v>1277</v>
      </c>
      <c r="U61" s="2">
        <v>59</v>
      </c>
      <c r="V61" s="1" t="str">
        <f t="shared" si="107"/>
        <v>5</v>
      </c>
      <c r="W61" s="1">
        <v>85</v>
      </c>
      <c r="X61" s="30" t="s">
        <v>256</v>
      </c>
      <c r="Y61" s="3">
        <f>出怪成长!C60</f>
        <v>15</v>
      </c>
      <c r="Z61" s="31" t="str">
        <f t="shared" si="160"/>
        <v>1:3:1|1:4:1|2:11:1|2:7:1#2:7:1#3:7:1|3:7:1#2:7:1#3:7:1|3:10:1#2:10:1#3:10:1|4:12:1#2:12:1#3:12:1|4:15:1#2:15:1#3:15:1|1:20:1#2:20:1#3:20:1|2:35:1#2:24:1#3:35:1</v>
      </c>
      <c r="AA61" s="5">
        <f t="shared" si="119"/>
        <v>1</v>
      </c>
      <c r="AB61" s="32">
        <f t="shared" si="108"/>
        <v>3</v>
      </c>
      <c r="AC61" s="6">
        <f t="shared" si="0"/>
        <v>1</v>
      </c>
      <c r="AD61" s="5">
        <f t="shared" si="18"/>
        <v>1</v>
      </c>
      <c r="AE61" s="32">
        <f t="shared" si="109"/>
        <v>4</v>
      </c>
      <c r="AF61" s="6">
        <f t="shared" si="20"/>
        <v>1</v>
      </c>
      <c r="AG61" s="13">
        <f t="shared" si="161"/>
        <v>1.5</v>
      </c>
      <c r="AH61" s="5">
        <f t="shared" si="21"/>
        <v>2</v>
      </c>
      <c r="AI61" s="32">
        <f t="shared" si="1"/>
        <v>11</v>
      </c>
      <c r="AJ61" s="6">
        <f t="shared" si="2"/>
        <v>1</v>
      </c>
      <c r="AK61" s="1">
        <f t="shared" si="162"/>
        <v>7.5</v>
      </c>
      <c r="AL61" s="5">
        <f t="shared" si="23"/>
        <v>2</v>
      </c>
      <c r="AM61" s="33">
        <f t="shared" si="133"/>
        <v>7</v>
      </c>
      <c r="AN61" s="6">
        <f t="shared" si="4"/>
        <v>1</v>
      </c>
      <c r="AO61" s="35">
        <v>2</v>
      </c>
      <c r="AP61" s="33">
        <f t="shared" si="134"/>
        <v>7</v>
      </c>
      <c r="AQ61" s="6">
        <f t="shared" si="50"/>
        <v>1</v>
      </c>
      <c r="AR61" s="35">
        <v>3</v>
      </c>
      <c r="AS61" s="33">
        <f t="shared" si="135"/>
        <v>7</v>
      </c>
      <c r="AT61" s="6">
        <f t="shared" si="51"/>
        <v>1</v>
      </c>
      <c r="AU61" s="1">
        <f t="shared" si="163"/>
        <v>11</v>
      </c>
      <c r="AV61" s="5">
        <f t="shared" si="72"/>
        <v>3</v>
      </c>
      <c r="AW61" s="33">
        <f t="shared" si="137"/>
        <v>7</v>
      </c>
      <c r="AX61" s="6">
        <f t="shared" si="6"/>
        <v>1</v>
      </c>
      <c r="AY61" s="35">
        <v>2</v>
      </c>
      <c r="AZ61" s="33">
        <f t="shared" si="138"/>
        <v>7</v>
      </c>
      <c r="BA61" s="6">
        <f t="shared" si="52"/>
        <v>1</v>
      </c>
      <c r="BB61" s="35">
        <v>3</v>
      </c>
      <c r="BC61" s="33">
        <f t="shared" si="139"/>
        <v>7</v>
      </c>
      <c r="BD61" s="6">
        <f t="shared" si="53"/>
        <v>1</v>
      </c>
      <c r="BE61" s="8">
        <f t="shared" si="164"/>
        <v>12</v>
      </c>
      <c r="BF61" s="5">
        <f t="shared" si="77"/>
        <v>3</v>
      </c>
      <c r="BG61" s="33">
        <f t="shared" si="141"/>
        <v>10</v>
      </c>
      <c r="BH61" s="6">
        <f t="shared" si="8"/>
        <v>1</v>
      </c>
      <c r="BI61" s="35">
        <v>2</v>
      </c>
      <c r="BJ61" s="33">
        <f t="shared" si="142"/>
        <v>10</v>
      </c>
      <c r="BK61" s="6">
        <f t="shared" si="54"/>
        <v>1</v>
      </c>
      <c r="BL61" s="35">
        <v>3</v>
      </c>
      <c r="BM61" s="33">
        <f t="shared" si="159"/>
        <v>10</v>
      </c>
      <c r="BN61" s="6">
        <f t="shared" si="55"/>
        <v>1</v>
      </c>
      <c r="BO61" s="8">
        <f t="shared" si="165"/>
        <v>15.5</v>
      </c>
      <c r="BP61" s="5">
        <f t="shared" si="56"/>
        <v>4</v>
      </c>
      <c r="BQ61" s="33">
        <f t="shared" si="144"/>
        <v>12</v>
      </c>
      <c r="BR61" s="6">
        <f t="shared" si="10"/>
        <v>1</v>
      </c>
      <c r="BS61" s="35">
        <v>2</v>
      </c>
      <c r="BT61" s="33">
        <f t="shared" si="145"/>
        <v>12</v>
      </c>
      <c r="BU61" s="6">
        <f t="shared" si="57"/>
        <v>1</v>
      </c>
      <c r="BV61" s="35">
        <v>3</v>
      </c>
      <c r="BW61" s="33">
        <f t="shared" si="146"/>
        <v>12</v>
      </c>
      <c r="BX61" s="6">
        <f t="shared" si="58"/>
        <v>1</v>
      </c>
      <c r="BY61" s="8">
        <f t="shared" si="166"/>
        <v>15.5</v>
      </c>
      <c r="BZ61" s="5">
        <f t="shared" si="59"/>
        <v>4</v>
      </c>
      <c r="CA61" s="33">
        <f t="shared" si="148"/>
        <v>15</v>
      </c>
      <c r="CB61" s="6">
        <f t="shared" si="12"/>
        <v>1</v>
      </c>
      <c r="CC61" s="35">
        <v>2</v>
      </c>
      <c r="CD61" s="33">
        <f t="shared" si="149"/>
        <v>15</v>
      </c>
      <c r="CE61" s="6">
        <f t="shared" si="60"/>
        <v>1</v>
      </c>
      <c r="CF61" s="35">
        <v>3</v>
      </c>
      <c r="CG61" s="33">
        <f t="shared" si="150"/>
        <v>15</v>
      </c>
      <c r="CH61" s="6">
        <f t="shared" si="61"/>
        <v>1</v>
      </c>
      <c r="CI61" s="8">
        <f t="shared" si="167"/>
        <v>15.5</v>
      </c>
      <c r="CJ61" s="15">
        <f t="shared" si="33"/>
        <v>1</v>
      </c>
      <c r="CK61" s="33">
        <f t="shared" si="152"/>
        <v>20</v>
      </c>
      <c r="CL61" s="6">
        <f t="shared" si="14"/>
        <v>1</v>
      </c>
      <c r="CM61" s="35">
        <v>2</v>
      </c>
      <c r="CN61" s="33">
        <f t="shared" si="153"/>
        <v>20</v>
      </c>
      <c r="CO61" s="6">
        <f t="shared" si="62"/>
        <v>1</v>
      </c>
      <c r="CP61" s="35">
        <v>3</v>
      </c>
      <c r="CQ61" s="33">
        <f t="shared" si="154"/>
        <v>20</v>
      </c>
      <c r="CR61" s="6">
        <f t="shared" si="63"/>
        <v>1</v>
      </c>
      <c r="CS61" s="8">
        <f t="shared" si="168"/>
        <v>15.5</v>
      </c>
      <c r="CT61" s="15">
        <f t="shared" si="35"/>
        <v>2</v>
      </c>
      <c r="CU61" s="32">
        <f t="shared" si="120"/>
        <v>35</v>
      </c>
      <c r="CV61" s="6">
        <f t="shared" si="121"/>
        <v>1</v>
      </c>
      <c r="CW61" s="35">
        <v>2</v>
      </c>
      <c r="CX61" s="33">
        <f t="shared" si="156"/>
        <v>24</v>
      </c>
      <c r="CY61" s="6">
        <f t="shared" si="64"/>
        <v>1</v>
      </c>
      <c r="CZ61" s="35">
        <v>3</v>
      </c>
      <c r="DA61" s="33">
        <f t="shared" si="157"/>
        <v>35</v>
      </c>
      <c r="DB61" s="6">
        <f t="shared" si="65"/>
        <v>1</v>
      </c>
      <c r="DC61" s="1">
        <f t="shared" si="169"/>
        <v>15.5</v>
      </c>
    </row>
    <row r="62" s="2" customFormat="1" spans="5:107">
      <c r="E62" s="25" t="s">
        <v>1287</v>
      </c>
      <c r="F62" s="26">
        <v>1</v>
      </c>
      <c r="G62" s="27" t="s">
        <v>1276</v>
      </c>
      <c r="H62" s="27">
        <v>2</v>
      </c>
      <c r="I62" s="27" t="s">
        <v>1276</v>
      </c>
      <c r="J62" s="27">
        <v>3</v>
      </c>
      <c r="K62" s="27" t="s">
        <v>1276</v>
      </c>
      <c r="L62" s="27">
        <v>4</v>
      </c>
      <c r="M62" s="27" t="s">
        <v>1276</v>
      </c>
      <c r="N62" s="28"/>
      <c r="O62" s="26">
        <v>5</v>
      </c>
      <c r="P62" s="27" t="s">
        <v>1277</v>
      </c>
      <c r="Q62" s="27">
        <v>6</v>
      </c>
      <c r="R62" s="27" t="s">
        <v>1277</v>
      </c>
      <c r="U62" s="2">
        <v>60</v>
      </c>
      <c r="V62" s="1" t="str">
        <f t="shared" si="107"/>
        <v>6</v>
      </c>
      <c r="W62" s="1">
        <v>86</v>
      </c>
      <c r="X62" s="30" t="s">
        <v>256</v>
      </c>
      <c r="Y62" s="3">
        <f>出怪成长!C61</f>
        <v>15</v>
      </c>
      <c r="Z62" s="31" t="str">
        <f t="shared" si="160"/>
        <v>1:3:1|1:4:1|2:11:1|2:7:1#2:7:1#3:7:1|3:7:1#2:7:1#3:7:1|3:10:1#2:10:1#3:10:1|4:12:1#2:12:1#3:12:1|4:15:1#2:15:1#3:15:1|1:20:1#2:20:1#3:20:1|2:35:1#2:24:1#3:35:1</v>
      </c>
      <c r="AA62" s="5">
        <f t="shared" si="119"/>
        <v>1</v>
      </c>
      <c r="AB62" s="32">
        <f t="shared" si="108"/>
        <v>3</v>
      </c>
      <c r="AC62" s="6">
        <f t="shared" si="0"/>
        <v>1</v>
      </c>
      <c r="AD62" s="5">
        <f t="shared" si="18"/>
        <v>1</v>
      </c>
      <c r="AE62" s="32">
        <f t="shared" si="109"/>
        <v>4</v>
      </c>
      <c r="AF62" s="6">
        <f t="shared" si="20"/>
        <v>1</v>
      </c>
      <c r="AG62" s="13">
        <f t="shared" si="161"/>
        <v>1.5</v>
      </c>
      <c r="AH62" s="5">
        <f t="shared" si="21"/>
        <v>2</v>
      </c>
      <c r="AI62" s="32">
        <f t="shared" si="1"/>
        <v>11</v>
      </c>
      <c r="AJ62" s="6">
        <f t="shared" si="2"/>
        <v>1</v>
      </c>
      <c r="AK62" s="1">
        <f t="shared" si="162"/>
        <v>7.5</v>
      </c>
      <c r="AL62" s="5">
        <f t="shared" si="23"/>
        <v>2</v>
      </c>
      <c r="AM62" s="33">
        <f t="shared" si="133"/>
        <v>7</v>
      </c>
      <c r="AN62" s="6">
        <f t="shared" si="4"/>
        <v>1</v>
      </c>
      <c r="AO62" s="35">
        <v>2</v>
      </c>
      <c r="AP62" s="33">
        <f t="shared" si="134"/>
        <v>7</v>
      </c>
      <c r="AQ62" s="6">
        <f t="shared" si="50"/>
        <v>1</v>
      </c>
      <c r="AR62" s="35">
        <v>3</v>
      </c>
      <c r="AS62" s="33">
        <f t="shared" si="135"/>
        <v>7</v>
      </c>
      <c r="AT62" s="6">
        <f t="shared" si="51"/>
        <v>1</v>
      </c>
      <c r="AU62" s="1">
        <f t="shared" si="163"/>
        <v>11</v>
      </c>
      <c r="AV62" s="5">
        <f t="shared" si="72"/>
        <v>3</v>
      </c>
      <c r="AW62" s="33">
        <f t="shared" si="137"/>
        <v>7</v>
      </c>
      <c r="AX62" s="6">
        <f t="shared" si="6"/>
        <v>1</v>
      </c>
      <c r="AY62" s="35">
        <v>2</v>
      </c>
      <c r="AZ62" s="33">
        <f t="shared" si="138"/>
        <v>7</v>
      </c>
      <c r="BA62" s="6">
        <f t="shared" si="52"/>
        <v>1</v>
      </c>
      <c r="BB62" s="35">
        <v>3</v>
      </c>
      <c r="BC62" s="33">
        <f t="shared" si="139"/>
        <v>7</v>
      </c>
      <c r="BD62" s="6">
        <f t="shared" si="53"/>
        <v>1</v>
      </c>
      <c r="BE62" s="8">
        <f t="shared" si="164"/>
        <v>12</v>
      </c>
      <c r="BF62" s="5">
        <f t="shared" si="77"/>
        <v>3</v>
      </c>
      <c r="BG62" s="33">
        <f t="shared" si="141"/>
        <v>10</v>
      </c>
      <c r="BH62" s="6">
        <f t="shared" si="8"/>
        <v>1</v>
      </c>
      <c r="BI62" s="35">
        <v>2</v>
      </c>
      <c r="BJ62" s="33">
        <f t="shared" si="142"/>
        <v>10</v>
      </c>
      <c r="BK62" s="6">
        <f t="shared" si="54"/>
        <v>1</v>
      </c>
      <c r="BL62" s="35">
        <v>3</v>
      </c>
      <c r="BM62" s="33">
        <f t="shared" si="159"/>
        <v>10</v>
      </c>
      <c r="BN62" s="6">
        <f t="shared" si="55"/>
        <v>1</v>
      </c>
      <c r="BO62" s="8">
        <f t="shared" si="165"/>
        <v>15.5</v>
      </c>
      <c r="BP62" s="5">
        <f t="shared" si="56"/>
        <v>4</v>
      </c>
      <c r="BQ62" s="33">
        <f t="shared" si="144"/>
        <v>12</v>
      </c>
      <c r="BR62" s="6">
        <f t="shared" si="10"/>
        <v>1</v>
      </c>
      <c r="BS62" s="35">
        <v>2</v>
      </c>
      <c r="BT62" s="33">
        <f t="shared" si="145"/>
        <v>12</v>
      </c>
      <c r="BU62" s="6">
        <f t="shared" si="57"/>
        <v>1</v>
      </c>
      <c r="BV62" s="35">
        <v>3</v>
      </c>
      <c r="BW62" s="33">
        <f t="shared" si="146"/>
        <v>12</v>
      </c>
      <c r="BX62" s="6">
        <f t="shared" si="58"/>
        <v>1</v>
      </c>
      <c r="BY62" s="8">
        <f t="shared" si="166"/>
        <v>15.5</v>
      </c>
      <c r="BZ62" s="5">
        <f t="shared" si="59"/>
        <v>4</v>
      </c>
      <c r="CA62" s="33">
        <f t="shared" si="148"/>
        <v>15</v>
      </c>
      <c r="CB62" s="6">
        <f t="shared" si="12"/>
        <v>1</v>
      </c>
      <c r="CC62" s="35">
        <v>2</v>
      </c>
      <c r="CD62" s="33">
        <f t="shared" si="149"/>
        <v>15</v>
      </c>
      <c r="CE62" s="6">
        <f t="shared" si="60"/>
        <v>1</v>
      </c>
      <c r="CF62" s="35">
        <v>3</v>
      </c>
      <c r="CG62" s="33">
        <f t="shared" si="150"/>
        <v>15</v>
      </c>
      <c r="CH62" s="6">
        <f t="shared" si="61"/>
        <v>1</v>
      </c>
      <c r="CI62" s="8">
        <f t="shared" si="167"/>
        <v>15.5</v>
      </c>
      <c r="CJ62" s="15">
        <f t="shared" si="33"/>
        <v>1</v>
      </c>
      <c r="CK62" s="33">
        <f t="shared" si="152"/>
        <v>20</v>
      </c>
      <c r="CL62" s="6">
        <f t="shared" si="14"/>
        <v>1</v>
      </c>
      <c r="CM62" s="35">
        <v>2</v>
      </c>
      <c r="CN62" s="33">
        <f t="shared" si="153"/>
        <v>20</v>
      </c>
      <c r="CO62" s="6">
        <f t="shared" si="62"/>
        <v>1</v>
      </c>
      <c r="CP62" s="35">
        <v>3</v>
      </c>
      <c r="CQ62" s="33">
        <f t="shared" si="154"/>
        <v>20</v>
      </c>
      <c r="CR62" s="6">
        <f t="shared" si="63"/>
        <v>1</v>
      </c>
      <c r="CS62" s="8">
        <f t="shared" si="168"/>
        <v>15.5</v>
      </c>
      <c r="CT62" s="15">
        <f t="shared" si="35"/>
        <v>2</v>
      </c>
      <c r="CU62" s="33">
        <f t="shared" si="120"/>
        <v>35</v>
      </c>
      <c r="CV62" s="6">
        <f t="shared" si="121"/>
        <v>1</v>
      </c>
      <c r="CW62" s="35">
        <v>2</v>
      </c>
      <c r="CX62" s="33">
        <f t="shared" si="156"/>
        <v>24</v>
      </c>
      <c r="CY62" s="6">
        <f t="shared" si="64"/>
        <v>1</v>
      </c>
      <c r="CZ62" s="35">
        <v>3</v>
      </c>
      <c r="DA62" s="33">
        <f t="shared" si="157"/>
        <v>35</v>
      </c>
      <c r="DB62" s="6">
        <f t="shared" si="65"/>
        <v>1</v>
      </c>
      <c r="DC62" s="1">
        <f t="shared" si="169"/>
        <v>15.5</v>
      </c>
    </row>
    <row r="63" s="2" customFormat="1" spans="5:107">
      <c r="E63" s="25" t="s">
        <v>1288</v>
      </c>
      <c r="F63" s="26">
        <v>1</v>
      </c>
      <c r="G63" s="27" t="s">
        <v>1276</v>
      </c>
      <c r="H63" s="27">
        <v>2</v>
      </c>
      <c r="I63" s="27" t="s">
        <v>1276</v>
      </c>
      <c r="J63" s="27">
        <v>3</v>
      </c>
      <c r="K63" s="27" t="s">
        <v>1276</v>
      </c>
      <c r="L63" s="27">
        <v>4</v>
      </c>
      <c r="M63" s="27" t="s">
        <v>1276</v>
      </c>
      <c r="N63" s="28"/>
      <c r="O63" s="26">
        <v>5</v>
      </c>
      <c r="P63" s="27" t="s">
        <v>1277</v>
      </c>
      <c r="Q63" s="27">
        <v>6</v>
      </c>
      <c r="R63" s="27" t="s">
        <v>1277</v>
      </c>
      <c r="U63" s="2">
        <v>61</v>
      </c>
      <c r="V63" s="1" t="str">
        <f t="shared" si="107"/>
        <v>1</v>
      </c>
      <c r="W63" s="1">
        <v>91</v>
      </c>
      <c r="X63" s="30" t="s">
        <v>267</v>
      </c>
      <c r="Y63" s="3">
        <f>出怪成长!C62</f>
        <v>15</v>
      </c>
      <c r="Z63" s="31" t="str">
        <f t="shared" si="160"/>
        <v>1:2:1|1:3:1|2:10:1|2:7:1#2:7:1#3:7:1|3:7:1#2:7:1#3:7:1|3:10:1#2:10:1#3:10:1|4:12:1#2:12:1#3:12:1|4:15:1#2:15:1#3:15:1|1:20:1#2:20:1#3:20:1|2:35:1#2:24:1#3:35:1</v>
      </c>
      <c r="AA63" s="5">
        <f t="shared" si="119"/>
        <v>1</v>
      </c>
      <c r="AB63" s="32">
        <f t="shared" si="108"/>
        <v>2</v>
      </c>
      <c r="AC63" s="6">
        <f t="shared" si="0"/>
        <v>1</v>
      </c>
      <c r="AD63" s="5">
        <f t="shared" si="18"/>
        <v>1</v>
      </c>
      <c r="AE63" s="32">
        <f t="shared" si="109"/>
        <v>3</v>
      </c>
      <c r="AF63" s="6">
        <f t="shared" si="20"/>
        <v>1</v>
      </c>
      <c r="AG63" s="13">
        <f t="shared" si="161"/>
        <v>1.5</v>
      </c>
      <c r="AH63" s="5">
        <f t="shared" si="21"/>
        <v>2</v>
      </c>
      <c r="AI63" s="32">
        <f t="shared" si="1"/>
        <v>10</v>
      </c>
      <c r="AJ63" s="6">
        <f t="shared" si="2"/>
        <v>1</v>
      </c>
      <c r="AK63" s="1">
        <f t="shared" si="162"/>
        <v>7.5</v>
      </c>
      <c r="AL63" s="5">
        <f t="shared" si="23"/>
        <v>2</v>
      </c>
      <c r="AM63" s="33">
        <f t="shared" si="133"/>
        <v>7</v>
      </c>
      <c r="AN63" s="6">
        <f t="shared" si="4"/>
        <v>1</v>
      </c>
      <c r="AO63" s="35">
        <v>2</v>
      </c>
      <c r="AP63" s="33">
        <f t="shared" si="134"/>
        <v>7</v>
      </c>
      <c r="AQ63" s="6">
        <f t="shared" si="50"/>
        <v>1</v>
      </c>
      <c r="AR63" s="35">
        <v>3</v>
      </c>
      <c r="AS63" s="33">
        <f t="shared" si="135"/>
        <v>7</v>
      </c>
      <c r="AT63" s="6">
        <f t="shared" si="51"/>
        <v>1</v>
      </c>
      <c r="AU63" s="1">
        <f t="shared" si="163"/>
        <v>11</v>
      </c>
      <c r="AV63" s="5">
        <f t="shared" si="72"/>
        <v>3</v>
      </c>
      <c r="AW63" s="33">
        <f t="shared" si="137"/>
        <v>7</v>
      </c>
      <c r="AX63" s="6">
        <f t="shared" si="6"/>
        <v>1</v>
      </c>
      <c r="AY63" s="35">
        <v>2</v>
      </c>
      <c r="AZ63" s="33">
        <f t="shared" si="138"/>
        <v>7</v>
      </c>
      <c r="BA63" s="6">
        <f t="shared" si="52"/>
        <v>1</v>
      </c>
      <c r="BB63" s="35">
        <v>3</v>
      </c>
      <c r="BC63" s="33">
        <f t="shared" si="139"/>
        <v>7</v>
      </c>
      <c r="BD63" s="6">
        <f t="shared" si="53"/>
        <v>1</v>
      </c>
      <c r="BE63" s="8">
        <f t="shared" si="164"/>
        <v>12</v>
      </c>
      <c r="BF63" s="5">
        <f t="shared" si="77"/>
        <v>3</v>
      </c>
      <c r="BG63" s="33">
        <f t="shared" si="141"/>
        <v>10</v>
      </c>
      <c r="BH63" s="6">
        <f t="shared" si="8"/>
        <v>1</v>
      </c>
      <c r="BI63" s="35">
        <v>2</v>
      </c>
      <c r="BJ63" s="33">
        <f t="shared" si="142"/>
        <v>10</v>
      </c>
      <c r="BK63" s="6">
        <f t="shared" si="54"/>
        <v>1</v>
      </c>
      <c r="BL63" s="35">
        <v>3</v>
      </c>
      <c r="BM63" s="33">
        <f t="shared" si="159"/>
        <v>10</v>
      </c>
      <c r="BN63" s="6">
        <f t="shared" si="55"/>
        <v>1</v>
      </c>
      <c r="BO63" s="8">
        <f t="shared" si="165"/>
        <v>15.5</v>
      </c>
      <c r="BP63" s="5">
        <f t="shared" si="56"/>
        <v>4</v>
      </c>
      <c r="BQ63" s="33">
        <f t="shared" si="144"/>
        <v>12</v>
      </c>
      <c r="BR63" s="6">
        <f t="shared" si="10"/>
        <v>1</v>
      </c>
      <c r="BS63" s="35">
        <v>2</v>
      </c>
      <c r="BT63" s="33">
        <f t="shared" si="145"/>
        <v>12</v>
      </c>
      <c r="BU63" s="6">
        <f t="shared" si="57"/>
        <v>1</v>
      </c>
      <c r="BV63" s="35">
        <v>3</v>
      </c>
      <c r="BW63" s="33">
        <f t="shared" si="146"/>
        <v>12</v>
      </c>
      <c r="BX63" s="6">
        <f t="shared" si="58"/>
        <v>1</v>
      </c>
      <c r="BY63" s="8">
        <f t="shared" si="166"/>
        <v>15.5</v>
      </c>
      <c r="BZ63" s="5">
        <f t="shared" si="59"/>
        <v>4</v>
      </c>
      <c r="CA63" s="33">
        <f t="shared" si="148"/>
        <v>15</v>
      </c>
      <c r="CB63" s="6">
        <f t="shared" si="12"/>
        <v>1</v>
      </c>
      <c r="CC63" s="35">
        <v>2</v>
      </c>
      <c r="CD63" s="33">
        <f t="shared" si="149"/>
        <v>15</v>
      </c>
      <c r="CE63" s="6">
        <f t="shared" si="60"/>
        <v>1</v>
      </c>
      <c r="CF63" s="35">
        <v>3</v>
      </c>
      <c r="CG63" s="33">
        <f t="shared" si="150"/>
        <v>15</v>
      </c>
      <c r="CH63" s="6">
        <f t="shared" si="61"/>
        <v>1</v>
      </c>
      <c r="CI63" s="8">
        <f t="shared" si="167"/>
        <v>15.5</v>
      </c>
      <c r="CJ63" s="15">
        <f t="shared" si="33"/>
        <v>1</v>
      </c>
      <c r="CK63" s="33">
        <f t="shared" si="152"/>
        <v>20</v>
      </c>
      <c r="CL63" s="6">
        <f t="shared" si="14"/>
        <v>1</v>
      </c>
      <c r="CM63" s="35">
        <v>2</v>
      </c>
      <c r="CN63" s="33">
        <f t="shared" si="153"/>
        <v>20</v>
      </c>
      <c r="CO63" s="6">
        <f t="shared" si="62"/>
        <v>1</v>
      </c>
      <c r="CP63" s="35">
        <v>3</v>
      </c>
      <c r="CQ63" s="33">
        <f t="shared" si="154"/>
        <v>20</v>
      </c>
      <c r="CR63" s="6">
        <f t="shared" si="63"/>
        <v>1</v>
      </c>
      <c r="CS63" s="8">
        <f t="shared" si="168"/>
        <v>15.5</v>
      </c>
      <c r="CT63" s="15">
        <f t="shared" si="35"/>
        <v>2</v>
      </c>
      <c r="CU63" s="32">
        <f t="shared" si="120"/>
        <v>35</v>
      </c>
      <c r="CV63" s="6">
        <f t="shared" si="121"/>
        <v>1</v>
      </c>
      <c r="CW63" s="35">
        <v>2</v>
      </c>
      <c r="CX63" s="33">
        <f t="shared" si="156"/>
        <v>24</v>
      </c>
      <c r="CY63" s="6">
        <f t="shared" si="64"/>
        <v>1</v>
      </c>
      <c r="CZ63" s="35">
        <v>3</v>
      </c>
      <c r="DA63" s="33">
        <f t="shared" si="157"/>
        <v>35</v>
      </c>
      <c r="DB63" s="6">
        <f t="shared" si="65"/>
        <v>1</v>
      </c>
      <c r="DC63" s="1">
        <f t="shared" si="169"/>
        <v>15.5</v>
      </c>
    </row>
    <row r="64" s="2" customFormat="1" spans="5:107">
      <c r="E64" s="25" t="s">
        <v>1289</v>
      </c>
      <c r="F64" s="26">
        <v>1</v>
      </c>
      <c r="G64" s="27" t="s">
        <v>1276</v>
      </c>
      <c r="H64" s="27">
        <v>2</v>
      </c>
      <c r="I64" s="27" t="s">
        <v>1276</v>
      </c>
      <c r="J64" s="27">
        <v>3</v>
      </c>
      <c r="K64" s="27" t="s">
        <v>1276</v>
      </c>
      <c r="L64" s="27">
        <v>4</v>
      </c>
      <c r="M64" s="27" t="s">
        <v>1276</v>
      </c>
      <c r="N64" s="28"/>
      <c r="O64" s="26">
        <v>5</v>
      </c>
      <c r="P64" s="27" t="s">
        <v>1277</v>
      </c>
      <c r="Q64" s="27">
        <v>6</v>
      </c>
      <c r="R64" s="27" t="s">
        <v>1277</v>
      </c>
      <c r="U64" s="2">
        <v>62</v>
      </c>
      <c r="V64" s="1" t="str">
        <f t="shared" si="107"/>
        <v>2</v>
      </c>
      <c r="W64" s="1">
        <v>92</v>
      </c>
      <c r="X64" s="30" t="s">
        <v>267</v>
      </c>
      <c r="Y64" s="3">
        <f>出怪成长!C63</f>
        <v>15</v>
      </c>
      <c r="Z64" s="31" t="str">
        <f t="shared" si="160"/>
        <v>1:2:1|1:3:1|2:10:1|2:7:1#2:7:1#3:7:1|3:7:1#2:7:1#3:7:1|3:10:1#2:10:1#3:10:1|4:12:1#2:12:1#3:12:1|4:15:1#2:15:1#3:15:1|1:20:1#2:20:1#3:20:1|2:35:1#2:24:1#3:35:1</v>
      </c>
      <c r="AA64" s="5">
        <f t="shared" si="119"/>
        <v>1</v>
      </c>
      <c r="AB64" s="32">
        <f t="shared" si="108"/>
        <v>2</v>
      </c>
      <c r="AC64" s="6">
        <f t="shared" si="0"/>
        <v>1</v>
      </c>
      <c r="AD64" s="5">
        <f t="shared" si="18"/>
        <v>1</v>
      </c>
      <c r="AE64" s="32">
        <f t="shared" si="109"/>
        <v>3</v>
      </c>
      <c r="AF64" s="6">
        <f t="shared" si="20"/>
        <v>1</v>
      </c>
      <c r="AG64" s="13">
        <f t="shared" si="161"/>
        <v>1.5</v>
      </c>
      <c r="AH64" s="5">
        <f t="shared" si="21"/>
        <v>2</v>
      </c>
      <c r="AI64" s="32">
        <f t="shared" si="1"/>
        <v>10</v>
      </c>
      <c r="AJ64" s="6">
        <f t="shared" si="2"/>
        <v>1</v>
      </c>
      <c r="AK64" s="1">
        <f t="shared" si="162"/>
        <v>7.5</v>
      </c>
      <c r="AL64" s="5">
        <f t="shared" si="23"/>
        <v>2</v>
      </c>
      <c r="AM64" s="33">
        <f t="shared" si="133"/>
        <v>7</v>
      </c>
      <c r="AN64" s="6">
        <f t="shared" si="4"/>
        <v>1</v>
      </c>
      <c r="AO64" s="35">
        <v>2</v>
      </c>
      <c r="AP64" s="33">
        <f t="shared" si="134"/>
        <v>7</v>
      </c>
      <c r="AQ64" s="6">
        <f t="shared" si="50"/>
        <v>1</v>
      </c>
      <c r="AR64" s="35">
        <v>3</v>
      </c>
      <c r="AS64" s="33">
        <f t="shared" si="135"/>
        <v>7</v>
      </c>
      <c r="AT64" s="6">
        <f t="shared" si="51"/>
        <v>1</v>
      </c>
      <c r="AU64" s="1">
        <f t="shared" si="163"/>
        <v>11</v>
      </c>
      <c r="AV64" s="5">
        <f t="shared" si="72"/>
        <v>3</v>
      </c>
      <c r="AW64" s="33">
        <f t="shared" si="137"/>
        <v>7</v>
      </c>
      <c r="AX64" s="6">
        <f t="shared" si="6"/>
        <v>1</v>
      </c>
      <c r="AY64" s="35">
        <v>2</v>
      </c>
      <c r="AZ64" s="33">
        <f t="shared" si="138"/>
        <v>7</v>
      </c>
      <c r="BA64" s="6">
        <f t="shared" si="52"/>
        <v>1</v>
      </c>
      <c r="BB64" s="35">
        <v>3</v>
      </c>
      <c r="BC64" s="33">
        <f t="shared" si="139"/>
        <v>7</v>
      </c>
      <c r="BD64" s="6">
        <f t="shared" si="53"/>
        <v>1</v>
      </c>
      <c r="BE64" s="8">
        <f t="shared" si="164"/>
        <v>12</v>
      </c>
      <c r="BF64" s="5">
        <f t="shared" si="77"/>
        <v>3</v>
      </c>
      <c r="BG64" s="33">
        <f t="shared" si="141"/>
        <v>10</v>
      </c>
      <c r="BH64" s="6">
        <f t="shared" si="8"/>
        <v>1</v>
      </c>
      <c r="BI64" s="35">
        <v>2</v>
      </c>
      <c r="BJ64" s="33">
        <f t="shared" si="142"/>
        <v>10</v>
      </c>
      <c r="BK64" s="6">
        <f t="shared" si="54"/>
        <v>1</v>
      </c>
      <c r="BL64" s="35">
        <v>3</v>
      </c>
      <c r="BM64" s="33">
        <f t="shared" si="159"/>
        <v>10</v>
      </c>
      <c r="BN64" s="6">
        <f t="shared" si="55"/>
        <v>1</v>
      </c>
      <c r="BO64" s="8">
        <f t="shared" si="165"/>
        <v>15.5</v>
      </c>
      <c r="BP64" s="5">
        <f t="shared" si="56"/>
        <v>4</v>
      </c>
      <c r="BQ64" s="33">
        <f t="shared" si="144"/>
        <v>12</v>
      </c>
      <c r="BR64" s="6">
        <f t="shared" si="10"/>
        <v>1</v>
      </c>
      <c r="BS64" s="35">
        <v>2</v>
      </c>
      <c r="BT64" s="33">
        <f t="shared" si="145"/>
        <v>12</v>
      </c>
      <c r="BU64" s="6">
        <f t="shared" si="57"/>
        <v>1</v>
      </c>
      <c r="BV64" s="35">
        <v>3</v>
      </c>
      <c r="BW64" s="33">
        <f t="shared" si="146"/>
        <v>12</v>
      </c>
      <c r="BX64" s="6">
        <f t="shared" si="58"/>
        <v>1</v>
      </c>
      <c r="BY64" s="8">
        <f t="shared" si="166"/>
        <v>15.5</v>
      </c>
      <c r="BZ64" s="5">
        <f t="shared" si="59"/>
        <v>4</v>
      </c>
      <c r="CA64" s="33">
        <f t="shared" si="148"/>
        <v>15</v>
      </c>
      <c r="CB64" s="6">
        <f t="shared" si="12"/>
        <v>1</v>
      </c>
      <c r="CC64" s="35">
        <v>2</v>
      </c>
      <c r="CD64" s="33">
        <f t="shared" si="149"/>
        <v>15</v>
      </c>
      <c r="CE64" s="6">
        <f t="shared" si="60"/>
        <v>1</v>
      </c>
      <c r="CF64" s="35">
        <v>3</v>
      </c>
      <c r="CG64" s="33">
        <f t="shared" si="150"/>
        <v>15</v>
      </c>
      <c r="CH64" s="6">
        <f t="shared" si="61"/>
        <v>1</v>
      </c>
      <c r="CI64" s="8">
        <f t="shared" si="167"/>
        <v>15.5</v>
      </c>
      <c r="CJ64" s="15">
        <f t="shared" si="33"/>
        <v>1</v>
      </c>
      <c r="CK64" s="33">
        <f t="shared" si="152"/>
        <v>20</v>
      </c>
      <c r="CL64" s="6">
        <f t="shared" si="14"/>
        <v>1</v>
      </c>
      <c r="CM64" s="35">
        <v>2</v>
      </c>
      <c r="CN64" s="33">
        <f t="shared" si="153"/>
        <v>20</v>
      </c>
      <c r="CO64" s="6">
        <f t="shared" si="62"/>
        <v>1</v>
      </c>
      <c r="CP64" s="35">
        <v>3</v>
      </c>
      <c r="CQ64" s="33">
        <f t="shared" si="154"/>
        <v>20</v>
      </c>
      <c r="CR64" s="6">
        <f t="shared" si="63"/>
        <v>1</v>
      </c>
      <c r="CS64" s="8">
        <f t="shared" si="168"/>
        <v>15.5</v>
      </c>
      <c r="CT64" s="15">
        <f t="shared" si="35"/>
        <v>2</v>
      </c>
      <c r="CU64" s="33">
        <f t="shared" si="120"/>
        <v>35</v>
      </c>
      <c r="CV64" s="6">
        <f t="shared" si="121"/>
        <v>1</v>
      </c>
      <c r="CW64" s="35">
        <v>2</v>
      </c>
      <c r="CX64" s="33">
        <f t="shared" si="156"/>
        <v>24</v>
      </c>
      <c r="CY64" s="6">
        <f t="shared" si="64"/>
        <v>1</v>
      </c>
      <c r="CZ64" s="35">
        <v>3</v>
      </c>
      <c r="DA64" s="33">
        <f t="shared" si="157"/>
        <v>35</v>
      </c>
      <c r="DB64" s="6">
        <f t="shared" si="65"/>
        <v>1</v>
      </c>
      <c r="DC64" s="1">
        <f t="shared" si="169"/>
        <v>15.5</v>
      </c>
    </row>
    <row r="65" s="2" customFormat="1" spans="5:107">
      <c r="E65" s="25" t="s">
        <v>1290</v>
      </c>
      <c r="F65" s="26">
        <v>1</v>
      </c>
      <c r="G65" s="27" t="s">
        <v>1276</v>
      </c>
      <c r="H65" s="27">
        <v>2</v>
      </c>
      <c r="I65" s="27" t="s">
        <v>1276</v>
      </c>
      <c r="J65" s="27">
        <v>3</v>
      </c>
      <c r="K65" s="27" t="s">
        <v>1276</v>
      </c>
      <c r="L65" s="27">
        <v>4</v>
      </c>
      <c r="M65" s="27" t="s">
        <v>1276</v>
      </c>
      <c r="N65" s="28"/>
      <c r="O65" s="26">
        <v>5</v>
      </c>
      <c r="P65" s="27" t="s">
        <v>1277</v>
      </c>
      <c r="Q65" s="27">
        <v>6</v>
      </c>
      <c r="R65" s="27" t="s">
        <v>1277</v>
      </c>
      <c r="U65" s="2">
        <v>63</v>
      </c>
      <c r="V65" s="1" t="str">
        <f t="shared" si="107"/>
        <v>3</v>
      </c>
      <c r="W65" s="1">
        <v>93</v>
      </c>
      <c r="X65" s="30" t="s">
        <v>267</v>
      </c>
      <c r="Y65" s="3">
        <f>出怪成长!C64</f>
        <v>15</v>
      </c>
      <c r="Z65" s="31" t="str">
        <f t="shared" si="160"/>
        <v>1:2:1|1:3:1|2:10:1|2:7:1#2:7:1#3:7:1|3:7:1#2:7:1#3:7:1|3:10:1#2:10:1#3:10:1|4:12:1#2:12:1#3:12:1|4:15:1#2:15:1#3:15:1|1:20:1#2:20:1#3:20:1|2:35:1#2:24:1#3:35:1</v>
      </c>
      <c r="AA65" s="5">
        <f t="shared" si="119"/>
        <v>1</v>
      </c>
      <c r="AB65" s="32">
        <f t="shared" si="108"/>
        <v>2</v>
      </c>
      <c r="AC65" s="6">
        <f t="shared" si="0"/>
        <v>1</v>
      </c>
      <c r="AD65" s="5">
        <f t="shared" si="18"/>
        <v>1</v>
      </c>
      <c r="AE65" s="32">
        <f t="shared" si="109"/>
        <v>3</v>
      </c>
      <c r="AF65" s="6">
        <f t="shared" si="20"/>
        <v>1</v>
      </c>
      <c r="AG65" s="13">
        <f t="shared" si="161"/>
        <v>1.5</v>
      </c>
      <c r="AH65" s="5">
        <f t="shared" si="21"/>
        <v>2</v>
      </c>
      <c r="AI65" s="32">
        <f t="shared" si="1"/>
        <v>10</v>
      </c>
      <c r="AJ65" s="6">
        <f t="shared" si="2"/>
        <v>1</v>
      </c>
      <c r="AK65" s="1">
        <f t="shared" si="162"/>
        <v>7.5</v>
      </c>
      <c r="AL65" s="5">
        <f t="shared" si="23"/>
        <v>2</v>
      </c>
      <c r="AM65" s="33">
        <f t="shared" si="133"/>
        <v>7</v>
      </c>
      <c r="AN65" s="6">
        <f t="shared" si="4"/>
        <v>1</v>
      </c>
      <c r="AO65" s="35">
        <v>2</v>
      </c>
      <c r="AP65" s="33">
        <f t="shared" si="134"/>
        <v>7</v>
      </c>
      <c r="AQ65" s="6">
        <f t="shared" si="50"/>
        <v>1</v>
      </c>
      <c r="AR65" s="35">
        <v>3</v>
      </c>
      <c r="AS65" s="33">
        <f t="shared" si="135"/>
        <v>7</v>
      </c>
      <c r="AT65" s="6">
        <f t="shared" si="51"/>
        <v>1</v>
      </c>
      <c r="AU65" s="1">
        <f t="shared" si="163"/>
        <v>11</v>
      </c>
      <c r="AV65" s="5">
        <f t="shared" si="72"/>
        <v>3</v>
      </c>
      <c r="AW65" s="33">
        <f t="shared" si="137"/>
        <v>7</v>
      </c>
      <c r="AX65" s="6">
        <f t="shared" si="6"/>
        <v>1</v>
      </c>
      <c r="AY65" s="35">
        <v>2</v>
      </c>
      <c r="AZ65" s="33">
        <f t="shared" si="138"/>
        <v>7</v>
      </c>
      <c r="BA65" s="6">
        <f t="shared" si="52"/>
        <v>1</v>
      </c>
      <c r="BB65" s="35">
        <v>3</v>
      </c>
      <c r="BC65" s="33">
        <f t="shared" si="139"/>
        <v>7</v>
      </c>
      <c r="BD65" s="6">
        <f t="shared" si="53"/>
        <v>1</v>
      </c>
      <c r="BE65" s="8">
        <f t="shared" si="164"/>
        <v>12</v>
      </c>
      <c r="BF65" s="5">
        <f t="shared" si="77"/>
        <v>3</v>
      </c>
      <c r="BG65" s="33">
        <f t="shared" si="141"/>
        <v>10</v>
      </c>
      <c r="BH65" s="6">
        <f t="shared" si="8"/>
        <v>1</v>
      </c>
      <c r="BI65" s="35">
        <v>2</v>
      </c>
      <c r="BJ65" s="33">
        <f t="shared" si="142"/>
        <v>10</v>
      </c>
      <c r="BK65" s="6">
        <f t="shared" si="54"/>
        <v>1</v>
      </c>
      <c r="BL65" s="35">
        <v>3</v>
      </c>
      <c r="BM65" s="33">
        <f t="shared" si="159"/>
        <v>10</v>
      </c>
      <c r="BN65" s="6">
        <f t="shared" si="55"/>
        <v>1</v>
      </c>
      <c r="BO65" s="8">
        <f t="shared" si="165"/>
        <v>15.5</v>
      </c>
      <c r="BP65" s="5">
        <f t="shared" si="56"/>
        <v>4</v>
      </c>
      <c r="BQ65" s="33">
        <f t="shared" si="144"/>
        <v>12</v>
      </c>
      <c r="BR65" s="6">
        <f t="shared" si="10"/>
        <v>1</v>
      </c>
      <c r="BS65" s="35">
        <v>2</v>
      </c>
      <c r="BT65" s="33">
        <f t="shared" si="145"/>
        <v>12</v>
      </c>
      <c r="BU65" s="6">
        <f t="shared" si="57"/>
        <v>1</v>
      </c>
      <c r="BV65" s="35">
        <v>3</v>
      </c>
      <c r="BW65" s="33">
        <f t="shared" si="146"/>
        <v>12</v>
      </c>
      <c r="BX65" s="6">
        <f t="shared" si="58"/>
        <v>1</v>
      </c>
      <c r="BY65" s="8">
        <f t="shared" si="166"/>
        <v>15.5</v>
      </c>
      <c r="BZ65" s="5">
        <f t="shared" si="59"/>
        <v>4</v>
      </c>
      <c r="CA65" s="33">
        <f t="shared" si="148"/>
        <v>15</v>
      </c>
      <c r="CB65" s="6">
        <f t="shared" si="12"/>
        <v>1</v>
      </c>
      <c r="CC65" s="35">
        <v>2</v>
      </c>
      <c r="CD65" s="33">
        <f t="shared" si="149"/>
        <v>15</v>
      </c>
      <c r="CE65" s="6">
        <f t="shared" si="60"/>
        <v>1</v>
      </c>
      <c r="CF65" s="35">
        <v>3</v>
      </c>
      <c r="CG65" s="33">
        <f t="shared" si="150"/>
        <v>15</v>
      </c>
      <c r="CH65" s="6">
        <f t="shared" si="61"/>
        <v>1</v>
      </c>
      <c r="CI65" s="8">
        <f t="shared" si="167"/>
        <v>15.5</v>
      </c>
      <c r="CJ65" s="15">
        <f t="shared" si="33"/>
        <v>1</v>
      </c>
      <c r="CK65" s="33">
        <f t="shared" si="152"/>
        <v>20</v>
      </c>
      <c r="CL65" s="6">
        <f t="shared" si="14"/>
        <v>1</v>
      </c>
      <c r="CM65" s="35">
        <v>2</v>
      </c>
      <c r="CN65" s="33">
        <f t="shared" si="153"/>
        <v>20</v>
      </c>
      <c r="CO65" s="6">
        <f t="shared" si="62"/>
        <v>1</v>
      </c>
      <c r="CP65" s="35">
        <v>3</v>
      </c>
      <c r="CQ65" s="33">
        <f t="shared" si="154"/>
        <v>20</v>
      </c>
      <c r="CR65" s="6">
        <f t="shared" si="63"/>
        <v>1</v>
      </c>
      <c r="CS65" s="8">
        <f t="shared" si="168"/>
        <v>15.5</v>
      </c>
      <c r="CT65" s="15">
        <f t="shared" si="35"/>
        <v>2</v>
      </c>
      <c r="CU65" s="32">
        <f t="shared" si="120"/>
        <v>35</v>
      </c>
      <c r="CV65" s="6">
        <f t="shared" si="121"/>
        <v>1</v>
      </c>
      <c r="CW65" s="35">
        <v>2</v>
      </c>
      <c r="CX65" s="33">
        <f t="shared" si="156"/>
        <v>24</v>
      </c>
      <c r="CY65" s="6">
        <f t="shared" si="64"/>
        <v>1</v>
      </c>
      <c r="CZ65" s="35">
        <v>3</v>
      </c>
      <c r="DA65" s="33">
        <f t="shared" si="157"/>
        <v>35</v>
      </c>
      <c r="DB65" s="6">
        <f t="shared" si="65"/>
        <v>1</v>
      </c>
      <c r="DC65" s="1">
        <f t="shared" si="169"/>
        <v>15.5</v>
      </c>
    </row>
    <row r="66" s="2" customFormat="1" spans="5:107">
      <c r="E66" s="25" t="s">
        <v>1291</v>
      </c>
      <c r="F66" s="26">
        <v>1</v>
      </c>
      <c r="G66" s="27" t="s">
        <v>1276</v>
      </c>
      <c r="H66" s="27">
        <v>2</v>
      </c>
      <c r="I66" s="27" t="s">
        <v>1276</v>
      </c>
      <c r="J66" s="27">
        <v>3</v>
      </c>
      <c r="K66" s="27" t="s">
        <v>1276</v>
      </c>
      <c r="L66" s="27"/>
      <c r="M66" s="27"/>
      <c r="N66" s="28"/>
      <c r="O66" s="26">
        <v>4</v>
      </c>
      <c r="P66" s="27" t="s">
        <v>1277</v>
      </c>
      <c r="Q66" s="27">
        <v>5</v>
      </c>
      <c r="R66" s="27" t="s">
        <v>1277</v>
      </c>
      <c r="U66" s="2">
        <v>64</v>
      </c>
      <c r="V66" s="1" t="str">
        <f t="shared" si="107"/>
        <v>4</v>
      </c>
      <c r="W66" s="1">
        <v>94</v>
      </c>
      <c r="X66" s="30" t="s">
        <v>267</v>
      </c>
      <c r="Y66" s="3">
        <f>出怪成长!C65</f>
        <v>15</v>
      </c>
      <c r="Z66" s="31" t="str">
        <f t="shared" si="160"/>
        <v>1:2:1|1:3:1|2:10:1|2:7:1#2:7:1#3:7:1|3:7:1#2:7:1#3:7:1|3:10:1#2:10:1#3:10:1|4:12:2#2:12:1#3:12:1|4:15:2#2:15:1#3:15:1|1:20:1#2:20:1#3:20:1|2:35:1#2:24:1#3:35:1</v>
      </c>
      <c r="AA66" s="5">
        <f t="shared" si="119"/>
        <v>1</v>
      </c>
      <c r="AB66" s="32">
        <f t="shared" si="108"/>
        <v>2</v>
      </c>
      <c r="AC66" s="6">
        <f t="shared" si="0"/>
        <v>1</v>
      </c>
      <c r="AD66" s="5">
        <f t="shared" si="18"/>
        <v>1</v>
      </c>
      <c r="AE66" s="32">
        <f t="shared" si="109"/>
        <v>3</v>
      </c>
      <c r="AF66" s="6">
        <f t="shared" si="20"/>
        <v>1</v>
      </c>
      <c r="AG66" s="13">
        <f t="shared" si="161"/>
        <v>1.5</v>
      </c>
      <c r="AH66" s="5">
        <f t="shared" si="21"/>
        <v>2</v>
      </c>
      <c r="AI66" s="32">
        <f t="shared" si="1"/>
        <v>10</v>
      </c>
      <c r="AJ66" s="6">
        <f t="shared" si="2"/>
        <v>1</v>
      </c>
      <c r="AK66" s="1">
        <f t="shared" si="162"/>
        <v>7.5</v>
      </c>
      <c r="AL66" s="5">
        <f t="shared" si="23"/>
        <v>2</v>
      </c>
      <c r="AM66" s="33">
        <f t="shared" si="133"/>
        <v>7</v>
      </c>
      <c r="AN66" s="6">
        <f t="shared" si="4"/>
        <v>1</v>
      </c>
      <c r="AO66" s="35">
        <v>2</v>
      </c>
      <c r="AP66" s="33">
        <f t="shared" si="134"/>
        <v>7</v>
      </c>
      <c r="AQ66" s="6">
        <f t="shared" si="50"/>
        <v>1</v>
      </c>
      <c r="AR66" s="35">
        <v>3</v>
      </c>
      <c r="AS66" s="33">
        <f t="shared" si="135"/>
        <v>7</v>
      </c>
      <c r="AT66" s="6">
        <f t="shared" si="51"/>
        <v>1</v>
      </c>
      <c r="AU66" s="1">
        <f t="shared" si="163"/>
        <v>11</v>
      </c>
      <c r="AV66" s="5">
        <f t="shared" si="72"/>
        <v>3</v>
      </c>
      <c r="AW66" s="33">
        <f t="shared" si="137"/>
        <v>7</v>
      </c>
      <c r="AX66" s="6">
        <f t="shared" si="6"/>
        <v>1</v>
      </c>
      <c r="AY66" s="35">
        <v>2</v>
      </c>
      <c r="AZ66" s="33">
        <f t="shared" si="138"/>
        <v>7</v>
      </c>
      <c r="BA66" s="6">
        <f t="shared" si="52"/>
        <v>1</v>
      </c>
      <c r="BB66" s="35">
        <v>3</v>
      </c>
      <c r="BC66" s="33">
        <f t="shared" si="139"/>
        <v>7</v>
      </c>
      <c r="BD66" s="6">
        <f t="shared" si="53"/>
        <v>1</v>
      </c>
      <c r="BE66" s="8">
        <f t="shared" si="164"/>
        <v>12</v>
      </c>
      <c r="BF66" s="5">
        <f t="shared" si="77"/>
        <v>3</v>
      </c>
      <c r="BG66" s="33">
        <f t="shared" si="141"/>
        <v>10</v>
      </c>
      <c r="BH66" s="6">
        <f t="shared" si="8"/>
        <v>1</v>
      </c>
      <c r="BI66" s="35">
        <v>2</v>
      </c>
      <c r="BJ66" s="33">
        <f t="shared" si="142"/>
        <v>10</v>
      </c>
      <c r="BK66" s="6">
        <f t="shared" si="54"/>
        <v>1</v>
      </c>
      <c r="BL66" s="35">
        <v>3</v>
      </c>
      <c r="BM66" s="33">
        <f t="shared" si="159"/>
        <v>10</v>
      </c>
      <c r="BN66" s="6">
        <f t="shared" si="55"/>
        <v>1</v>
      </c>
      <c r="BO66" s="8">
        <f t="shared" si="165"/>
        <v>15.5</v>
      </c>
      <c r="BP66" s="5">
        <f t="shared" si="56"/>
        <v>4</v>
      </c>
      <c r="BQ66" s="33">
        <f t="shared" si="144"/>
        <v>12</v>
      </c>
      <c r="BR66" s="6">
        <f t="shared" si="10"/>
        <v>2</v>
      </c>
      <c r="BS66" s="35">
        <v>2</v>
      </c>
      <c r="BT66" s="33">
        <f t="shared" si="145"/>
        <v>12</v>
      </c>
      <c r="BU66" s="6">
        <f t="shared" si="57"/>
        <v>1</v>
      </c>
      <c r="BV66" s="35">
        <v>3</v>
      </c>
      <c r="BW66" s="33">
        <f t="shared" si="146"/>
        <v>12</v>
      </c>
      <c r="BX66" s="6">
        <f t="shared" si="58"/>
        <v>1</v>
      </c>
      <c r="BY66" s="8">
        <f t="shared" si="166"/>
        <v>15.5</v>
      </c>
      <c r="BZ66" s="5">
        <f t="shared" si="59"/>
        <v>4</v>
      </c>
      <c r="CA66" s="33">
        <f t="shared" si="148"/>
        <v>15</v>
      </c>
      <c r="CB66" s="6">
        <f t="shared" si="12"/>
        <v>2</v>
      </c>
      <c r="CC66" s="35">
        <v>2</v>
      </c>
      <c r="CD66" s="33">
        <f t="shared" si="149"/>
        <v>15</v>
      </c>
      <c r="CE66" s="6">
        <f t="shared" si="60"/>
        <v>1</v>
      </c>
      <c r="CF66" s="35">
        <v>3</v>
      </c>
      <c r="CG66" s="33">
        <f t="shared" si="150"/>
        <v>15</v>
      </c>
      <c r="CH66" s="6">
        <f t="shared" si="61"/>
        <v>1</v>
      </c>
      <c r="CI66" s="8">
        <f t="shared" si="167"/>
        <v>15.5</v>
      </c>
      <c r="CJ66" s="15">
        <f t="shared" si="33"/>
        <v>1</v>
      </c>
      <c r="CK66" s="33">
        <f t="shared" si="152"/>
        <v>20</v>
      </c>
      <c r="CL66" s="6">
        <f t="shared" si="14"/>
        <v>1</v>
      </c>
      <c r="CM66" s="35">
        <v>2</v>
      </c>
      <c r="CN66" s="33">
        <f t="shared" si="153"/>
        <v>20</v>
      </c>
      <c r="CO66" s="6">
        <f t="shared" si="62"/>
        <v>1</v>
      </c>
      <c r="CP66" s="35">
        <v>3</v>
      </c>
      <c r="CQ66" s="33">
        <f t="shared" si="154"/>
        <v>20</v>
      </c>
      <c r="CR66" s="6">
        <f t="shared" si="63"/>
        <v>1</v>
      </c>
      <c r="CS66" s="8">
        <f t="shared" si="168"/>
        <v>15.5</v>
      </c>
      <c r="CT66" s="15">
        <f t="shared" si="35"/>
        <v>2</v>
      </c>
      <c r="CU66" s="33">
        <f t="shared" si="120"/>
        <v>35</v>
      </c>
      <c r="CV66" s="6">
        <f t="shared" si="121"/>
        <v>1</v>
      </c>
      <c r="CW66" s="35">
        <v>2</v>
      </c>
      <c r="CX66" s="33">
        <f t="shared" si="156"/>
        <v>24</v>
      </c>
      <c r="CY66" s="6">
        <f t="shared" si="64"/>
        <v>1</v>
      </c>
      <c r="CZ66" s="35">
        <v>3</v>
      </c>
      <c r="DA66" s="33">
        <f t="shared" si="157"/>
        <v>35</v>
      </c>
      <c r="DB66" s="6">
        <f t="shared" si="65"/>
        <v>1</v>
      </c>
      <c r="DC66" s="1">
        <f t="shared" si="169"/>
        <v>15.5</v>
      </c>
    </row>
    <row r="67" s="2" customFormat="1" spans="5:107">
      <c r="E67" s="25" t="s">
        <v>1292</v>
      </c>
      <c r="F67" s="26"/>
      <c r="G67" s="27"/>
      <c r="H67" s="27"/>
      <c r="I67" s="27"/>
      <c r="J67" s="27"/>
      <c r="K67" s="27"/>
      <c r="L67" s="27"/>
      <c r="M67" s="27"/>
      <c r="N67" s="28"/>
      <c r="O67" s="26"/>
      <c r="P67" s="27"/>
      <c r="Q67" s="27"/>
      <c r="R67" s="29"/>
      <c r="U67" s="2">
        <v>65</v>
      </c>
      <c r="V67" s="1" t="str">
        <f t="shared" si="107"/>
        <v>5</v>
      </c>
      <c r="W67" s="1">
        <v>95</v>
      </c>
      <c r="X67" s="30" t="s">
        <v>267</v>
      </c>
      <c r="Y67" s="3">
        <f>出怪成长!C66</f>
        <v>15</v>
      </c>
      <c r="Z67" s="31" t="str">
        <f t="shared" si="160"/>
        <v>1:3:出怪口错误|1:11:出怪口错误|2:19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67" s="5">
        <f t="shared" si="119"/>
        <v>1</v>
      </c>
      <c r="AB67" s="32">
        <f t="shared" si="108"/>
        <v>3</v>
      </c>
      <c r="AC67" s="6" t="str">
        <f t="shared" ref="AC67:AC98" si="170">IF(AA67=$F67,IF($F67="","",IF((VLOOKUP($F67,$F:$G,2,FALSE)="步兵"),1,2)),IF(AA67=$H67,IF($H67="","",IF((VLOOKUP($H67,$H:$I,2,FALSE)="步兵"),1,2)),IF(AA67=$J67,IF($J67="","",IF((VLOOKUP($J67,$J:$K,2,FALSE)="步兵"),1,2)),IF(AA67=$L67,IF($L67="","",IF((VLOOKUP($L67,$L:$M,2,FALSE)="步兵"),1,2)),IF(AA67=$O67,IF($O67="","",IF((VLOOKUP($O67,$O:$P,2,FALSE)="步兵"),1,2)),IF(AA67=$Q67,IF($Q67="","",IF((VLOOKUP($Q67,$Q:$R,2,FALSE)="步兵"),1,2)),"出怪口错误"))))))</f>
        <v>出怪口错误</v>
      </c>
      <c r="AD67" s="5">
        <f t="shared" si="18"/>
        <v>1</v>
      </c>
      <c r="AE67" s="32">
        <f t="shared" si="109"/>
        <v>11</v>
      </c>
      <c r="AF67" s="6" t="str">
        <f t="shared" si="20"/>
        <v>出怪口错误</v>
      </c>
      <c r="AG67" s="13">
        <v>8.39999999999999</v>
      </c>
      <c r="AH67" s="5">
        <f t="shared" si="21"/>
        <v>2</v>
      </c>
      <c r="AI67" s="32">
        <f t="shared" ref="AI67:AI98" si="171">INT(AE67+AK67)</f>
        <v>19</v>
      </c>
      <c r="AJ67" s="6" t="str">
        <f t="shared" ref="AJ67:AJ98" si="172">IF(AH67=$F67,IF($F67="","",IF((VLOOKUP($F67,$F:$G,2,FALSE)="步兵"),1,2)),IF(AH67=$H67,IF($H67="","",IF((VLOOKUP($H67,$H:$I,2,FALSE)="步兵"),1,2)),IF(AH67=$J67,IF($J67="","",IF((VLOOKUP($J67,$J:$K,2,FALSE)="步兵"),1,2)),IF(AH67=$L67,IF($L67="","",IF((VLOOKUP($L67,$L:$M,2,FALSE)="步兵"),1,2)),IF(AH67=$O67,IF($O67="","",IF((VLOOKUP($O67,$O:$P,2,FALSE)="步兵"),1,2)),IF(AH67=$Q67,IF($Q67="","",IF((VLOOKUP($Q67,$Q:$R,2,FALSE)="步兵"),1,2)),"出怪口错误"))))))</f>
        <v>出怪口错误</v>
      </c>
      <c r="AK67" s="34">
        <f>AK59+AK$1</f>
        <v>8</v>
      </c>
      <c r="AL67" s="5">
        <f t="shared" si="23"/>
        <v>2</v>
      </c>
      <c r="AM67" s="33">
        <f t="shared" si="133"/>
        <v>10</v>
      </c>
      <c r="AN67" s="6" t="str">
        <f t="shared" ref="AN67:AN98" si="173">IF(AL67=$F67,IF($F67="","",IF((VLOOKUP($F67,$F:$G,2,FALSE)="步兵"),1,2)),IF(AL67=$H67,IF($H67="","",IF((VLOOKUP($H67,$H:$I,2,FALSE)="步兵"),1,2)),IF(AL67=$J67,IF($J67="","",IF((VLOOKUP($J67,$J:$K,2,FALSE)="步兵"),1,2)),IF(AL67=$L67,IF($L67="","",IF((VLOOKUP($L67,$L:$M,2,FALSE)="步兵"),1,2)),IF(AL67=$O67,IF($O67="","",IF((VLOOKUP($O67,$O:$P,2,FALSE)="步兵"),1,2)),IF(AL67=$Q67,IF($Q67="","",IF((VLOOKUP($Q67,$Q:$R,2,FALSE)="步兵"),1,2)),"出怪口错误"))))))</f>
        <v>出怪口错误</v>
      </c>
      <c r="AO67" s="35">
        <v>2</v>
      </c>
      <c r="AP67" s="33">
        <f t="shared" si="134"/>
        <v>10</v>
      </c>
      <c r="AQ67" s="6" t="str">
        <f t="shared" si="50"/>
        <v>出怪口错误</v>
      </c>
      <c r="AR67" s="35">
        <v>3</v>
      </c>
      <c r="AS67" s="33">
        <f t="shared" si="135"/>
        <v>10</v>
      </c>
      <c r="AT67" s="6" t="str">
        <f t="shared" si="51"/>
        <v>出怪口错误</v>
      </c>
      <c r="AU67" s="34">
        <f>AU59+AU$1</f>
        <v>12</v>
      </c>
      <c r="AV67" s="5">
        <f t="shared" si="72"/>
        <v>3</v>
      </c>
      <c r="AW67" s="33">
        <f t="shared" si="137"/>
        <v>9</v>
      </c>
      <c r="AX67" s="6" t="str">
        <f t="shared" ref="AX67:AX98" si="174">IF(AV67=$F67,IF($F67="","",IF((VLOOKUP($F67,$F:$G,2,FALSE)="步兵"),1,2)),IF(AV67=$H67,IF($H67="","",IF((VLOOKUP($H67,$H:$I,2,FALSE)="步兵"),1,2)),IF(AV67=$J67,IF($J67="","",IF((VLOOKUP($J67,$J:$K,2,FALSE)="步兵"),1,2)),IF(AV67=$L67,IF($L67="","",IF((VLOOKUP($L67,$L:$M,2,FALSE)="步兵"),1,2)),IF(AV67=$O67,IF($O67="","",IF((VLOOKUP($O67,$O:$P,2,FALSE)="步兵"),1,2)),IF(AV67=$Q67,IF($Q67="","",IF((VLOOKUP($Q67,$Q:$R,2,FALSE)="步兵"),1,2)),"出怪口错误"))))))</f>
        <v>出怪口错误</v>
      </c>
      <c r="AY67" s="35">
        <v>2</v>
      </c>
      <c r="AZ67" s="33">
        <f t="shared" si="138"/>
        <v>9</v>
      </c>
      <c r="BA67" s="6" t="str">
        <f t="shared" si="52"/>
        <v>出怪口错误</v>
      </c>
      <c r="BB67" s="35">
        <v>3</v>
      </c>
      <c r="BC67" s="33">
        <f t="shared" si="139"/>
        <v>9</v>
      </c>
      <c r="BD67" s="6" t="str">
        <f t="shared" si="53"/>
        <v>出怪口错误</v>
      </c>
      <c r="BE67" s="7">
        <f>BE59+BE$1</f>
        <v>13</v>
      </c>
      <c r="BF67" s="5">
        <f t="shared" si="77"/>
        <v>3</v>
      </c>
      <c r="BG67" s="33">
        <f t="shared" si="141"/>
        <v>11</v>
      </c>
      <c r="BH67" s="6" t="str">
        <f t="shared" ref="BH67:BH98" si="175">IF(BF67=$F67,IF($F67="","",IF((VLOOKUP($F67,$F:$G,2,FALSE)="步兵"),1,2)),IF(BF67=$H67,IF($H67="","",IF((VLOOKUP($H67,$H:$I,2,FALSE)="步兵"),1,2)),IF(BF67=$J67,IF($J67="","",IF((VLOOKUP($J67,$J:$K,2,FALSE)="步兵"),1,2)),IF(BF67=$L67,IF($L67="","",IF((VLOOKUP($L67,$L:$M,2,FALSE)="步兵"),1,2)),IF(BF67=$O67,IF($O67="","",IF((VLOOKUP($O67,$O:$P,2,FALSE)="步兵"),1,2)),IF(BF67=$Q67,IF($Q67="","",IF((VLOOKUP($Q67,$Q:$R,2,FALSE)="步兵"),1,2)),"出怪口错误"))))))</f>
        <v>出怪口错误</v>
      </c>
      <c r="BI67" s="35">
        <v>2</v>
      </c>
      <c r="BJ67" s="33">
        <f t="shared" si="142"/>
        <v>11</v>
      </c>
      <c r="BK67" s="6" t="str">
        <f t="shared" si="54"/>
        <v>出怪口错误</v>
      </c>
      <c r="BL67" s="35">
        <v>3</v>
      </c>
      <c r="BM67" s="33">
        <f t="shared" si="159"/>
        <v>11</v>
      </c>
      <c r="BN67" s="6" t="str">
        <f t="shared" si="55"/>
        <v>出怪口错误</v>
      </c>
      <c r="BO67" s="7">
        <f>BO59+BO$1</f>
        <v>17</v>
      </c>
      <c r="BP67" s="5">
        <f t="shared" si="56"/>
        <v>4</v>
      </c>
      <c r="BQ67" s="33">
        <f t="shared" si="144"/>
        <v>14</v>
      </c>
      <c r="BR67" s="6" t="str">
        <f t="shared" ref="BR67:BR98" si="176">IF(BP67=$F67,IF($F67="","",IF((VLOOKUP($F67,$F:$G,2,FALSE)="步兵"),1,2)),IF(BP67=$H67,IF($H67="","",IF((VLOOKUP($H67,$H:$I,2,FALSE)="步兵"),1,2)),IF(BP67=$J67,IF($J67="","",IF((VLOOKUP($J67,$J:$K,2,FALSE)="步兵"),1,2)),IF(BP67=$L67,IF($L67="","",IF((VLOOKUP($L67,$L:$M,2,FALSE)="步兵"),1,2)),IF(BP67=$O67,IF($O67="","",IF((VLOOKUP($O67,$O:$P,2,FALSE)="步兵"),1,2)),IF(BP67=$Q67,IF($Q67="","",IF((VLOOKUP($Q67,$Q:$R,2,FALSE)="步兵"),1,2)),"出怪口错误"))))))</f>
        <v>出怪口错误</v>
      </c>
      <c r="BS67" s="35">
        <v>2</v>
      </c>
      <c r="BT67" s="33">
        <f t="shared" si="145"/>
        <v>14</v>
      </c>
      <c r="BU67" s="6" t="str">
        <f t="shared" si="57"/>
        <v>出怪口错误</v>
      </c>
      <c r="BV67" s="35">
        <v>3</v>
      </c>
      <c r="BW67" s="33">
        <f t="shared" si="146"/>
        <v>14</v>
      </c>
      <c r="BX67" s="6" t="str">
        <f t="shared" si="58"/>
        <v>出怪口错误</v>
      </c>
      <c r="BY67" s="7">
        <f>BY59+BY$1</f>
        <v>17</v>
      </c>
      <c r="BZ67" s="5">
        <f t="shared" si="59"/>
        <v>4</v>
      </c>
      <c r="CA67" s="33">
        <f t="shared" si="148"/>
        <v>17</v>
      </c>
      <c r="CB67" s="6" t="str">
        <f t="shared" ref="CB67:CB98" si="177">IF(BZ67=$F67,IF($F67="","",IF((VLOOKUP($F67,$F:$G,2,FALSE)="步兵"),1,2)),IF(BZ67=$H67,IF($H67="","",IF((VLOOKUP($H67,$H:$I,2,FALSE)="步兵"),1,2)),IF(BZ67=$J67,IF($J67="","",IF((VLOOKUP($J67,$J:$K,2,FALSE)="步兵"),1,2)),IF(BZ67=$L67,IF($L67="","",IF((VLOOKUP($L67,$L:$M,2,FALSE)="步兵"),1,2)),IF(BZ67=$O67,IF($O67="","",IF((VLOOKUP($O67,$O:$P,2,FALSE)="步兵"),1,2)),IF(BZ67=$Q67,IF($Q67="","",IF((VLOOKUP($Q67,$Q:$R,2,FALSE)="步兵"),1,2)),"出怪口错误"))))))</f>
        <v>出怪口错误</v>
      </c>
      <c r="CC67" s="35">
        <v>2</v>
      </c>
      <c r="CD67" s="33">
        <f t="shared" si="149"/>
        <v>17</v>
      </c>
      <c r="CE67" s="6" t="str">
        <f t="shared" si="60"/>
        <v>出怪口错误</v>
      </c>
      <c r="CF67" s="35">
        <v>3</v>
      </c>
      <c r="CG67" s="33">
        <f t="shared" si="150"/>
        <v>17</v>
      </c>
      <c r="CH67" s="6" t="str">
        <f t="shared" si="61"/>
        <v>出怪口错误</v>
      </c>
      <c r="CI67" s="7">
        <f>CI59+CI$1</f>
        <v>17</v>
      </c>
      <c r="CJ67" s="15">
        <f t="shared" si="33"/>
        <v>1</v>
      </c>
      <c r="CK67" s="33">
        <f t="shared" si="152"/>
        <v>22</v>
      </c>
      <c r="CL67" s="6" t="str">
        <f t="shared" ref="CL67:CL98" si="178">IF(CJ67=$F67,IF($F67="","",IF((VLOOKUP($F67,$F:$G,2,FALSE)="步兵"),1,2)),IF(CJ67=$H67,IF($H67="","",IF((VLOOKUP($H67,$H:$I,2,FALSE)="步兵"),1,2)),IF(CJ67=$J67,IF($J67="","",IF((VLOOKUP($J67,$J:$K,2,FALSE)="步兵"),1,2)),IF(CJ67=$L67,IF($L67="","",IF((VLOOKUP($L67,$L:$M,2,FALSE)="步兵"),1,2)),IF(CJ67=$O67,IF($O67="","",IF((VLOOKUP($O67,$O:$P,2,FALSE)="步兵"),1,2)),IF(CJ67=$Q67,IF($Q67="","",IF((VLOOKUP($Q67,$Q:$R,2,FALSE)="步兵"),1,2)),"出怪口错误"))))))</f>
        <v>出怪口错误</v>
      </c>
      <c r="CM67" s="35">
        <v>2</v>
      </c>
      <c r="CN67" s="33">
        <f t="shared" si="153"/>
        <v>22</v>
      </c>
      <c r="CO67" s="6" t="str">
        <f t="shared" si="62"/>
        <v>出怪口错误</v>
      </c>
      <c r="CP67" s="35">
        <v>3</v>
      </c>
      <c r="CQ67" s="33">
        <f t="shared" si="154"/>
        <v>22</v>
      </c>
      <c r="CR67" s="6" t="str">
        <f t="shared" si="63"/>
        <v>出怪口错误</v>
      </c>
      <c r="CS67" s="7">
        <f>CS59+CS$1</f>
        <v>17</v>
      </c>
      <c r="CT67" s="15">
        <f t="shared" si="35"/>
        <v>2</v>
      </c>
      <c r="CU67" s="32">
        <f t="shared" si="120"/>
        <v>39</v>
      </c>
      <c r="CV67" s="6" t="str">
        <f t="shared" si="121"/>
        <v>出怪口错误</v>
      </c>
      <c r="CW67" s="35">
        <v>2</v>
      </c>
      <c r="CX67" s="33">
        <f t="shared" si="156"/>
        <v>26</v>
      </c>
      <c r="CY67" s="6" t="str">
        <f t="shared" si="64"/>
        <v>出怪口错误</v>
      </c>
      <c r="CZ67" s="35">
        <v>3</v>
      </c>
      <c r="DA67" s="33">
        <f t="shared" si="157"/>
        <v>39</v>
      </c>
      <c r="DB67" s="6" t="str">
        <f t="shared" si="65"/>
        <v>出怪口错误</v>
      </c>
      <c r="DC67" s="34">
        <f>DC59+DC$1</f>
        <v>17</v>
      </c>
    </row>
    <row r="68" s="2" customFormat="1" spans="5:107">
      <c r="E68" s="25" t="s">
        <v>1293</v>
      </c>
      <c r="F68" s="26"/>
      <c r="G68" s="27"/>
      <c r="H68" s="27"/>
      <c r="I68" s="27"/>
      <c r="J68" s="27"/>
      <c r="K68" s="27"/>
      <c r="L68" s="27"/>
      <c r="M68" s="27"/>
      <c r="N68" s="28"/>
      <c r="O68" s="26"/>
      <c r="P68" s="27"/>
      <c r="Q68" s="27"/>
      <c r="R68" s="29"/>
      <c r="U68" s="2">
        <v>66</v>
      </c>
      <c r="V68" s="1" t="str">
        <f t="shared" ref="V68:V98" si="179">RIGHT(W68,1)</f>
        <v>6</v>
      </c>
      <c r="W68" s="1">
        <v>96</v>
      </c>
      <c r="X68" s="30" t="s">
        <v>267</v>
      </c>
      <c r="Y68" s="3">
        <f>出怪成长!C67</f>
        <v>15</v>
      </c>
      <c r="Z68" s="31" t="str">
        <f t="shared" si="160"/>
        <v>1:3:出怪口错误|1:11:出怪口错误|2:19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68" s="5">
        <f t="shared" si="119"/>
        <v>1</v>
      </c>
      <c r="AB68" s="32">
        <f t="shared" ref="AB68:AB98" si="180">AA$2*$AA$1+INT($V68/$AB$1)</f>
        <v>3</v>
      </c>
      <c r="AC68" s="6" t="str">
        <f t="shared" si="170"/>
        <v>出怪口错误</v>
      </c>
      <c r="AD68" s="5">
        <f t="shared" ref="AD68:AD98" si="181">AD67</f>
        <v>1</v>
      </c>
      <c r="AE68" s="32">
        <f t="shared" ref="AE68:AE98" si="182">INT(AB68+AG68)</f>
        <v>11</v>
      </c>
      <c r="AF68" s="6" t="str">
        <f t="shared" ref="AF68:AF98" si="183">IF(AD68=$F68,IF($F68="","",IF((VLOOKUP($F68,$F:$G,2,FALSE)="步兵"),1,2)),IF(AD68=$H68,IF($H68="","",IF((VLOOKUP($H68,$H:$I,2,FALSE)="步兵"),1,2)),IF(AD68=$J68,IF($J68="","",IF((VLOOKUP($J68,$J:$K,2,FALSE)="步兵"),1,2)),IF(AD68=$L68,IF($L68="","",IF((VLOOKUP($L68,$L:$M,2,FALSE)="步兵"),1,2)),IF(AD68=$O68,IF($O68="","",IF((VLOOKUP($O68,$O:$P,2,FALSE)="步兵"),1,2)),IF(AD68=$Q68,IF($Q68="","",IF((VLOOKUP($Q68,$Q:$R,2,FALSE)="步兵"),1,2)),"出怪口错误"))))))</f>
        <v>出怪口错误</v>
      </c>
      <c r="AG68" s="13">
        <v>8.49999999999999</v>
      </c>
      <c r="AH68" s="5">
        <f t="shared" ref="AH68:AH98" si="184">AH67</f>
        <v>2</v>
      </c>
      <c r="AI68" s="32">
        <f t="shared" si="171"/>
        <v>19</v>
      </c>
      <c r="AJ68" s="6" t="str">
        <f t="shared" si="172"/>
        <v>出怪口错误</v>
      </c>
      <c r="AK68" s="1">
        <f t="shared" ref="AK68:AK74" si="185">AK67</f>
        <v>8</v>
      </c>
      <c r="AL68" s="5">
        <f t="shared" ref="AL68:AL98" si="186">AL67</f>
        <v>2</v>
      </c>
      <c r="AM68" s="33">
        <f t="shared" si="133"/>
        <v>10</v>
      </c>
      <c r="AN68" s="6" t="str">
        <f t="shared" si="173"/>
        <v>出怪口错误</v>
      </c>
      <c r="AO68" s="35">
        <v>2</v>
      </c>
      <c r="AP68" s="33">
        <f t="shared" si="134"/>
        <v>10</v>
      </c>
      <c r="AQ68" s="6" t="str">
        <f t="shared" si="50"/>
        <v>出怪口错误</v>
      </c>
      <c r="AR68" s="35">
        <v>3</v>
      </c>
      <c r="AS68" s="33">
        <f t="shared" si="135"/>
        <v>10</v>
      </c>
      <c r="AT68" s="6" t="str">
        <f t="shared" si="51"/>
        <v>出怪口错误</v>
      </c>
      <c r="AU68" s="1">
        <f t="shared" ref="AU68:AU74" si="187">AU67</f>
        <v>12</v>
      </c>
      <c r="AV68" s="5">
        <f t="shared" ref="AV68:AV98" si="188">AV67</f>
        <v>3</v>
      </c>
      <c r="AW68" s="33">
        <f t="shared" si="137"/>
        <v>9</v>
      </c>
      <c r="AX68" s="6" t="str">
        <f t="shared" si="174"/>
        <v>出怪口错误</v>
      </c>
      <c r="AY68" s="35">
        <v>2</v>
      </c>
      <c r="AZ68" s="33">
        <f t="shared" si="138"/>
        <v>9</v>
      </c>
      <c r="BA68" s="6" t="str">
        <f t="shared" si="52"/>
        <v>出怪口错误</v>
      </c>
      <c r="BB68" s="35">
        <v>3</v>
      </c>
      <c r="BC68" s="33">
        <f t="shared" si="139"/>
        <v>9</v>
      </c>
      <c r="BD68" s="6" t="str">
        <f t="shared" si="53"/>
        <v>出怪口错误</v>
      </c>
      <c r="BE68" s="8">
        <f t="shared" ref="BE68:BE74" si="189">BE67</f>
        <v>13</v>
      </c>
      <c r="BF68" s="5">
        <f t="shared" ref="BF68:BF98" si="190">BF67</f>
        <v>3</v>
      </c>
      <c r="BG68" s="33">
        <f t="shared" si="141"/>
        <v>11</v>
      </c>
      <c r="BH68" s="6" t="str">
        <f t="shared" si="175"/>
        <v>出怪口错误</v>
      </c>
      <c r="BI68" s="35">
        <v>2</v>
      </c>
      <c r="BJ68" s="33">
        <f t="shared" si="142"/>
        <v>11</v>
      </c>
      <c r="BK68" s="6" t="str">
        <f t="shared" si="54"/>
        <v>出怪口错误</v>
      </c>
      <c r="BL68" s="35">
        <v>3</v>
      </c>
      <c r="BM68" s="33">
        <f t="shared" si="159"/>
        <v>11</v>
      </c>
      <c r="BN68" s="6" t="str">
        <f t="shared" si="55"/>
        <v>出怪口错误</v>
      </c>
      <c r="BO68" s="8">
        <f t="shared" ref="BO68:BO74" si="191">BO67</f>
        <v>17</v>
      </c>
      <c r="BP68" s="5">
        <f t="shared" ref="BP68:BP98" si="192">BP67</f>
        <v>4</v>
      </c>
      <c r="BQ68" s="33">
        <f t="shared" si="144"/>
        <v>14</v>
      </c>
      <c r="BR68" s="6" t="str">
        <f t="shared" si="176"/>
        <v>出怪口错误</v>
      </c>
      <c r="BS68" s="35">
        <v>2</v>
      </c>
      <c r="BT68" s="33">
        <f t="shared" si="145"/>
        <v>14</v>
      </c>
      <c r="BU68" s="6" t="str">
        <f t="shared" si="57"/>
        <v>出怪口错误</v>
      </c>
      <c r="BV68" s="35">
        <v>3</v>
      </c>
      <c r="BW68" s="33">
        <f t="shared" si="146"/>
        <v>14</v>
      </c>
      <c r="BX68" s="6" t="str">
        <f t="shared" si="58"/>
        <v>出怪口错误</v>
      </c>
      <c r="BY68" s="8">
        <f t="shared" ref="BY68:BY74" si="193">BY67</f>
        <v>17</v>
      </c>
      <c r="BZ68" s="5">
        <f t="shared" ref="BZ68:BZ98" si="194">BZ67</f>
        <v>4</v>
      </c>
      <c r="CA68" s="33">
        <f t="shared" si="148"/>
        <v>17</v>
      </c>
      <c r="CB68" s="6" t="str">
        <f t="shared" si="177"/>
        <v>出怪口错误</v>
      </c>
      <c r="CC68" s="35">
        <v>2</v>
      </c>
      <c r="CD68" s="33">
        <f t="shared" si="149"/>
        <v>17</v>
      </c>
      <c r="CE68" s="6" t="str">
        <f t="shared" si="60"/>
        <v>出怪口错误</v>
      </c>
      <c r="CF68" s="35">
        <v>3</v>
      </c>
      <c r="CG68" s="33">
        <f t="shared" si="150"/>
        <v>17</v>
      </c>
      <c r="CH68" s="6" t="str">
        <f t="shared" si="61"/>
        <v>出怪口错误</v>
      </c>
      <c r="CI68" s="8">
        <f t="shared" ref="CI68:CI74" si="195">CI67</f>
        <v>17</v>
      </c>
      <c r="CJ68" s="15">
        <f t="shared" ref="CJ68:CJ98" si="196">CJ67</f>
        <v>1</v>
      </c>
      <c r="CK68" s="33">
        <f t="shared" si="152"/>
        <v>22</v>
      </c>
      <c r="CL68" s="6" t="str">
        <f t="shared" si="178"/>
        <v>出怪口错误</v>
      </c>
      <c r="CM68" s="35">
        <v>2</v>
      </c>
      <c r="CN68" s="33">
        <f t="shared" si="153"/>
        <v>22</v>
      </c>
      <c r="CO68" s="6" t="str">
        <f t="shared" si="62"/>
        <v>出怪口错误</v>
      </c>
      <c r="CP68" s="35">
        <v>3</v>
      </c>
      <c r="CQ68" s="33">
        <f t="shared" si="154"/>
        <v>22</v>
      </c>
      <c r="CR68" s="6" t="str">
        <f t="shared" si="63"/>
        <v>出怪口错误</v>
      </c>
      <c r="CS68" s="8">
        <f t="shared" ref="CS68:CS74" si="197">CS67</f>
        <v>17</v>
      </c>
      <c r="CT68" s="15">
        <f t="shared" ref="CT68:CT98" si="198">CT67</f>
        <v>2</v>
      </c>
      <c r="CU68" s="33">
        <f t="shared" si="120"/>
        <v>39</v>
      </c>
      <c r="CV68" s="6" t="str">
        <f t="shared" si="121"/>
        <v>出怪口错误</v>
      </c>
      <c r="CW68" s="35">
        <v>2</v>
      </c>
      <c r="CX68" s="33">
        <f t="shared" si="156"/>
        <v>26</v>
      </c>
      <c r="CY68" s="6" t="str">
        <f t="shared" si="64"/>
        <v>出怪口错误</v>
      </c>
      <c r="CZ68" s="35">
        <v>3</v>
      </c>
      <c r="DA68" s="33">
        <f t="shared" si="157"/>
        <v>39</v>
      </c>
      <c r="DB68" s="6" t="str">
        <f t="shared" si="65"/>
        <v>出怪口错误</v>
      </c>
      <c r="DC68" s="1">
        <f t="shared" ref="DC68:DC74" si="199">DC67</f>
        <v>17</v>
      </c>
    </row>
    <row r="69" s="2" customFormat="1" spans="5:107">
      <c r="E69" s="25" t="s">
        <v>1294</v>
      </c>
      <c r="F69" s="26"/>
      <c r="G69" s="27"/>
      <c r="H69" s="27"/>
      <c r="I69" s="27"/>
      <c r="J69" s="27"/>
      <c r="K69" s="27"/>
      <c r="L69" s="27"/>
      <c r="M69" s="27"/>
      <c r="N69" s="28"/>
      <c r="O69" s="26"/>
      <c r="P69" s="27"/>
      <c r="Q69" s="27"/>
      <c r="R69" s="29"/>
      <c r="U69" s="2">
        <v>67</v>
      </c>
      <c r="V69" s="1" t="str">
        <f t="shared" si="179"/>
        <v>1</v>
      </c>
      <c r="W69" s="1">
        <v>101</v>
      </c>
      <c r="X69" s="30" t="s">
        <v>280</v>
      </c>
      <c r="Y69" s="3">
        <f>出怪成长!C68</f>
        <v>15</v>
      </c>
      <c r="Z69" s="31" t="str">
        <f t="shared" si="160"/>
        <v>1:2:出怪口错误|1:10:出怪口错误|2:18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69" s="5">
        <f t="shared" ref="AA69:AA98" si="200">AA68</f>
        <v>1</v>
      </c>
      <c r="AB69" s="32">
        <f t="shared" si="180"/>
        <v>2</v>
      </c>
      <c r="AC69" s="6" t="str">
        <f t="shared" si="170"/>
        <v>出怪口错误</v>
      </c>
      <c r="AD69" s="5">
        <f t="shared" si="181"/>
        <v>1</v>
      </c>
      <c r="AE69" s="32">
        <f t="shared" si="182"/>
        <v>10</v>
      </c>
      <c r="AF69" s="6" t="str">
        <f t="shared" si="183"/>
        <v>出怪口错误</v>
      </c>
      <c r="AG69" s="13">
        <v>8.59999999999999</v>
      </c>
      <c r="AH69" s="5">
        <f t="shared" si="184"/>
        <v>2</v>
      </c>
      <c r="AI69" s="32">
        <f t="shared" si="171"/>
        <v>18</v>
      </c>
      <c r="AJ69" s="6" t="str">
        <f t="shared" si="172"/>
        <v>出怪口错误</v>
      </c>
      <c r="AK69" s="1">
        <f t="shared" si="185"/>
        <v>8</v>
      </c>
      <c r="AL69" s="5">
        <f t="shared" si="186"/>
        <v>2</v>
      </c>
      <c r="AM69" s="33">
        <f t="shared" si="133"/>
        <v>10</v>
      </c>
      <c r="AN69" s="6" t="str">
        <f t="shared" si="173"/>
        <v>出怪口错误</v>
      </c>
      <c r="AO69" s="35">
        <v>2</v>
      </c>
      <c r="AP69" s="33">
        <f t="shared" si="134"/>
        <v>10</v>
      </c>
      <c r="AQ69" s="6" t="str">
        <f t="shared" si="50"/>
        <v>出怪口错误</v>
      </c>
      <c r="AR69" s="35">
        <v>3</v>
      </c>
      <c r="AS69" s="33">
        <f t="shared" si="135"/>
        <v>10</v>
      </c>
      <c r="AT69" s="6" t="str">
        <f t="shared" si="51"/>
        <v>出怪口错误</v>
      </c>
      <c r="AU69" s="1">
        <f t="shared" si="187"/>
        <v>12</v>
      </c>
      <c r="AV69" s="5">
        <f t="shared" si="188"/>
        <v>3</v>
      </c>
      <c r="AW69" s="33">
        <f t="shared" si="137"/>
        <v>9</v>
      </c>
      <c r="AX69" s="6" t="str">
        <f t="shared" si="174"/>
        <v>出怪口错误</v>
      </c>
      <c r="AY69" s="35">
        <v>2</v>
      </c>
      <c r="AZ69" s="33">
        <f t="shared" si="138"/>
        <v>9</v>
      </c>
      <c r="BA69" s="6" t="str">
        <f t="shared" si="52"/>
        <v>出怪口错误</v>
      </c>
      <c r="BB69" s="35">
        <v>3</v>
      </c>
      <c r="BC69" s="33">
        <f t="shared" si="139"/>
        <v>9</v>
      </c>
      <c r="BD69" s="6" t="str">
        <f t="shared" si="53"/>
        <v>出怪口错误</v>
      </c>
      <c r="BE69" s="8">
        <f t="shared" si="189"/>
        <v>13</v>
      </c>
      <c r="BF69" s="5">
        <f t="shared" si="190"/>
        <v>3</v>
      </c>
      <c r="BG69" s="33">
        <f t="shared" si="141"/>
        <v>11</v>
      </c>
      <c r="BH69" s="6" t="str">
        <f t="shared" si="175"/>
        <v>出怪口错误</v>
      </c>
      <c r="BI69" s="35">
        <v>2</v>
      </c>
      <c r="BJ69" s="33">
        <f t="shared" si="142"/>
        <v>11</v>
      </c>
      <c r="BK69" s="6" t="str">
        <f t="shared" si="54"/>
        <v>出怪口错误</v>
      </c>
      <c r="BL69" s="35">
        <v>3</v>
      </c>
      <c r="BM69" s="33">
        <f t="shared" si="159"/>
        <v>11</v>
      </c>
      <c r="BN69" s="6" t="str">
        <f t="shared" si="55"/>
        <v>出怪口错误</v>
      </c>
      <c r="BO69" s="8">
        <f t="shared" si="191"/>
        <v>17</v>
      </c>
      <c r="BP69" s="5">
        <f t="shared" si="192"/>
        <v>4</v>
      </c>
      <c r="BQ69" s="33">
        <f t="shared" si="144"/>
        <v>14</v>
      </c>
      <c r="BR69" s="6" t="str">
        <f t="shared" si="176"/>
        <v>出怪口错误</v>
      </c>
      <c r="BS69" s="35">
        <v>2</v>
      </c>
      <c r="BT69" s="33">
        <f t="shared" si="145"/>
        <v>14</v>
      </c>
      <c r="BU69" s="6" t="str">
        <f t="shared" si="57"/>
        <v>出怪口错误</v>
      </c>
      <c r="BV69" s="35">
        <v>3</v>
      </c>
      <c r="BW69" s="33">
        <f t="shared" si="146"/>
        <v>14</v>
      </c>
      <c r="BX69" s="6" t="str">
        <f t="shared" si="58"/>
        <v>出怪口错误</v>
      </c>
      <c r="BY69" s="8">
        <f t="shared" si="193"/>
        <v>17</v>
      </c>
      <c r="BZ69" s="5">
        <f t="shared" si="194"/>
        <v>4</v>
      </c>
      <c r="CA69" s="33">
        <f t="shared" si="148"/>
        <v>17</v>
      </c>
      <c r="CB69" s="6" t="str">
        <f t="shared" si="177"/>
        <v>出怪口错误</v>
      </c>
      <c r="CC69" s="35">
        <v>2</v>
      </c>
      <c r="CD69" s="33">
        <f t="shared" si="149"/>
        <v>17</v>
      </c>
      <c r="CE69" s="6" t="str">
        <f t="shared" si="60"/>
        <v>出怪口错误</v>
      </c>
      <c r="CF69" s="35">
        <v>3</v>
      </c>
      <c r="CG69" s="33">
        <f t="shared" si="150"/>
        <v>17</v>
      </c>
      <c r="CH69" s="6" t="str">
        <f t="shared" si="61"/>
        <v>出怪口错误</v>
      </c>
      <c r="CI69" s="8">
        <f t="shared" si="195"/>
        <v>17</v>
      </c>
      <c r="CJ69" s="15">
        <f t="shared" si="196"/>
        <v>1</v>
      </c>
      <c r="CK69" s="33">
        <f t="shared" si="152"/>
        <v>22</v>
      </c>
      <c r="CL69" s="6" t="str">
        <f t="shared" si="178"/>
        <v>出怪口错误</v>
      </c>
      <c r="CM69" s="35">
        <v>2</v>
      </c>
      <c r="CN69" s="33">
        <f t="shared" si="153"/>
        <v>22</v>
      </c>
      <c r="CO69" s="6" t="str">
        <f t="shared" si="62"/>
        <v>出怪口错误</v>
      </c>
      <c r="CP69" s="35">
        <v>3</v>
      </c>
      <c r="CQ69" s="33">
        <f t="shared" si="154"/>
        <v>22</v>
      </c>
      <c r="CR69" s="6" t="str">
        <f t="shared" si="63"/>
        <v>出怪口错误</v>
      </c>
      <c r="CS69" s="8">
        <f t="shared" si="197"/>
        <v>17</v>
      </c>
      <c r="CT69" s="15">
        <f t="shared" si="198"/>
        <v>2</v>
      </c>
      <c r="CU69" s="32">
        <f t="shared" ref="CU69:CU98" si="201">INT(CK69+DC69)</f>
        <v>39</v>
      </c>
      <c r="CV69" s="6" t="str">
        <f t="shared" si="121"/>
        <v>出怪口错误</v>
      </c>
      <c r="CW69" s="35">
        <v>2</v>
      </c>
      <c r="CX69" s="33">
        <f t="shared" si="156"/>
        <v>26</v>
      </c>
      <c r="CY69" s="6" t="str">
        <f t="shared" si="64"/>
        <v>出怪口错误</v>
      </c>
      <c r="CZ69" s="35">
        <v>3</v>
      </c>
      <c r="DA69" s="33">
        <f t="shared" si="157"/>
        <v>39</v>
      </c>
      <c r="DB69" s="6" t="str">
        <f t="shared" si="65"/>
        <v>出怪口错误</v>
      </c>
      <c r="DC69" s="1">
        <f t="shared" si="199"/>
        <v>17</v>
      </c>
    </row>
    <row r="70" s="2" customFormat="1" spans="5:107">
      <c r="E70" s="25" t="s">
        <v>1295</v>
      </c>
      <c r="F70" s="26"/>
      <c r="G70" s="27"/>
      <c r="H70" s="27"/>
      <c r="I70" s="27"/>
      <c r="J70" s="27"/>
      <c r="K70" s="27"/>
      <c r="L70" s="27"/>
      <c r="M70" s="27"/>
      <c r="N70" s="28"/>
      <c r="O70" s="26"/>
      <c r="P70" s="27"/>
      <c r="Q70" s="27"/>
      <c r="R70" s="29"/>
      <c r="U70" s="2">
        <v>68</v>
      </c>
      <c r="V70" s="1" t="str">
        <f t="shared" si="179"/>
        <v>2</v>
      </c>
      <c r="W70" s="1">
        <v>102</v>
      </c>
      <c r="X70" s="30" t="s">
        <v>280</v>
      </c>
      <c r="Y70" s="3">
        <f>出怪成长!C69</f>
        <v>15</v>
      </c>
      <c r="Z70" s="31" t="str">
        <f t="shared" si="160"/>
        <v>1:2:出怪口错误|1:10:出怪口错误|2:18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70" s="5">
        <f t="shared" si="200"/>
        <v>1</v>
      </c>
      <c r="AB70" s="32">
        <f t="shared" si="180"/>
        <v>2</v>
      </c>
      <c r="AC70" s="6" t="str">
        <f t="shared" si="170"/>
        <v>出怪口错误</v>
      </c>
      <c r="AD70" s="5">
        <f t="shared" si="181"/>
        <v>1</v>
      </c>
      <c r="AE70" s="32">
        <f t="shared" si="182"/>
        <v>10</v>
      </c>
      <c r="AF70" s="6" t="str">
        <f t="shared" si="183"/>
        <v>出怪口错误</v>
      </c>
      <c r="AG70" s="13">
        <v>8.69999999999999</v>
      </c>
      <c r="AH70" s="5">
        <f t="shared" si="184"/>
        <v>2</v>
      </c>
      <c r="AI70" s="32">
        <f t="shared" si="171"/>
        <v>18</v>
      </c>
      <c r="AJ70" s="6" t="str">
        <f t="shared" si="172"/>
        <v>出怪口错误</v>
      </c>
      <c r="AK70" s="1">
        <f t="shared" si="185"/>
        <v>8</v>
      </c>
      <c r="AL70" s="5">
        <f t="shared" si="186"/>
        <v>2</v>
      </c>
      <c r="AM70" s="33">
        <f t="shared" si="133"/>
        <v>10</v>
      </c>
      <c r="AN70" s="6" t="str">
        <f t="shared" si="173"/>
        <v>出怪口错误</v>
      </c>
      <c r="AO70" s="35">
        <v>2</v>
      </c>
      <c r="AP70" s="33">
        <f t="shared" si="134"/>
        <v>10</v>
      </c>
      <c r="AQ70" s="6" t="str">
        <f t="shared" si="50"/>
        <v>出怪口错误</v>
      </c>
      <c r="AR70" s="35">
        <v>3</v>
      </c>
      <c r="AS70" s="33">
        <f t="shared" si="135"/>
        <v>10</v>
      </c>
      <c r="AT70" s="6" t="str">
        <f t="shared" si="51"/>
        <v>出怪口错误</v>
      </c>
      <c r="AU70" s="1">
        <f t="shared" si="187"/>
        <v>12</v>
      </c>
      <c r="AV70" s="5">
        <f t="shared" si="188"/>
        <v>3</v>
      </c>
      <c r="AW70" s="33">
        <f t="shared" si="137"/>
        <v>9</v>
      </c>
      <c r="AX70" s="6" t="str">
        <f t="shared" si="174"/>
        <v>出怪口错误</v>
      </c>
      <c r="AY70" s="35">
        <v>2</v>
      </c>
      <c r="AZ70" s="33">
        <f t="shared" si="138"/>
        <v>9</v>
      </c>
      <c r="BA70" s="6" t="str">
        <f t="shared" si="52"/>
        <v>出怪口错误</v>
      </c>
      <c r="BB70" s="35">
        <v>3</v>
      </c>
      <c r="BC70" s="33">
        <f t="shared" si="139"/>
        <v>9</v>
      </c>
      <c r="BD70" s="6" t="str">
        <f t="shared" si="53"/>
        <v>出怪口错误</v>
      </c>
      <c r="BE70" s="8">
        <f t="shared" si="189"/>
        <v>13</v>
      </c>
      <c r="BF70" s="5">
        <f t="shared" si="190"/>
        <v>3</v>
      </c>
      <c r="BG70" s="33">
        <f t="shared" si="141"/>
        <v>11</v>
      </c>
      <c r="BH70" s="6" t="str">
        <f t="shared" si="175"/>
        <v>出怪口错误</v>
      </c>
      <c r="BI70" s="35">
        <v>2</v>
      </c>
      <c r="BJ70" s="33">
        <f t="shared" si="142"/>
        <v>11</v>
      </c>
      <c r="BK70" s="6" t="str">
        <f t="shared" si="54"/>
        <v>出怪口错误</v>
      </c>
      <c r="BL70" s="35">
        <v>3</v>
      </c>
      <c r="BM70" s="33">
        <f t="shared" si="159"/>
        <v>11</v>
      </c>
      <c r="BN70" s="6" t="str">
        <f t="shared" si="55"/>
        <v>出怪口错误</v>
      </c>
      <c r="BO70" s="8">
        <f t="shared" si="191"/>
        <v>17</v>
      </c>
      <c r="BP70" s="5">
        <f t="shared" si="192"/>
        <v>4</v>
      </c>
      <c r="BQ70" s="33">
        <f t="shared" si="144"/>
        <v>14</v>
      </c>
      <c r="BR70" s="6" t="str">
        <f t="shared" si="176"/>
        <v>出怪口错误</v>
      </c>
      <c r="BS70" s="35">
        <v>2</v>
      </c>
      <c r="BT70" s="33">
        <f t="shared" si="145"/>
        <v>14</v>
      </c>
      <c r="BU70" s="6" t="str">
        <f t="shared" si="57"/>
        <v>出怪口错误</v>
      </c>
      <c r="BV70" s="35">
        <v>3</v>
      </c>
      <c r="BW70" s="33">
        <f t="shared" si="146"/>
        <v>14</v>
      </c>
      <c r="BX70" s="6" t="str">
        <f t="shared" si="58"/>
        <v>出怪口错误</v>
      </c>
      <c r="BY70" s="8">
        <f t="shared" si="193"/>
        <v>17</v>
      </c>
      <c r="BZ70" s="5">
        <f t="shared" si="194"/>
        <v>4</v>
      </c>
      <c r="CA70" s="33">
        <f t="shared" si="148"/>
        <v>17</v>
      </c>
      <c r="CB70" s="6" t="str">
        <f t="shared" si="177"/>
        <v>出怪口错误</v>
      </c>
      <c r="CC70" s="35">
        <v>2</v>
      </c>
      <c r="CD70" s="33">
        <f t="shared" si="149"/>
        <v>17</v>
      </c>
      <c r="CE70" s="6" t="str">
        <f t="shared" si="60"/>
        <v>出怪口错误</v>
      </c>
      <c r="CF70" s="35">
        <v>3</v>
      </c>
      <c r="CG70" s="33">
        <f t="shared" si="150"/>
        <v>17</v>
      </c>
      <c r="CH70" s="6" t="str">
        <f t="shared" si="61"/>
        <v>出怪口错误</v>
      </c>
      <c r="CI70" s="8">
        <f t="shared" si="195"/>
        <v>17</v>
      </c>
      <c r="CJ70" s="15">
        <f t="shared" si="196"/>
        <v>1</v>
      </c>
      <c r="CK70" s="33">
        <f t="shared" si="152"/>
        <v>22</v>
      </c>
      <c r="CL70" s="6" t="str">
        <f t="shared" si="178"/>
        <v>出怪口错误</v>
      </c>
      <c r="CM70" s="35">
        <v>2</v>
      </c>
      <c r="CN70" s="33">
        <f t="shared" si="153"/>
        <v>22</v>
      </c>
      <c r="CO70" s="6" t="str">
        <f t="shared" si="62"/>
        <v>出怪口错误</v>
      </c>
      <c r="CP70" s="35">
        <v>3</v>
      </c>
      <c r="CQ70" s="33">
        <f t="shared" si="154"/>
        <v>22</v>
      </c>
      <c r="CR70" s="6" t="str">
        <f t="shared" si="63"/>
        <v>出怪口错误</v>
      </c>
      <c r="CS70" s="8">
        <f t="shared" si="197"/>
        <v>17</v>
      </c>
      <c r="CT70" s="15">
        <f t="shared" si="198"/>
        <v>2</v>
      </c>
      <c r="CU70" s="33">
        <f t="shared" si="201"/>
        <v>39</v>
      </c>
      <c r="CV70" s="6" t="str">
        <f t="shared" si="121"/>
        <v>出怪口错误</v>
      </c>
      <c r="CW70" s="35">
        <v>2</v>
      </c>
      <c r="CX70" s="33">
        <f t="shared" si="156"/>
        <v>26</v>
      </c>
      <c r="CY70" s="6" t="str">
        <f t="shared" si="64"/>
        <v>出怪口错误</v>
      </c>
      <c r="CZ70" s="35">
        <v>3</v>
      </c>
      <c r="DA70" s="33">
        <f t="shared" si="157"/>
        <v>39</v>
      </c>
      <c r="DB70" s="6" t="str">
        <f t="shared" si="65"/>
        <v>出怪口错误</v>
      </c>
      <c r="DC70" s="1">
        <f t="shared" si="199"/>
        <v>17</v>
      </c>
    </row>
    <row r="71" s="2" customFormat="1" spans="5:107">
      <c r="E71" s="25" t="s">
        <v>1296</v>
      </c>
      <c r="F71" s="26"/>
      <c r="G71" s="27"/>
      <c r="H71" s="27"/>
      <c r="I71" s="27"/>
      <c r="J71" s="27"/>
      <c r="K71" s="27"/>
      <c r="L71" s="27"/>
      <c r="M71" s="27"/>
      <c r="N71" s="28"/>
      <c r="O71" s="26"/>
      <c r="P71" s="27"/>
      <c r="Q71" s="27"/>
      <c r="R71" s="29"/>
      <c r="U71" s="2">
        <v>69</v>
      </c>
      <c r="V71" s="1" t="str">
        <f t="shared" si="179"/>
        <v>3</v>
      </c>
      <c r="W71" s="1">
        <v>103</v>
      </c>
      <c r="X71" s="30" t="s">
        <v>280</v>
      </c>
      <c r="Y71" s="3">
        <f>出怪成长!C70</f>
        <v>15</v>
      </c>
      <c r="Z71" s="31" t="str">
        <f t="shared" si="160"/>
        <v>1:2:出怪口错误|1:10:出怪口错误|2:18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71" s="5">
        <f t="shared" si="200"/>
        <v>1</v>
      </c>
      <c r="AB71" s="32">
        <f t="shared" si="180"/>
        <v>2</v>
      </c>
      <c r="AC71" s="6" t="str">
        <f t="shared" si="170"/>
        <v>出怪口错误</v>
      </c>
      <c r="AD71" s="5">
        <f t="shared" si="181"/>
        <v>1</v>
      </c>
      <c r="AE71" s="32">
        <f t="shared" si="182"/>
        <v>10</v>
      </c>
      <c r="AF71" s="6" t="str">
        <f t="shared" si="183"/>
        <v>出怪口错误</v>
      </c>
      <c r="AG71" s="13">
        <v>8.79999999999999</v>
      </c>
      <c r="AH71" s="5">
        <f t="shared" si="184"/>
        <v>2</v>
      </c>
      <c r="AI71" s="32">
        <f t="shared" si="171"/>
        <v>18</v>
      </c>
      <c r="AJ71" s="6" t="str">
        <f t="shared" si="172"/>
        <v>出怪口错误</v>
      </c>
      <c r="AK71" s="1">
        <f t="shared" si="185"/>
        <v>8</v>
      </c>
      <c r="AL71" s="5">
        <f t="shared" si="186"/>
        <v>2</v>
      </c>
      <c r="AM71" s="33">
        <f t="shared" si="133"/>
        <v>10</v>
      </c>
      <c r="AN71" s="6" t="str">
        <f t="shared" si="173"/>
        <v>出怪口错误</v>
      </c>
      <c r="AO71" s="35">
        <v>2</v>
      </c>
      <c r="AP71" s="33">
        <f t="shared" si="134"/>
        <v>10</v>
      </c>
      <c r="AQ71" s="6" t="str">
        <f t="shared" si="50"/>
        <v>出怪口错误</v>
      </c>
      <c r="AR71" s="35">
        <v>3</v>
      </c>
      <c r="AS71" s="33">
        <f t="shared" si="135"/>
        <v>10</v>
      </c>
      <c r="AT71" s="6" t="str">
        <f t="shared" si="51"/>
        <v>出怪口错误</v>
      </c>
      <c r="AU71" s="1">
        <f t="shared" si="187"/>
        <v>12</v>
      </c>
      <c r="AV71" s="5">
        <f t="shared" si="188"/>
        <v>3</v>
      </c>
      <c r="AW71" s="33">
        <f t="shared" si="137"/>
        <v>9</v>
      </c>
      <c r="AX71" s="6" t="str">
        <f t="shared" si="174"/>
        <v>出怪口错误</v>
      </c>
      <c r="AY71" s="35">
        <v>2</v>
      </c>
      <c r="AZ71" s="33">
        <f t="shared" si="138"/>
        <v>9</v>
      </c>
      <c r="BA71" s="6" t="str">
        <f t="shared" si="52"/>
        <v>出怪口错误</v>
      </c>
      <c r="BB71" s="35">
        <v>3</v>
      </c>
      <c r="BC71" s="33">
        <f t="shared" si="139"/>
        <v>9</v>
      </c>
      <c r="BD71" s="6" t="str">
        <f t="shared" si="53"/>
        <v>出怪口错误</v>
      </c>
      <c r="BE71" s="8">
        <f t="shared" si="189"/>
        <v>13</v>
      </c>
      <c r="BF71" s="5">
        <f t="shared" si="190"/>
        <v>3</v>
      </c>
      <c r="BG71" s="33">
        <f t="shared" si="141"/>
        <v>11</v>
      </c>
      <c r="BH71" s="6" t="str">
        <f t="shared" si="175"/>
        <v>出怪口错误</v>
      </c>
      <c r="BI71" s="35">
        <v>2</v>
      </c>
      <c r="BJ71" s="33">
        <f t="shared" si="142"/>
        <v>11</v>
      </c>
      <c r="BK71" s="6" t="str">
        <f t="shared" si="54"/>
        <v>出怪口错误</v>
      </c>
      <c r="BL71" s="35">
        <v>3</v>
      </c>
      <c r="BM71" s="33">
        <f t="shared" si="159"/>
        <v>11</v>
      </c>
      <c r="BN71" s="6" t="str">
        <f t="shared" si="55"/>
        <v>出怪口错误</v>
      </c>
      <c r="BO71" s="8">
        <f t="shared" si="191"/>
        <v>17</v>
      </c>
      <c r="BP71" s="5">
        <f t="shared" si="192"/>
        <v>4</v>
      </c>
      <c r="BQ71" s="33">
        <f t="shared" si="144"/>
        <v>14</v>
      </c>
      <c r="BR71" s="6" t="str">
        <f t="shared" si="176"/>
        <v>出怪口错误</v>
      </c>
      <c r="BS71" s="35">
        <v>2</v>
      </c>
      <c r="BT71" s="33">
        <f t="shared" si="145"/>
        <v>14</v>
      </c>
      <c r="BU71" s="6" t="str">
        <f t="shared" si="57"/>
        <v>出怪口错误</v>
      </c>
      <c r="BV71" s="35">
        <v>3</v>
      </c>
      <c r="BW71" s="33">
        <f t="shared" si="146"/>
        <v>14</v>
      </c>
      <c r="BX71" s="6" t="str">
        <f t="shared" si="58"/>
        <v>出怪口错误</v>
      </c>
      <c r="BY71" s="8">
        <f t="shared" si="193"/>
        <v>17</v>
      </c>
      <c r="BZ71" s="5">
        <f t="shared" si="194"/>
        <v>4</v>
      </c>
      <c r="CA71" s="33">
        <f t="shared" si="148"/>
        <v>17</v>
      </c>
      <c r="CB71" s="6" t="str">
        <f t="shared" si="177"/>
        <v>出怪口错误</v>
      </c>
      <c r="CC71" s="35">
        <v>2</v>
      </c>
      <c r="CD71" s="33">
        <f t="shared" si="149"/>
        <v>17</v>
      </c>
      <c r="CE71" s="6" t="str">
        <f t="shared" si="60"/>
        <v>出怪口错误</v>
      </c>
      <c r="CF71" s="35">
        <v>3</v>
      </c>
      <c r="CG71" s="33">
        <f t="shared" si="150"/>
        <v>17</v>
      </c>
      <c r="CH71" s="6" t="str">
        <f t="shared" si="61"/>
        <v>出怪口错误</v>
      </c>
      <c r="CI71" s="8">
        <f t="shared" si="195"/>
        <v>17</v>
      </c>
      <c r="CJ71" s="15">
        <f t="shared" si="196"/>
        <v>1</v>
      </c>
      <c r="CK71" s="33">
        <f t="shared" si="152"/>
        <v>22</v>
      </c>
      <c r="CL71" s="6" t="str">
        <f t="shared" si="178"/>
        <v>出怪口错误</v>
      </c>
      <c r="CM71" s="35">
        <v>2</v>
      </c>
      <c r="CN71" s="33">
        <f t="shared" si="153"/>
        <v>22</v>
      </c>
      <c r="CO71" s="6" t="str">
        <f t="shared" si="62"/>
        <v>出怪口错误</v>
      </c>
      <c r="CP71" s="35">
        <v>3</v>
      </c>
      <c r="CQ71" s="33">
        <f t="shared" si="154"/>
        <v>22</v>
      </c>
      <c r="CR71" s="6" t="str">
        <f t="shared" si="63"/>
        <v>出怪口错误</v>
      </c>
      <c r="CS71" s="8">
        <f t="shared" si="197"/>
        <v>17</v>
      </c>
      <c r="CT71" s="15">
        <f t="shared" si="198"/>
        <v>2</v>
      </c>
      <c r="CU71" s="32">
        <f t="shared" si="201"/>
        <v>39</v>
      </c>
      <c r="CV71" s="6" t="str">
        <f t="shared" si="121"/>
        <v>出怪口错误</v>
      </c>
      <c r="CW71" s="35">
        <v>2</v>
      </c>
      <c r="CX71" s="33">
        <f t="shared" si="156"/>
        <v>26</v>
      </c>
      <c r="CY71" s="6" t="str">
        <f t="shared" si="64"/>
        <v>出怪口错误</v>
      </c>
      <c r="CZ71" s="35">
        <v>3</v>
      </c>
      <c r="DA71" s="33">
        <f t="shared" si="157"/>
        <v>39</v>
      </c>
      <c r="DB71" s="6" t="str">
        <f t="shared" si="65"/>
        <v>出怪口错误</v>
      </c>
      <c r="DC71" s="1">
        <f t="shared" si="199"/>
        <v>17</v>
      </c>
    </row>
    <row r="72" s="2" customFormat="1" spans="5:107">
      <c r="E72" s="25" t="s">
        <v>1297</v>
      </c>
      <c r="F72" s="26"/>
      <c r="G72" s="27"/>
      <c r="H72" s="27"/>
      <c r="I72" s="27"/>
      <c r="J72" s="27"/>
      <c r="K72" s="27"/>
      <c r="L72" s="27"/>
      <c r="M72" s="27"/>
      <c r="N72" s="28"/>
      <c r="O72" s="26"/>
      <c r="P72" s="27"/>
      <c r="Q72" s="27"/>
      <c r="R72" s="29"/>
      <c r="U72" s="2">
        <v>70</v>
      </c>
      <c r="V72" s="1" t="str">
        <f t="shared" si="179"/>
        <v>4</v>
      </c>
      <c r="W72" s="1">
        <v>104</v>
      </c>
      <c r="X72" s="30" t="s">
        <v>280</v>
      </c>
      <c r="Y72" s="3">
        <f>出怪成长!C71</f>
        <v>15</v>
      </c>
      <c r="Z72" s="31" t="str">
        <f t="shared" si="160"/>
        <v>1:2:出怪口错误|1:10:出怪口错误|2:18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72" s="5">
        <f t="shared" si="200"/>
        <v>1</v>
      </c>
      <c r="AB72" s="32">
        <f t="shared" si="180"/>
        <v>2</v>
      </c>
      <c r="AC72" s="6" t="str">
        <f t="shared" si="170"/>
        <v>出怪口错误</v>
      </c>
      <c r="AD72" s="5">
        <f t="shared" si="181"/>
        <v>1</v>
      </c>
      <c r="AE72" s="32">
        <f t="shared" si="182"/>
        <v>10</v>
      </c>
      <c r="AF72" s="6" t="str">
        <f t="shared" si="183"/>
        <v>出怪口错误</v>
      </c>
      <c r="AG72" s="13">
        <v>8.89999999999999</v>
      </c>
      <c r="AH72" s="5">
        <f t="shared" si="184"/>
        <v>2</v>
      </c>
      <c r="AI72" s="32">
        <f t="shared" si="171"/>
        <v>18</v>
      </c>
      <c r="AJ72" s="6" t="str">
        <f t="shared" si="172"/>
        <v>出怪口错误</v>
      </c>
      <c r="AK72" s="1">
        <f t="shared" si="185"/>
        <v>8</v>
      </c>
      <c r="AL72" s="5">
        <f t="shared" si="186"/>
        <v>2</v>
      </c>
      <c r="AM72" s="33">
        <f t="shared" si="133"/>
        <v>10</v>
      </c>
      <c r="AN72" s="6" t="str">
        <f t="shared" si="173"/>
        <v>出怪口错误</v>
      </c>
      <c r="AO72" s="35">
        <v>2</v>
      </c>
      <c r="AP72" s="33">
        <f t="shared" si="134"/>
        <v>10</v>
      </c>
      <c r="AQ72" s="6" t="str">
        <f t="shared" si="50"/>
        <v>出怪口错误</v>
      </c>
      <c r="AR72" s="35">
        <v>3</v>
      </c>
      <c r="AS72" s="33">
        <f t="shared" si="135"/>
        <v>10</v>
      </c>
      <c r="AT72" s="6" t="str">
        <f t="shared" si="51"/>
        <v>出怪口错误</v>
      </c>
      <c r="AU72" s="1">
        <f t="shared" si="187"/>
        <v>12</v>
      </c>
      <c r="AV72" s="5">
        <f t="shared" si="188"/>
        <v>3</v>
      </c>
      <c r="AW72" s="33">
        <f t="shared" si="137"/>
        <v>9</v>
      </c>
      <c r="AX72" s="6" t="str">
        <f t="shared" si="174"/>
        <v>出怪口错误</v>
      </c>
      <c r="AY72" s="35">
        <v>2</v>
      </c>
      <c r="AZ72" s="33">
        <f t="shared" si="138"/>
        <v>9</v>
      </c>
      <c r="BA72" s="6" t="str">
        <f t="shared" si="52"/>
        <v>出怪口错误</v>
      </c>
      <c r="BB72" s="35">
        <v>3</v>
      </c>
      <c r="BC72" s="33">
        <f t="shared" si="139"/>
        <v>9</v>
      </c>
      <c r="BD72" s="6" t="str">
        <f t="shared" si="53"/>
        <v>出怪口错误</v>
      </c>
      <c r="BE72" s="8">
        <f t="shared" si="189"/>
        <v>13</v>
      </c>
      <c r="BF72" s="5">
        <f t="shared" si="190"/>
        <v>3</v>
      </c>
      <c r="BG72" s="33">
        <f t="shared" si="141"/>
        <v>11</v>
      </c>
      <c r="BH72" s="6" t="str">
        <f t="shared" si="175"/>
        <v>出怪口错误</v>
      </c>
      <c r="BI72" s="35">
        <v>2</v>
      </c>
      <c r="BJ72" s="33">
        <f t="shared" si="142"/>
        <v>11</v>
      </c>
      <c r="BK72" s="6" t="str">
        <f t="shared" si="54"/>
        <v>出怪口错误</v>
      </c>
      <c r="BL72" s="35">
        <v>3</v>
      </c>
      <c r="BM72" s="33">
        <f t="shared" si="159"/>
        <v>11</v>
      </c>
      <c r="BN72" s="6" t="str">
        <f t="shared" si="55"/>
        <v>出怪口错误</v>
      </c>
      <c r="BO72" s="8">
        <f t="shared" si="191"/>
        <v>17</v>
      </c>
      <c r="BP72" s="5">
        <f t="shared" si="192"/>
        <v>4</v>
      </c>
      <c r="BQ72" s="33">
        <f t="shared" si="144"/>
        <v>14</v>
      </c>
      <c r="BR72" s="6" t="str">
        <f t="shared" si="176"/>
        <v>出怪口错误</v>
      </c>
      <c r="BS72" s="35">
        <v>2</v>
      </c>
      <c r="BT72" s="33">
        <f t="shared" si="145"/>
        <v>14</v>
      </c>
      <c r="BU72" s="6" t="str">
        <f t="shared" si="57"/>
        <v>出怪口错误</v>
      </c>
      <c r="BV72" s="35">
        <v>3</v>
      </c>
      <c r="BW72" s="33">
        <f t="shared" si="146"/>
        <v>14</v>
      </c>
      <c r="BX72" s="6" t="str">
        <f t="shared" si="58"/>
        <v>出怪口错误</v>
      </c>
      <c r="BY72" s="8">
        <f t="shared" si="193"/>
        <v>17</v>
      </c>
      <c r="BZ72" s="5">
        <f t="shared" si="194"/>
        <v>4</v>
      </c>
      <c r="CA72" s="33">
        <f t="shared" si="148"/>
        <v>17</v>
      </c>
      <c r="CB72" s="6" t="str">
        <f t="shared" si="177"/>
        <v>出怪口错误</v>
      </c>
      <c r="CC72" s="35">
        <v>2</v>
      </c>
      <c r="CD72" s="33">
        <f t="shared" si="149"/>
        <v>17</v>
      </c>
      <c r="CE72" s="6" t="str">
        <f t="shared" si="60"/>
        <v>出怪口错误</v>
      </c>
      <c r="CF72" s="35">
        <v>3</v>
      </c>
      <c r="CG72" s="33">
        <f t="shared" si="150"/>
        <v>17</v>
      </c>
      <c r="CH72" s="6" t="str">
        <f t="shared" si="61"/>
        <v>出怪口错误</v>
      </c>
      <c r="CI72" s="8">
        <f t="shared" si="195"/>
        <v>17</v>
      </c>
      <c r="CJ72" s="15">
        <f t="shared" si="196"/>
        <v>1</v>
      </c>
      <c r="CK72" s="33">
        <f t="shared" si="152"/>
        <v>22</v>
      </c>
      <c r="CL72" s="6" t="str">
        <f t="shared" si="178"/>
        <v>出怪口错误</v>
      </c>
      <c r="CM72" s="35">
        <v>2</v>
      </c>
      <c r="CN72" s="33">
        <f t="shared" si="153"/>
        <v>22</v>
      </c>
      <c r="CO72" s="6" t="str">
        <f t="shared" si="62"/>
        <v>出怪口错误</v>
      </c>
      <c r="CP72" s="35">
        <v>3</v>
      </c>
      <c r="CQ72" s="33">
        <f t="shared" si="154"/>
        <v>22</v>
      </c>
      <c r="CR72" s="6" t="str">
        <f t="shared" si="63"/>
        <v>出怪口错误</v>
      </c>
      <c r="CS72" s="8">
        <f t="shared" si="197"/>
        <v>17</v>
      </c>
      <c r="CT72" s="15">
        <f t="shared" si="198"/>
        <v>2</v>
      </c>
      <c r="CU72" s="33">
        <f t="shared" si="201"/>
        <v>39</v>
      </c>
      <c r="CV72" s="6" t="str">
        <f t="shared" si="121"/>
        <v>出怪口错误</v>
      </c>
      <c r="CW72" s="35">
        <v>2</v>
      </c>
      <c r="CX72" s="33">
        <f t="shared" si="156"/>
        <v>26</v>
      </c>
      <c r="CY72" s="6" t="str">
        <f t="shared" si="64"/>
        <v>出怪口错误</v>
      </c>
      <c r="CZ72" s="35">
        <v>3</v>
      </c>
      <c r="DA72" s="33">
        <f t="shared" si="157"/>
        <v>39</v>
      </c>
      <c r="DB72" s="6" t="str">
        <f t="shared" si="65"/>
        <v>出怪口错误</v>
      </c>
      <c r="DC72" s="1">
        <f t="shared" si="199"/>
        <v>17</v>
      </c>
    </row>
    <row r="73" s="2" customFormat="1" spans="5:107">
      <c r="E73" s="25" t="s">
        <v>1298</v>
      </c>
      <c r="F73" s="26"/>
      <c r="G73" s="27"/>
      <c r="H73" s="27"/>
      <c r="I73" s="27"/>
      <c r="J73" s="27"/>
      <c r="K73" s="27"/>
      <c r="L73" s="27"/>
      <c r="M73" s="27"/>
      <c r="N73" s="28"/>
      <c r="O73" s="26"/>
      <c r="P73" s="27"/>
      <c r="Q73" s="27"/>
      <c r="R73" s="29"/>
      <c r="U73" s="2">
        <v>71</v>
      </c>
      <c r="V73" s="1" t="str">
        <f t="shared" si="179"/>
        <v>5</v>
      </c>
      <c r="W73" s="1">
        <v>105</v>
      </c>
      <c r="X73" s="30" t="s">
        <v>280</v>
      </c>
      <c r="Y73" s="3">
        <f>出怪成长!C72</f>
        <v>15</v>
      </c>
      <c r="Z73" s="31" t="str">
        <f t="shared" si="160"/>
        <v>1:3:出怪口错误|1:12:出怪口错误|2:20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73" s="5">
        <f t="shared" si="200"/>
        <v>1</v>
      </c>
      <c r="AB73" s="32">
        <f t="shared" si="180"/>
        <v>3</v>
      </c>
      <c r="AC73" s="6" t="str">
        <f t="shared" si="170"/>
        <v>出怪口错误</v>
      </c>
      <c r="AD73" s="5">
        <f t="shared" si="181"/>
        <v>1</v>
      </c>
      <c r="AE73" s="32">
        <f t="shared" si="182"/>
        <v>12</v>
      </c>
      <c r="AF73" s="6" t="str">
        <f t="shared" si="183"/>
        <v>出怪口错误</v>
      </c>
      <c r="AG73" s="13">
        <v>8.99999999999999</v>
      </c>
      <c r="AH73" s="5">
        <f t="shared" si="184"/>
        <v>2</v>
      </c>
      <c r="AI73" s="32">
        <f t="shared" si="171"/>
        <v>20</v>
      </c>
      <c r="AJ73" s="6" t="str">
        <f t="shared" si="172"/>
        <v>出怪口错误</v>
      </c>
      <c r="AK73" s="1">
        <f t="shared" si="185"/>
        <v>8</v>
      </c>
      <c r="AL73" s="5">
        <f t="shared" si="186"/>
        <v>2</v>
      </c>
      <c r="AM73" s="33">
        <f t="shared" si="133"/>
        <v>10</v>
      </c>
      <c r="AN73" s="6" t="str">
        <f t="shared" si="173"/>
        <v>出怪口错误</v>
      </c>
      <c r="AO73" s="35">
        <v>2</v>
      </c>
      <c r="AP73" s="33">
        <f t="shared" si="134"/>
        <v>10</v>
      </c>
      <c r="AQ73" s="6" t="str">
        <f t="shared" si="50"/>
        <v>出怪口错误</v>
      </c>
      <c r="AR73" s="35">
        <v>3</v>
      </c>
      <c r="AS73" s="33">
        <f t="shared" si="135"/>
        <v>10</v>
      </c>
      <c r="AT73" s="6" t="str">
        <f t="shared" si="51"/>
        <v>出怪口错误</v>
      </c>
      <c r="AU73" s="1">
        <f t="shared" si="187"/>
        <v>12</v>
      </c>
      <c r="AV73" s="5">
        <f t="shared" si="188"/>
        <v>3</v>
      </c>
      <c r="AW73" s="33">
        <f t="shared" si="137"/>
        <v>9</v>
      </c>
      <c r="AX73" s="6" t="str">
        <f t="shared" si="174"/>
        <v>出怪口错误</v>
      </c>
      <c r="AY73" s="35">
        <v>2</v>
      </c>
      <c r="AZ73" s="33">
        <f t="shared" si="138"/>
        <v>9</v>
      </c>
      <c r="BA73" s="6" t="str">
        <f t="shared" si="52"/>
        <v>出怪口错误</v>
      </c>
      <c r="BB73" s="35">
        <v>3</v>
      </c>
      <c r="BC73" s="33">
        <f t="shared" si="139"/>
        <v>9</v>
      </c>
      <c r="BD73" s="6" t="str">
        <f t="shared" si="53"/>
        <v>出怪口错误</v>
      </c>
      <c r="BE73" s="8">
        <f t="shared" si="189"/>
        <v>13</v>
      </c>
      <c r="BF73" s="5">
        <f t="shared" si="190"/>
        <v>3</v>
      </c>
      <c r="BG73" s="33">
        <f t="shared" si="141"/>
        <v>11</v>
      </c>
      <c r="BH73" s="6" t="str">
        <f t="shared" si="175"/>
        <v>出怪口错误</v>
      </c>
      <c r="BI73" s="35">
        <v>2</v>
      </c>
      <c r="BJ73" s="33">
        <f t="shared" si="142"/>
        <v>11</v>
      </c>
      <c r="BK73" s="6" t="str">
        <f t="shared" si="54"/>
        <v>出怪口错误</v>
      </c>
      <c r="BL73" s="35">
        <v>3</v>
      </c>
      <c r="BM73" s="33">
        <f t="shared" si="159"/>
        <v>11</v>
      </c>
      <c r="BN73" s="6" t="str">
        <f t="shared" si="55"/>
        <v>出怪口错误</v>
      </c>
      <c r="BO73" s="8">
        <f t="shared" si="191"/>
        <v>17</v>
      </c>
      <c r="BP73" s="5">
        <f t="shared" si="192"/>
        <v>4</v>
      </c>
      <c r="BQ73" s="33">
        <f t="shared" si="144"/>
        <v>14</v>
      </c>
      <c r="BR73" s="6" t="str">
        <f t="shared" si="176"/>
        <v>出怪口错误</v>
      </c>
      <c r="BS73" s="35">
        <v>2</v>
      </c>
      <c r="BT73" s="33">
        <f t="shared" si="145"/>
        <v>14</v>
      </c>
      <c r="BU73" s="6" t="str">
        <f t="shared" si="57"/>
        <v>出怪口错误</v>
      </c>
      <c r="BV73" s="35">
        <v>3</v>
      </c>
      <c r="BW73" s="33">
        <f t="shared" si="146"/>
        <v>14</v>
      </c>
      <c r="BX73" s="6" t="str">
        <f t="shared" si="58"/>
        <v>出怪口错误</v>
      </c>
      <c r="BY73" s="8">
        <f t="shared" si="193"/>
        <v>17</v>
      </c>
      <c r="BZ73" s="5">
        <f t="shared" si="194"/>
        <v>4</v>
      </c>
      <c r="CA73" s="33">
        <f t="shared" si="148"/>
        <v>17</v>
      </c>
      <c r="CB73" s="6" t="str">
        <f t="shared" si="177"/>
        <v>出怪口错误</v>
      </c>
      <c r="CC73" s="35">
        <v>2</v>
      </c>
      <c r="CD73" s="33">
        <f t="shared" si="149"/>
        <v>17</v>
      </c>
      <c r="CE73" s="6" t="str">
        <f t="shared" si="60"/>
        <v>出怪口错误</v>
      </c>
      <c r="CF73" s="35">
        <v>3</v>
      </c>
      <c r="CG73" s="33">
        <f t="shared" si="150"/>
        <v>17</v>
      </c>
      <c r="CH73" s="6" t="str">
        <f t="shared" si="61"/>
        <v>出怪口错误</v>
      </c>
      <c r="CI73" s="8">
        <f t="shared" si="195"/>
        <v>17</v>
      </c>
      <c r="CJ73" s="15">
        <f t="shared" si="196"/>
        <v>1</v>
      </c>
      <c r="CK73" s="33">
        <f t="shared" si="152"/>
        <v>22</v>
      </c>
      <c r="CL73" s="6" t="str">
        <f t="shared" si="178"/>
        <v>出怪口错误</v>
      </c>
      <c r="CM73" s="35">
        <v>2</v>
      </c>
      <c r="CN73" s="33">
        <f t="shared" si="153"/>
        <v>22</v>
      </c>
      <c r="CO73" s="6" t="str">
        <f t="shared" si="62"/>
        <v>出怪口错误</v>
      </c>
      <c r="CP73" s="35">
        <v>3</v>
      </c>
      <c r="CQ73" s="33">
        <f t="shared" si="154"/>
        <v>22</v>
      </c>
      <c r="CR73" s="6" t="str">
        <f t="shared" si="63"/>
        <v>出怪口错误</v>
      </c>
      <c r="CS73" s="8">
        <f t="shared" si="197"/>
        <v>17</v>
      </c>
      <c r="CT73" s="15">
        <f t="shared" si="198"/>
        <v>2</v>
      </c>
      <c r="CU73" s="32">
        <f t="shared" si="201"/>
        <v>39</v>
      </c>
      <c r="CV73" s="6" t="str">
        <f t="shared" si="121"/>
        <v>出怪口错误</v>
      </c>
      <c r="CW73" s="35">
        <v>2</v>
      </c>
      <c r="CX73" s="33">
        <f t="shared" si="156"/>
        <v>26</v>
      </c>
      <c r="CY73" s="6" t="str">
        <f t="shared" si="64"/>
        <v>出怪口错误</v>
      </c>
      <c r="CZ73" s="35">
        <v>3</v>
      </c>
      <c r="DA73" s="33">
        <f t="shared" si="157"/>
        <v>39</v>
      </c>
      <c r="DB73" s="6" t="str">
        <f t="shared" si="65"/>
        <v>出怪口错误</v>
      </c>
      <c r="DC73" s="1">
        <f t="shared" si="199"/>
        <v>17</v>
      </c>
    </row>
    <row r="74" s="2" customFormat="1" spans="5:107">
      <c r="E74" s="25" t="s">
        <v>1299</v>
      </c>
      <c r="F74" s="26"/>
      <c r="G74" s="27"/>
      <c r="H74" s="27"/>
      <c r="I74" s="27"/>
      <c r="J74" s="27"/>
      <c r="K74" s="27"/>
      <c r="L74" s="27"/>
      <c r="M74" s="27"/>
      <c r="N74" s="28"/>
      <c r="O74" s="26"/>
      <c r="P74" s="27"/>
      <c r="Q74" s="27"/>
      <c r="R74" s="29"/>
      <c r="U74" s="2">
        <v>72</v>
      </c>
      <c r="V74" s="1" t="str">
        <f t="shared" si="179"/>
        <v>6</v>
      </c>
      <c r="W74" s="1">
        <v>106</v>
      </c>
      <c r="X74" s="30" t="s">
        <v>280</v>
      </c>
      <c r="Y74" s="3">
        <f>出怪成长!C73</f>
        <v>15</v>
      </c>
      <c r="Z74" s="31" t="str">
        <f t="shared" si="160"/>
        <v>1:3:出怪口错误|1:12:出怪口错误|2:20:出怪口错误|2:10:出怪口错误#2:10:出怪口错误#3:10:出怪口错误|3:9:出怪口错误#2:9:出怪口错误#3:9:出怪口错误|3:11:出怪口错误#2:11:出怪口错误#3:11:出怪口错误|4:14:出怪口错误#2:14:出怪口错误#3:14:出怪口错误|4:17:出怪口错误#2:17:出怪口错误#3:17:出怪口错误|1:22:出怪口错误#2:22:出怪口错误#3:22:出怪口错误|2:39:出怪口错误#2:26:出怪口错误#3:39:出怪口错误</v>
      </c>
      <c r="AA74" s="5">
        <f t="shared" si="200"/>
        <v>1</v>
      </c>
      <c r="AB74" s="32">
        <f t="shared" si="180"/>
        <v>3</v>
      </c>
      <c r="AC74" s="6" t="str">
        <f t="shared" si="170"/>
        <v>出怪口错误</v>
      </c>
      <c r="AD74" s="5">
        <f t="shared" si="181"/>
        <v>1</v>
      </c>
      <c r="AE74" s="32">
        <f t="shared" si="182"/>
        <v>12</v>
      </c>
      <c r="AF74" s="6" t="str">
        <f t="shared" si="183"/>
        <v>出怪口错误</v>
      </c>
      <c r="AG74" s="13">
        <v>9.09999999999999</v>
      </c>
      <c r="AH74" s="5">
        <f t="shared" si="184"/>
        <v>2</v>
      </c>
      <c r="AI74" s="32">
        <f t="shared" si="171"/>
        <v>20</v>
      </c>
      <c r="AJ74" s="6" t="str">
        <f t="shared" si="172"/>
        <v>出怪口错误</v>
      </c>
      <c r="AK74" s="1">
        <f t="shared" si="185"/>
        <v>8</v>
      </c>
      <c r="AL74" s="5">
        <f t="shared" si="186"/>
        <v>2</v>
      </c>
      <c r="AM74" s="33">
        <f t="shared" si="133"/>
        <v>10</v>
      </c>
      <c r="AN74" s="6" t="str">
        <f t="shared" si="173"/>
        <v>出怪口错误</v>
      </c>
      <c r="AO74" s="35">
        <v>2</v>
      </c>
      <c r="AP74" s="33">
        <f t="shared" si="134"/>
        <v>10</v>
      </c>
      <c r="AQ74" s="6" t="str">
        <f t="shared" si="50"/>
        <v>出怪口错误</v>
      </c>
      <c r="AR74" s="35">
        <v>3</v>
      </c>
      <c r="AS74" s="33">
        <f t="shared" si="135"/>
        <v>10</v>
      </c>
      <c r="AT74" s="6" t="str">
        <f t="shared" si="51"/>
        <v>出怪口错误</v>
      </c>
      <c r="AU74" s="1">
        <f t="shared" si="187"/>
        <v>12</v>
      </c>
      <c r="AV74" s="5">
        <f t="shared" si="188"/>
        <v>3</v>
      </c>
      <c r="AW74" s="33">
        <f t="shared" si="137"/>
        <v>9</v>
      </c>
      <c r="AX74" s="6" t="str">
        <f t="shared" si="174"/>
        <v>出怪口错误</v>
      </c>
      <c r="AY74" s="35">
        <v>2</v>
      </c>
      <c r="AZ74" s="33">
        <f t="shared" si="138"/>
        <v>9</v>
      </c>
      <c r="BA74" s="6" t="str">
        <f t="shared" si="52"/>
        <v>出怪口错误</v>
      </c>
      <c r="BB74" s="35">
        <v>3</v>
      </c>
      <c r="BC74" s="33">
        <f t="shared" si="139"/>
        <v>9</v>
      </c>
      <c r="BD74" s="6" t="str">
        <f t="shared" si="53"/>
        <v>出怪口错误</v>
      </c>
      <c r="BE74" s="8">
        <f t="shared" si="189"/>
        <v>13</v>
      </c>
      <c r="BF74" s="5">
        <f t="shared" si="190"/>
        <v>3</v>
      </c>
      <c r="BG74" s="33">
        <f t="shared" si="141"/>
        <v>11</v>
      </c>
      <c r="BH74" s="6" t="str">
        <f t="shared" si="175"/>
        <v>出怪口错误</v>
      </c>
      <c r="BI74" s="35">
        <v>2</v>
      </c>
      <c r="BJ74" s="33">
        <f t="shared" si="142"/>
        <v>11</v>
      </c>
      <c r="BK74" s="6" t="str">
        <f t="shared" si="54"/>
        <v>出怪口错误</v>
      </c>
      <c r="BL74" s="35">
        <v>3</v>
      </c>
      <c r="BM74" s="33">
        <f t="shared" si="159"/>
        <v>11</v>
      </c>
      <c r="BN74" s="6" t="str">
        <f t="shared" si="55"/>
        <v>出怪口错误</v>
      </c>
      <c r="BO74" s="8">
        <f t="shared" si="191"/>
        <v>17</v>
      </c>
      <c r="BP74" s="5">
        <f t="shared" si="192"/>
        <v>4</v>
      </c>
      <c r="BQ74" s="33">
        <f t="shared" si="144"/>
        <v>14</v>
      </c>
      <c r="BR74" s="6" t="str">
        <f t="shared" si="176"/>
        <v>出怪口错误</v>
      </c>
      <c r="BS74" s="35">
        <v>2</v>
      </c>
      <c r="BT74" s="33">
        <f t="shared" si="145"/>
        <v>14</v>
      </c>
      <c r="BU74" s="6" t="str">
        <f t="shared" si="57"/>
        <v>出怪口错误</v>
      </c>
      <c r="BV74" s="35">
        <v>3</v>
      </c>
      <c r="BW74" s="33">
        <f t="shared" si="146"/>
        <v>14</v>
      </c>
      <c r="BX74" s="6" t="str">
        <f t="shared" si="58"/>
        <v>出怪口错误</v>
      </c>
      <c r="BY74" s="8">
        <f t="shared" si="193"/>
        <v>17</v>
      </c>
      <c r="BZ74" s="5">
        <f t="shared" si="194"/>
        <v>4</v>
      </c>
      <c r="CA74" s="33">
        <f t="shared" si="148"/>
        <v>17</v>
      </c>
      <c r="CB74" s="6" t="str">
        <f t="shared" si="177"/>
        <v>出怪口错误</v>
      </c>
      <c r="CC74" s="35">
        <v>2</v>
      </c>
      <c r="CD74" s="33">
        <f t="shared" si="149"/>
        <v>17</v>
      </c>
      <c r="CE74" s="6" t="str">
        <f t="shared" si="60"/>
        <v>出怪口错误</v>
      </c>
      <c r="CF74" s="35">
        <v>3</v>
      </c>
      <c r="CG74" s="33">
        <f t="shared" si="150"/>
        <v>17</v>
      </c>
      <c r="CH74" s="6" t="str">
        <f t="shared" si="61"/>
        <v>出怪口错误</v>
      </c>
      <c r="CI74" s="8">
        <f t="shared" si="195"/>
        <v>17</v>
      </c>
      <c r="CJ74" s="15">
        <f t="shared" si="196"/>
        <v>1</v>
      </c>
      <c r="CK74" s="33">
        <f t="shared" si="152"/>
        <v>22</v>
      </c>
      <c r="CL74" s="6" t="str">
        <f t="shared" si="178"/>
        <v>出怪口错误</v>
      </c>
      <c r="CM74" s="35">
        <v>2</v>
      </c>
      <c r="CN74" s="33">
        <f t="shared" si="153"/>
        <v>22</v>
      </c>
      <c r="CO74" s="6" t="str">
        <f t="shared" si="62"/>
        <v>出怪口错误</v>
      </c>
      <c r="CP74" s="35">
        <v>3</v>
      </c>
      <c r="CQ74" s="33">
        <f t="shared" si="154"/>
        <v>22</v>
      </c>
      <c r="CR74" s="6" t="str">
        <f t="shared" si="63"/>
        <v>出怪口错误</v>
      </c>
      <c r="CS74" s="8">
        <f t="shared" si="197"/>
        <v>17</v>
      </c>
      <c r="CT74" s="15">
        <f t="shared" si="198"/>
        <v>2</v>
      </c>
      <c r="CU74" s="33">
        <f t="shared" si="201"/>
        <v>39</v>
      </c>
      <c r="CV74" s="6" t="str">
        <f t="shared" ref="CV74:CV98" si="202">IF(CT74=$F74,IF($F74="","",IF((VLOOKUP($F74,$F:$G,2,FALSE)="步兵"),1,2)),IF(CT74=$H74,IF($H74="","",IF((VLOOKUP($H74,$H:$I,2,FALSE)="步兵"),1,2)),IF(CT74=$J74,IF($J74="","",IF((VLOOKUP($J74,$J:$K,2,FALSE)="步兵"),1,2)),IF(CT74=$L74,IF($L74="","",IF((VLOOKUP($L74,$L:$M,2,FALSE)="步兵"),1,2)),IF(CT74=$O74,IF($O74="","",IF((VLOOKUP($O74,$O:$P,2,FALSE)="步兵"),1,2)),IF(CT74=$Q74,IF($Q74="","",IF((VLOOKUP($Q74,$Q:$R,2,FALSE)="步兵"),1,2)),"出怪口错误"))))))</f>
        <v>出怪口错误</v>
      </c>
      <c r="CW74" s="35">
        <v>2</v>
      </c>
      <c r="CX74" s="33">
        <f t="shared" si="156"/>
        <v>26</v>
      </c>
      <c r="CY74" s="6" t="str">
        <f t="shared" si="64"/>
        <v>出怪口错误</v>
      </c>
      <c r="CZ74" s="35">
        <v>3</v>
      </c>
      <c r="DA74" s="33">
        <f t="shared" si="157"/>
        <v>39</v>
      </c>
      <c r="DB74" s="6" t="str">
        <f t="shared" si="65"/>
        <v>出怪口错误</v>
      </c>
      <c r="DC74" s="1">
        <f t="shared" si="199"/>
        <v>17</v>
      </c>
    </row>
    <row r="75" s="2" customFormat="1" spans="5:107">
      <c r="E75" s="25" t="s">
        <v>1300</v>
      </c>
      <c r="F75" s="26"/>
      <c r="G75" s="27"/>
      <c r="H75" s="27"/>
      <c r="I75" s="27"/>
      <c r="J75" s="27"/>
      <c r="K75" s="27"/>
      <c r="L75" s="27"/>
      <c r="M75" s="27"/>
      <c r="N75" s="28"/>
      <c r="O75" s="26"/>
      <c r="P75" s="27"/>
      <c r="Q75" s="27"/>
      <c r="R75" s="29"/>
      <c r="U75" s="2">
        <v>73</v>
      </c>
      <c r="V75" s="1" t="str">
        <f t="shared" si="179"/>
        <v>1</v>
      </c>
      <c r="W75" s="1">
        <v>111</v>
      </c>
      <c r="X75" s="30" t="s">
        <v>1196</v>
      </c>
      <c r="Y75" s="3">
        <f>出怪成长!C74</f>
        <v>15</v>
      </c>
      <c r="Z75" s="31" t="str">
        <f t="shared" si="160"/>
        <v>1:2:出怪口错误|1:11:出怪口错误|2:19:出怪口错误|2:10:出怪口错误#2:10:出怪口错误#3:10:出怪口错误|3:9:出怪口错误#2:9:出怪口错误#3:9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75" s="5">
        <f t="shared" si="200"/>
        <v>1</v>
      </c>
      <c r="AB75" s="32">
        <f t="shared" si="180"/>
        <v>2</v>
      </c>
      <c r="AC75" s="6" t="str">
        <f t="shared" si="170"/>
        <v>出怪口错误</v>
      </c>
      <c r="AD75" s="5">
        <f t="shared" si="181"/>
        <v>1</v>
      </c>
      <c r="AE75" s="32">
        <f t="shared" si="182"/>
        <v>11</v>
      </c>
      <c r="AF75" s="6" t="str">
        <f t="shared" si="183"/>
        <v>出怪口错误</v>
      </c>
      <c r="AG75" s="13">
        <v>9.19999999999999</v>
      </c>
      <c r="AH75" s="5">
        <f t="shared" si="184"/>
        <v>2</v>
      </c>
      <c r="AI75" s="32">
        <f t="shared" si="171"/>
        <v>19</v>
      </c>
      <c r="AJ75" s="6" t="str">
        <f t="shared" si="172"/>
        <v>出怪口错误</v>
      </c>
      <c r="AK75" s="34">
        <f>AK67+AK$1</f>
        <v>8.5</v>
      </c>
      <c r="AL75" s="5">
        <f t="shared" si="186"/>
        <v>2</v>
      </c>
      <c r="AM75" s="33">
        <f t="shared" si="133"/>
        <v>10</v>
      </c>
      <c r="AN75" s="6" t="str">
        <f t="shared" si="173"/>
        <v>出怪口错误</v>
      </c>
      <c r="AO75" s="35">
        <v>2</v>
      </c>
      <c r="AP75" s="33">
        <f t="shared" si="134"/>
        <v>10</v>
      </c>
      <c r="AQ75" s="6" t="str">
        <f t="shared" si="50"/>
        <v>出怪口错误</v>
      </c>
      <c r="AR75" s="35">
        <v>3</v>
      </c>
      <c r="AS75" s="33">
        <f t="shared" si="135"/>
        <v>10</v>
      </c>
      <c r="AT75" s="6" t="str">
        <f t="shared" si="51"/>
        <v>出怪口错误</v>
      </c>
      <c r="AU75" s="34">
        <f>AU67+AU$1</f>
        <v>13</v>
      </c>
      <c r="AV75" s="5">
        <f t="shared" si="188"/>
        <v>3</v>
      </c>
      <c r="AW75" s="33">
        <f t="shared" si="137"/>
        <v>9</v>
      </c>
      <c r="AX75" s="6" t="str">
        <f t="shared" si="174"/>
        <v>出怪口错误</v>
      </c>
      <c r="AY75" s="35">
        <v>2</v>
      </c>
      <c r="AZ75" s="33">
        <f t="shared" si="138"/>
        <v>9</v>
      </c>
      <c r="BA75" s="6" t="str">
        <f t="shared" si="52"/>
        <v>出怪口错误</v>
      </c>
      <c r="BB75" s="35">
        <v>3</v>
      </c>
      <c r="BC75" s="33">
        <f t="shared" si="139"/>
        <v>9</v>
      </c>
      <c r="BD75" s="6" t="str">
        <f t="shared" si="53"/>
        <v>出怪口错误</v>
      </c>
      <c r="BE75" s="7">
        <f>BE67+BE$1</f>
        <v>14</v>
      </c>
      <c r="BF75" s="5">
        <f t="shared" si="190"/>
        <v>3</v>
      </c>
      <c r="BG75" s="33">
        <f t="shared" si="141"/>
        <v>12</v>
      </c>
      <c r="BH75" s="6" t="str">
        <f t="shared" si="175"/>
        <v>出怪口错误</v>
      </c>
      <c r="BI75" s="35">
        <v>2</v>
      </c>
      <c r="BJ75" s="33">
        <f t="shared" si="142"/>
        <v>12</v>
      </c>
      <c r="BK75" s="6" t="str">
        <f t="shared" si="54"/>
        <v>出怪口错误</v>
      </c>
      <c r="BL75" s="35">
        <v>3</v>
      </c>
      <c r="BM75" s="33">
        <f t="shared" si="159"/>
        <v>12</v>
      </c>
      <c r="BN75" s="6" t="str">
        <f t="shared" si="55"/>
        <v>出怪口错误</v>
      </c>
      <c r="BO75" s="7">
        <f>BO67+BO$1</f>
        <v>18.5</v>
      </c>
      <c r="BP75" s="5">
        <f t="shared" si="192"/>
        <v>4</v>
      </c>
      <c r="BQ75" s="33">
        <f t="shared" si="144"/>
        <v>15</v>
      </c>
      <c r="BR75" s="6" t="str">
        <f t="shared" si="176"/>
        <v>出怪口错误</v>
      </c>
      <c r="BS75" s="35">
        <v>2</v>
      </c>
      <c r="BT75" s="33">
        <f t="shared" si="145"/>
        <v>15</v>
      </c>
      <c r="BU75" s="6" t="str">
        <f t="shared" si="57"/>
        <v>出怪口错误</v>
      </c>
      <c r="BV75" s="35">
        <v>3</v>
      </c>
      <c r="BW75" s="33">
        <f t="shared" si="146"/>
        <v>15</v>
      </c>
      <c r="BX75" s="6" t="str">
        <f t="shared" si="58"/>
        <v>出怪口错误</v>
      </c>
      <c r="BY75" s="7">
        <f>BY67+BY$1</f>
        <v>18.5</v>
      </c>
      <c r="BZ75" s="5">
        <f t="shared" si="194"/>
        <v>4</v>
      </c>
      <c r="CA75" s="33">
        <f t="shared" si="148"/>
        <v>18</v>
      </c>
      <c r="CB75" s="6" t="str">
        <f t="shared" si="177"/>
        <v>出怪口错误</v>
      </c>
      <c r="CC75" s="35">
        <v>2</v>
      </c>
      <c r="CD75" s="33">
        <f t="shared" si="149"/>
        <v>18</v>
      </c>
      <c r="CE75" s="6" t="str">
        <f t="shared" si="60"/>
        <v>出怪口错误</v>
      </c>
      <c r="CF75" s="35">
        <v>3</v>
      </c>
      <c r="CG75" s="33">
        <f t="shared" si="150"/>
        <v>18</v>
      </c>
      <c r="CH75" s="6" t="str">
        <f t="shared" si="61"/>
        <v>出怪口错误</v>
      </c>
      <c r="CI75" s="7">
        <f>CI67+CI$1</f>
        <v>18.5</v>
      </c>
      <c r="CJ75" s="15">
        <f t="shared" si="196"/>
        <v>1</v>
      </c>
      <c r="CK75" s="33">
        <f t="shared" si="152"/>
        <v>24</v>
      </c>
      <c r="CL75" s="6" t="str">
        <f t="shared" si="178"/>
        <v>出怪口错误</v>
      </c>
      <c r="CM75" s="35">
        <v>2</v>
      </c>
      <c r="CN75" s="33">
        <f t="shared" si="153"/>
        <v>24</v>
      </c>
      <c r="CO75" s="6" t="str">
        <f t="shared" si="62"/>
        <v>出怪口错误</v>
      </c>
      <c r="CP75" s="35">
        <v>3</v>
      </c>
      <c r="CQ75" s="33">
        <f t="shared" si="154"/>
        <v>24</v>
      </c>
      <c r="CR75" s="6" t="str">
        <f t="shared" si="63"/>
        <v>出怪口错误</v>
      </c>
      <c r="CS75" s="7">
        <f>CS67+CS$1</f>
        <v>18.5</v>
      </c>
      <c r="CT75" s="15">
        <f t="shared" si="198"/>
        <v>2</v>
      </c>
      <c r="CU75" s="32">
        <f t="shared" si="201"/>
        <v>42</v>
      </c>
      <c r="CV75" s="6" t="str">
        <f t="shared" si="202"/>
        <v>出怪口错误</v>
      </c>
      <c r="CW75" s="35">
        <v>2</v>
      </c>
      <c r="CX75" s="33">
        <f t="shared" si="156"/>
        <v>28</v>
      </c>
      <c r="CY75" s="6" t="str">
        <f t="shared" si="64"/>
        <v>出怪口错误</v>
      </c>
      <c r="CZ75" s="35">
        <v>3</v>
      </c>
      <c r="DA75" s="33">
        <f t="shared" si="157"/>
        <v>42</v>
      </c>
      <c r="DB75" s="6" t="str">
        <f t="shared" si="65"/>
        <v>出怪口错误</v>
      </c>
      <c r="DC75" s="34">
        <f>DC67+DC$1</f>
        <v>18.5</v>
      </c>
    </row>
    <row r="76" s="2" customFormat="1" spans="5:107">
      <c r="E76" s="25" t="s">
        <v>1301</v>
      </c>
      <c r="F76" s="26"/>
      <c r="G76" s="27"/>
      <c r="H76" s="27"/>
      <c r="I76" s="27"/>
      <c r="J76" s="27"/>
      <c r="K76" s="27"/>
      <c r="L76" s="27"/>
      <c r="M76" s="27"/>
      <c r="N76" s="28"/>
      <c r="O76" s="26"/>
      <c r="P76" s="27"/>
      <c r="Q76" s="27"/>
      <c r="R76" s="29"/>
      <c r="U76" s="2">
        <v>74</v>
      </c>
      <c r="V76" s="1" t="str">
        <f t="shared" si="179"/>
        <v>2</v>
      </c>
      <c r="W76" s="1">
        <v>112</v>
      </c>
      <c r="X76" s="30" t="s">
        <v>1197</v>
      </c>
      <c r="Y76" s="3">
        <f>出怪成长!C75</f>
        <v>15</v>
      </c>
      <c r="Z76" s="31" t="str">
        <f t="shared" si="160"/>
        <v>1:2:出怪口错误|1:11:出怪口错误|2:19:出怪口错误|2:10:出怪口错误#2:10:出怪口错误#3:10:出怪口错误|3:9:出怪口错误#2:9:出怪口错误#3:9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76" s="5">
        <f t="shared" si="200"/>
        <v>1</v>
      </c>
      <c r="AB76" s="32">
        <f t="shared" si="180"/>
        <v>2</v>
      </c>
      <c r="AC76" s="6" t="str">
        <f t="shared" si="170"/>
        <v>出怪口错误</v>
      </c>
      <c r="AD76" s="5">
        <f t="shared" si="181"/>
        <v>1</v>
      </c>
      <c r="AE76" s="32">
        <f t="shared" si="182"/>
        <v>11</v>
      </c>
      <c r="AF76" s="6" t="str">
        <f t="shared" si="183"/>
        <v>出怪口错误</v>
      </c>
      <c r="AG76" s="13">
        <v>9.29999999999999</v>
      </c>
      <c r="AH76" s="5">
        <f t="shared" si="184"/>
        <v>2</v>
      </c>
      <c r="AI76" s="32">
        <f t="shared" si="171"/>
        <v>19</v>
      </c>
      <c r="AJ76" s="6" t="str">
        <f t="shared" si="172"/>
        <v>出怪口错误</v>
      </c>
      <c r="AK76" s="1">
        <f t="shared" ref="AK76:AK82" si="203">AK75</f>
        <v>8.5</v>
      </c>
      <c r="AL76" s="5">
        <f t="shared" si="186"/>
        <v>2</v>
      </c>
      <c r="AM76" s="33">
        <f t="shared" si="133"/>
        <v>10</v>
      </c>
      <c r="AN76" s="6" t="str">
        <f t="shared" si="173"/>
        <v>出怪口错误</v>
      </c>
      <c r="AO76" s="35">
        <v>2</v>
      </c>
      <c r="AP76" s="33">
        <f t="shared" si="134"/>
        <v>10</v>
      </c>
      <c r="AQ76" s="6" t="str">
        <f t="shared" si="50"/>
        <v>出怪口错误</v>
      </c>
      <c r="AR76" s="35">
        <v>3</v>
      </c>
      <c r="AS76" s="33">
        <f t="shared" si="135"/>
        <v>10</v>
      </c>
      <c r="AT76" s="6" t="str">
        <f t="shared" si="51"/>
        <v>出怪口错误</v>
      </c>
      <c r="AU76" s="1">
        <f t="shared" ref="AU76:AU82" si="204">AU75</f>
        <v>13</v>
      </c>
      <c r="AV76" s="5">
        <f t="shared" si="188"/>
        <v>3</v>
      </c>
      <c r="AW76" s="33">
        <f t="shared" si="137"/>
        <v>9</v>
      </c>
      <c r="AX76" s="6" t="str">
        <f t="shared" si="174"/>
        <v>出怪口错误</v>
      </c>
      <c r="AY76" s="35">
        <v>2</v>
      </c>
      <c r="AZ76" s="33">
        <f t="shared" si="138"/>
        <v>9</v>
      </c>
      <c r="BA76" s="6" t="str">
        <f t="shared" si="52"/>
        <v>出怪口错误</v>
      </c>
      <c r="BB76" s="35">
        <v>3</v>
      </c>
      <c r="BC76" s="33">
        <f t="shared" si="139"/>
        <v>9</v>
      </c>
      <c r="BD76" s="6" t="str">
        <f t="shared" si="53"/>
        <v>出怪口错误</v>
      </c>
      <c r="BE76" s="8">
        <f t="shared" ref="BE76:BE82" si="205">BE75</f>
        <v>14</v>
      </c>
      <c r="BF76" s="5">
        <f t="shared" si="190"/>
        <v>3</v>
      </c>
      <c r="BG76" s="33">
        <f t="shared" si="141"/>
        <v>12</v>
      </c>
      <c r="BH76" s="6" t="str">
        <f t="shared" si="175"/>
        <v>出怪口错误</v>
      </c>
      <c r="BI76" s="35">
        <v>2</v>
      </c>
      <c r="BJ76" s="33">
        <f t="shared" si="142"/>
        <v>12</v>
      </c>
      <c r="BK76" s="6" t="str">
        <f t="shared" si="54"/>
        <v>出怪口错误</v>
      </c>
      <c r="BL76" s="35">
        <v>3</v>
      </c>
      <c r="BM76" s="33">
        <f t="shared" si="159"/>
        <v>12</v>
      </c>
      <c r="BN76" s="6" t="str">
        <f t="shared" si="55"/>
        <v>出怪口错误</v>
      </c>
      <c r="BO76" s="8">
        <f t="shared" ref="BO76:BO82" si="206">BO75</f>
        <v>18.5</v>
      </c>
      <c r="BP76" s="5">
        <f t="shared" si="192"/>
        <v>4</v>
      </c>
      <c r="BQ76" s="33">
        <f t="shared" si="144"/>
        <v>15</v>
      </c>
      <c r="BR76" s="6" t="str">
        <f t="shared" si="176"/>
        <v>出怪口错误</v>
      </c>
      <c r="BS76" s="35">
        <v>2</v>
      </c>
      <c r="BT76" s="33">
        <f t="shared" si="145"/>
        <v>15</v>
      </c>
      <c r="BU76" s="6" t="str">
        <f t="shared" si="57"/>
        <v>出怪口错误</v>
      </c>
      <c r="BV76" s="35">
        <v>3</v>
      </c>
      <c r="BW76" s="33">
        <f t="shared" si="146"/>
        <v>15</v>
      </c>
      <c r="BX76" s="6" t="str">
        <f t="shared" si="58"/>
        <v>出怪口错误</v>
      </c>
      <c r="BY76" s="8">
        <f t="shared" ref="BY76:BY82" si="207">BY75</f>
        <v>18.5</v>
      </c>
      <c r="BZ76" s="5">
        <f t="shared" si="194"/>
        <v>4</v>
      </c>
      <c r="CA76" s="33">
        <f t="shared" si="148"/>
        <v>18</v>
      </c>
      <c r="CB76" s="6" t="str">
        <f t="shared" si="177"/>
        <v>出怪口错误</v>
      </c>
      <c r="CC76" s="35">
        <v>2</v>
      </c>
      <c r="CD76" s="33">
        <f t="shared" si="149"/>
        <v>18</v>
      </c>
      <c r="CE76" s="6" t="str">
        <f t="shared" si="60"/>
        <v>出怪口错误</v>
      </c>
      <c r="CF76" s="35">
        <v>3</v>
      </c>
      <c r="CG76" s="33">
        <f t="shared" si="150"/>
        <v>18</v>
      </c>
      <c r="CH76" s="6" t="str">
        <f t="shared" si="61"/>
        <v>出怪口错误</v>
      </c>
      <c r="CI76" s="8">
        <f t="shared" ref="CI76:CI82" si="208">CI75</f>
        <v>18.5</v>
      </c>
      <c r="CJ76" s="15">
        <f t="shared" si="196"/>
        <v>1</v>
      </c>
      <c r="CK76" s="33">
        <f t="shared" si="152"/>
        <v>24</v>
      </c>
      <c r="CL76" s="6" t="str">
        <f t="shared" si="178"/>
        <v>出怪口错误</v>
      </c>
      <c r="CM76" s="35">
        <v>2</v>
      </c>
      <c r="CN76" s="33">
        <f t="shared" si="153"/>
        <v>24</v>
      </c>
      <c r="CO76" s="6" t="str">
        <f t="shared" si="62"/>
        <v>出怪口错误</v>
      </c>
      <c r="CP76" s="35">
        <v>3</v>
      </c>
      <c r="CQ76" s="33">
        <f t="shared" si="154"/>
        <v>24</v>
      </c>
      <c r="CR76" s="6" t="str">
        <f t="shared" si="63"/>
        <v>出怪口错误</v>
      </c>
      <c r="CS76" s="8">
        <f t="shared" ref="CS76:CS82" si="209">CS75</f>
        <v>18.5</v>
      </c>
      <c r="CT76" s="15">
        <f t="shared" si="198"/>
        <v>2</v>
      </c>
      <c r="CU76" s="33">
        <f t="shared" si="201"/>
        <v>42</v>
      </c>
      <c r="CV76" s="6" t="str">
        <f t="shared" si="202"/>
        <v>出怪口错误</v>
      </c>
      <c r="CW76" s="35">
        <v>2</v>
      </c>
      <c r="CX76" s="33">
        <f t="shared" si="156"/>
        <v>28</v>
      </c>
      <c r="CY76" s="6" t="str">
        <f t="shared" si="64"/>
        <v>出怪口错误</v>
      </c>
      <c r="CZ76" s="35">
        <v>3</v>
      </c>
      <c r="DA76" s="33">
        <f t="shared" si="157"/>
        <v>42</v>
      </c>
      <c r="DB76" s="6" t="str">
        <f t="shared" si="65"/>
        <v>出怪口错误</v>
      </c>
      <c r="DC76" s="1">
        <f t="shared" ref="DC76:DC82" si="210">DC75</f>
        <v>18.5</v>
      </c>
    </row>
    <row r="77" s="2" customFormat="1" spans="5:107">
      <c r="E77" s="25" t="s">
        <v>1302</v>
      </c>
      <c r="F77" s="26"/>
      <c r="G77" s="27"/>
      <c r="H77" s="27"/>
      <c r="I77" s="27"/>
      <c r="J77" s="27"/>
      <c r="K77" s="27"/>
      <c r="L77" s="27"/>
      <c r="M77" s="27"/>
      <c r="N77" s="28"/>
      <c r="O77" s="26"/>
      <c r="P77" s="27"/>
      <c r="Q77" s="27"/>
      <c r="R77" s="29"/>
      <c r="U77" s="2">
        <v>75</v>
      </c>
      <c r="V77" s="1" t="str">
        <f t="shared" si="179"/>
        <v>3</v>
      </c>
      <c r="W77" s="1">
        <v>113</v>
      </c>
      <c r="X77" s="30" t="s">
        <v>1198</v>
      </c>
      <c r="Y77" s="3">
        <f>出怪成长!C76</f>
        <v>15</v>
      </c>
      <c r="Z77" s="31" t="str">
        <f t="shared" si="160"/>
        <v>1:2:出怪口错误|1:11:出怪口错误|2:19:出怪口错误|2:10:出怪口错误#2:10:出怪口错误#3:10:出怪口错误|3:9:出怪口错误#2:9:出怪口错误#3:9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77" s="5">
        <f t="shared" si="200"/>
        <v>1</v>
      </c>
      <c r="AB77" s="32">
        <f t="shared" si="180"/>
        <v>2</v>
      </c>
      <c r="AC77" s="6" t="str">
        <f t="shared" si="170"/>
        <v>出怪口错误</v>
      </c>
      <c r="AD77" s="5">
        <f t="shared" si="181"/>
        <v>1</v>
      </c>
      <c r="AE77" s="32">
        <f t="shared" si="182"/>
        <v>11</v>
      </c>
      <c r="AF77" s="6" t="str">
        <f t="shared" si="183"/>
        <v>出怪口错误</v>
      </c>
      <c r="AG77" s="13">
        <v>9.39999999999999</v>
      </c>
      <c r="AH77" s="5">
        <f t="shared" si="184"/>
        <v>2</v>
      </c>
      <c r="AI77" s="32">
        <f t="shared" si="171"/>
        <v>19</v>
      </c>
      <c r="AJ77" s="6" t="str">
        <f t="shared" si="172"/>
        <v>出怪口错误</v>
      </c>
      <c r="AK77" s="1">
        <f t="shared" si="203"/>
        <v>8.5</v>
      </c>
      <c r="AL77" s="5">
        <f t="shared" si="186"/>
        <v>2</v>
      </c>
      <c r="AM77" s="33">
        <f t="shared" si="133"/>
        <v>10</v>
      </c>
      <c r="AN77" s="6" t="str">
        <f t="shared" si="173"/>
        <v>出怪口错误</v>
      </c>
      <c r="AO77" s="35">
        <v>2</v>
      </c>
      <c r="AP77" s="33">
        <f t="shared" si="134"/>
        <v>10</v>
      </c>
      <c r="AQ77" s="6" t="str">
        <f t="shared" si="50"/>
        <v>出怪口错误</v>
      </c>
      <c r="AR77" s="35">
        <v>3</v>
      </c>
      <c r="AS77" s="33">
        <f t="shared" si="135"/>
        <v>10</v>
      </c>
      <c r="AT77" s="6" t="str">
        <f t="shared" si="51"/>
        <v>出怪口错误</v>
      </c>
      <c r="AU77" s="1">
        <f t="shared" si="204"/>
        <v>13</v>
      </c>
      <c r="AV77" s="5">
        <f t="shared" si="188"/>
        <v>3</v>
      </c>
      <c r="AW77" s="33">
        <f t="shared" si="137"/>
        <v>9</v>
      </c>
      <c r="AX77" s="6" t="str">
        <f t="shared" si="174"/>
        <v>出怪口错误</v>
      </c>
      <c r="AY77" s="35">
        <v>2</v>
      </c>
      <c r="AZ77" s="33">
        <f t="shared" si="138"/>
        <v>9</v>
      </c>
      <c r="BA77" s="6" t="str">
        <f t="shared" si="52"/>
        <v>出怪口错误</v>
      </c>
      <c r="BB77" s="35">
        <v>3</v>
      </c>
      <c r="BC77" s="33">
        <f t="shared" si="139"/>
        <v>9</v>
      </c>
      <c r="BD77" s="6" t="str">
        <f t="shared" si="53"/>
        <v>出怪口错误</v>
      </c>
      <c r="BE77" s="8">
        <f t="shared" si="205"/>
        <v>14</v>
      </c>
      <c r="BF77" s="5">
        <f t="shared" si="190"/>
        <v>3</v>
      </c>
      <c r="BG77" s="33">
        <f t="shared" si="141"/>
        <v>12</v>
      </c>
      <c r="BH77" s="6" t="str">
        <f t="shared" si="175"/>
        <v>出怪口错误</v>
      </c>
      <c r="BI77" s="35">
        <v>2</v>
      </c>
      <c r="BJ77" s="33">
        <f t="shared" si="142"/>
        <v>12</v>
      </c>
      <c r="BK77" s="6" t="str">
        <f t="shared" si="54"/>
        <v>出怪口错误</v>
      </c>
      <c r="BL77" s="35">
        <v>3</v>
      </c>
      <c r="BM77" s="33">
        <f t="shared" si="159"/>
        <v>12</v>
      </c>
      <c r="BN77" s="6" t="str">
        <f t="shared" si="55"/>
        <v>出怪口错误</v>
      </c>
      <c r="BO77" s="8">
        <f t="shared" si="206"/>
        <v>18.5</v>
      </c>
      <c r="BP77" s="5">
        <f t="shared" si="192"/>
        <v>4</v>
      </c>
      <c r="BQ77" s="33">
        <f t="shared" si="144"/>
        <v>15</v>
      </c>
      <c r="BR77" s="6" t="str">
        <f t="shared" si="176"/>
        <v>出怪口错误</v>
      </c>
      <c r="BS77" s="35">
        <v>2</v>
      </c>
      <c r="BT77" s="33">
        <f t="shared" si="145"/>
        <v>15</v>
      </c>
      <c r="BU77" s="6" t="str">
        <f t="shared" si="57"/>
        <v>出怪口错误</v>
      </c>
      <c r="BV77" s="35">
        <v>3</v>
      </c>
      <c r="BW77" s="33">
        <f t="shared" si="146"/>
        <v>15</v>
      </c>
      <c r="BX77" s="6" t="str">
        <f t="shared" si="58"/>
        <v>出怪口错误</v>
      </c>
      <c r="BY77" s="8">
        <f t="shared" si="207"/>
        <v>18.5</v>
      </c>
      <c r="BZ77" s="5">
        <f t="shared" si="194"/>
        <v>4</v>
      </c>
      <c r="CA77" s="33">
        <f t="shared" si="148"/>
        <v>18</v>
      </c>
      <c r="CB77" s="6" t="str">
        <f t="shared" si="177"/>
        <v>出怪口错误</v>
      </c>
      <c r="CC77" s="35">
        <v>2</v>
      </c>
      <c r="CD77" s="33">
        <f t="shared" si="149"/>
        <v>18</v>
      </c>
      <c r="CE77" s="6" t="str">
        <f t="shared" si="60"/>
        <v>出怪口错误</v>
      </c>
      <c r="CF77" s="35">
        <v>3</v>
      </c>
      <c r="CG77" s="33">
        <f t="shared" si="150"/>
        <v>18</v>
      </c>
      <c r="CH77" s="6" t="str">
        <f t="shared" si="61"/>
        <v>出怪口错误</v>
      </c>
      <c r="CI77" s="8">
        <f t="shared" si="208"/>
        <v>18.5</v>
      </c>
      <c r="CJ77" s="15">
        <f t="shared" si="196"/>
        <v>1</v>
      </c>
      <c r="CK77" s="33">
        <f t="shared" si="152"/>
        <v>24</v>
      </c>
      <c r="CL77" s="6" t="str">
        <f t="shared" si="178"/>
        <v>出怪口错误</v>
      </c>
      <c r="CM77" s="35">
        <v>2</v>
      </c>
      <c r="CN77" s="33">
        <f t="shared" si="153"/>
        <v>24</v>
      </c>
      <c r="CO77" s="6" t="str">
        <f t="shared" si="62"/>
        <v>出怪口错误</v>
      </c>
      <c r="CP77" s="35">
        <v>3</v>
      </c>
      <c r="CQ77" s="33">
        <f t="shared" si="154"/>
        <v>24</v>
      </c>
      <c r="CR77" s="6" t="str">
        <f t="shared" si="63"/>
        <v>出怪口错误</v>
      </c>
      <c r="CS77" s="8">
        <f t="shared" si="209"/>
        <v>18.5</v>
      </c>
      <c r="CT77" s="15">
        <f t="shared" si="198"/>
        <v>2</v>
      </c>
      <c r="CU77" s="32">
        <f t="shared" si="201"/>
        <v>42</v>
      </c>
      <c r="CV77" s="6" t="str">
        <f t="shared" si="202"/>
        <v>出怪口错误</v>
      </c>
      <c r="CW77" s="35">
        <v>2</v>
      </c>
      <c r="CX77" s="33">
        <f t="shared" si="156"/>
        <v>28</v>
      </c>
      <c r="CY77" s="6" t="str">
        <f t="shared" si="64"/>
        <v>出怪口错误</v>
      </c>
      <c r="CZ77" s="35">
        <v>3</v>
      </c>
      <c r="DA77" s="33">
        <f t="shared" si="157"/>
        <v>42</v>
      </c>
      <c r="DB77" s="6" t="str">
        <f t="shared" si="65"/>
        <v>出怪口错误</v>
      </c>
      <c r="DC77" s="1">
        <f t="shared" si="210"/>
        <v>18.5</v>
      </c>
    </row>
    <row r="78" s="2" customFormat="1" spans="5:107">
      <c r="E78" s="25" t="s">
        <v>1303</v>
      </c>
      <c r="F78" s="26"/>
      <c r="G78" s="27"/>
      <c r="H78" s="27"/>
      <c r="I78" s="27"/>
      <c r="J78" s="27"/>
      <c r="K78" s="27"/>
      <c r="L78" s="27"/>
      <c r="M78" s="27"/>
      <c r="N78" s="28"/>
      <c r="O78" s="26"/>
      <c r="P78" s="27"/>
      <c r="Q78" s="27"/>
      <c r="R78" s="29"/>
      <c r="U78" s="2">
        <v>76</v>
      </c>
      <c r="V78" s="1" t="str">
        <f t="shared" si="179"/>
        <v>4</v>
      </c>
      <c r="W78" s="1">
        <v>114</v>
      </c>
      <c r="X78" s="30" t="s">
        <v>1199</v>
      </c>
      <c r="Y78" s="3">
        <f>出怪成长!C77</f>
        <v>15</v>
      </c>
      <c r="Z78" s="31" t="str">
        <f t="shared" si="160"/>
        <v>1:2:出怪口错误|1:11:出怪口错误|2:19:出怪口错误|2:10:出怪口错误#2:10:出怪口错误#3:10:出怪口错误|3:9:出怪口错误#2:9:出怪口错误#3:9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78" s="5">
        <f t="shared" si="200"/>
        <v>1</v>
      </c>
      <c r="AB78" s="32">
        <f t="shared" si="180"/>
        <v>2</v>
      </c>
      <c r="AC78" s="6" t="str">
        <f t="shared" si="170"/>
        <v>出怪口错误</v>
      </c>
      <c r="AD78" s="5">
        <f t="shared" si="181"/>
        <v>1</v>
      </c>
      <c r="AE78" s="32">
        <f t="shared" si="182"/>
        <v>11</v>
      </c>
      <c r="AF78" s="6" t="str">
        <f t="shared" si="183"/>
        <v>出怪口错误</v>
      </c>
      <c r="AG78" s="13">
        <v>9.49999999999999</v>
      </c>
      <c r="AH78" s="5">
        <f t="shared" si="184"/>
        <v>2</v>
      </c>
      <c r="AI78" s="32">
        <f t="shared" si="171"/>
        <v>19</v>
      </c>
      <c r="AJ78" s="6" t="str">
        <f t="shared" si="172"/>
        <v>出怪口错误</v>
      </c>
      <c r="AK78" s="1">
        <f t="shared" si="203"/>
        <v>8.5</v>
      </c>
      <c r="AL78" s="5">
        <f t="shared" si="186"/>
        <v>2</v>
      </c>
      <c r="AM78" s="33">
        <f t="shared" si="133"/>
        <v>10</v>
      </c>
      <c r="AN78" s="6" t="str">
        <f t="shared" si="173"/>
        <v>出怪口错误</v>
      </c>
      <c r="AO78" s="35">
        <v>2</v>
      </c>
      <c r="AP78" s="33">
        <f t="shared" si="134"/>
        <v>10</v>
      </c>
      <c r="AQ78" s="6" t="str">
        <f t="shared" si="50"/>
        <v>出怪口错误</v>
      </c>
      <c r="AR78" s="35">
        <v>3</v>
      </c>
      <c r="AS78" s="33">
        <f t="shared" si="135"/>
        <v>10</v>
      </c>
      <c r="AT78" s="6" t="str">
        <f t="shared" si="51"/>
        <v>出怪口错误</v>
      </c>
      <c r="AU78" s="1">
        <f t="shared" si="204"/>
        <v>13</v>
      </c>
      <c r="AV78" s="5">
        <f t="shared" si="188"/>
        <v>3</v>
      </c>
      <c r="AW78" s="33">
        <f t="shared" si="137"/>
        <v>9</v>
      </c>
      <c r="AX78" s="6" t="str">
        <f t="shared" si="174"/>
        <v>出怪口错误</v>
      </c>
      <c r="AY78" s="35">
        <v>2</v>
      </c>
      <c r="AZ78" s="33">
        <f t="shared" si="138"/>
        <v>9</v>
      </c>
      <c r="BA78" s="6" t="str">
        <f t="shared" si="52"/>
        <v>出怪口错误</v>
      </c>
      <c r="BB78" s="35">
        <v>3</v>
      </c>
      <c r="BC78" s="33">
        <f t="shared" si="139"/>
        <v>9</v>
      </c>
      <c r="BD78" s="6" t="str">
        <f t="shared" si="53"/>
        <v>出怪口错误</v>
      </c>
      <c r="BE78" s="8">
        <f t="shared" si="205"/>
        <v>14</v>
      </c>
      <c r="BF78" s="5">
        <f t="shared" si="190"/>
        <v>3</v>
      </c>
      <c r="BG78" s="33">
        <f t="shared" si="141"/>
        <v>12</v>
      </c>
      <c r="BH78" s="6" t="str">
        <f t="shared" si="175"/>
        <v>出怪口错误</v>
      </c>
      <c r="BI78" s="35">
        <v>2</v>
      </c>
      <c r="BJ78" s="33">
        <f t="shared" si="142"/>
        <v>12</v>
      </c>
      <c r="BK78" s="6" t="str">
        <f t="shared" si="54"/>
        <v>出怪口错误</v>
      </c>
      <c r="BL78" s="35">
        <v>3</v>
      </c>
      <c r="BM78" s="33">
        <f t="shared" si="159"/>
        <v>12</v>
      </c>
      <c r="BN78" s="6" t="str">
        <f t="shared" si="55"/>
        <v>出怪口错误</v>
      </c>
      <c r="BO78" s="8">
        <f t="shared" si="206"/>
        <v>18.5</v>
      </c>
      <c r="BP78" s="5">
        <f t="shared" si="192"/>
        <v>4</v>
      </c>
      <c r="BQ78" s="33">
        <f t="shared" si="144"/>
        <v>15</v>
      </c>
      <c r="BR78" s="6" t="str">
        <f t="shared" si="176"/>
        <v>出怪口错误</v>
      </c>
      <c r="BS78" s="35">
        <v>2</v>
      </c>
      <c r="BT78" s="33">
        <f t="shared" si="145"/>
        <v>15</v>
      </c>
      <c r="BU78" s="6" t="str">
        <f t="shared" si="57"/>
        <v>出怪口错误</v>
      </c>
      <c r="BV78" s="35">
        <v>3</v>
      </c>
      <c r="BW78" s="33">
        <f t="shared" si="146"/>
        <v>15</v>
      </c>
      <c r="BX78" s="6" t="str">
        <f t="shared" si="58"/>
        <v>出怪口错误</v>
      </c>
      <c r="BY78" s="8">
        <f t="shared" si="207"/>
        <v>18.5</v>
      </c>
      <c r="BZ78" s="5">
        <f t="shared" si="194"/>
        <v>4</v>
      </c>
      <c r="CA78" s="33">
        <f t="shared" si="148"/>
        <v>18</v>
      </c>
      <c r="CB78" s="6" t="str">
        <f t="shared" si="177"/>
        <v>出怪口错误</v>
      </c>
      <c r="CC78" s="35">
        <v>2</v>
      </c>
      <c r="CD78" s="33">
        <f t="shared" si="149"/>
        <v>18</v>
      </c>
      <c r="CE78" s="6" t="str">
        <f t="shared" si="60"/>
        <v>出怪口错误</v>
      </c>
      <c r="CF78" s="35">
        <v>3</v>
      </c>
      <c r="CG78" s="33">
        <f t="shared" si="150"/>
        <v>18</v>
      </c>
      <c r="CH78" s="6" t="str">
        <f t="shared" si="61"/>
        <v>出怪口错误</v>
      </c>
      <c r="CI78" s="8">
        <f t="shared" si="208"/>
        <v>18.5</v>
      </c>
      <c r="CJ78" s="15">
        <f t="shared" si="196"/>
        <v>1</v>
      </c>
      <c r="CK78" s="33">
        <f t="shared" si="152"/>
        <v>24</v>
      </c>
      <c r="CL78" s="6" t="str">
        <f t="shared" si="178"/>
        <v>出怪口错误</v>
      </c>
      <c r="CM78" s="35">
        <v>2</v>
      </c>
      <c r="CN78" s="33">
        <f t="shared" si="153"/>
        <v>24</v>
      </c>
      <c r="CO78" s="6" t="str">
        <f t="shared" si="62"/>
        <v>出怪口错误</v>
      </c>
      <c r="CP78" s="35">
        <v>3</v>
      </c>
      <c r="CQ78" s="33">
        <f t="shared" si="154"/>
        <v>24</v>
      </c>
      <c r="CR78" s="6" t="str">
        <f t="shared" si="63"/>
        <v>出怪口错误</v>
      </c>
      <c r="CS78" s="8">
        <f t="shared" si="209"/>
        <v>18.5</v>
      </c>
      <c r="CT78" s="15">
        <f t="shared" si="198"/>
        <v>2</v>
      </c>
      <c r="CU78" s="33">
        <f t="shared" si="201"/>
        <v>42</v>
      </c>
      <c r="CV78" s="6" t="str">
        <f t="shared" si="202"/>
        <v>出怪口错误</v>
      </c>
      <c r="CW78" s="35">
        <v>2</v>
      </c>
      <c r="CX78" s="33">
        <f t="shared" si="156"/>
        <v>28</v>
      </c>
      <c r="CY78" s="6" t="str">
        <f t="shared" si="64"/>
        <v>出怪口错误</v>
      </c>
      <c r="CZ78" s="35">
        <v>3</v>
      </c>
      <c r="DA78" s="33">
        <f t="shared" si="157"/>
        <v>42</v>
      </c>
      <c r="DB78" s="6" t="str">
        <f t="shared" si="65"/>
        <v>出怪口错误</v>
      </c>
      <c r="DC78" s="1">
        <f t="shared" si="210"/>
        <v>18.5</v>
      </c>
    </row>
    <row r="79" s="2" customFormat="1" spans="5:107">
      <c r="E79" s="25" t="s">
        <v>1304</v>
      </c>
      <c r="F79" s="26"/>
      <c r="G79" s="27"/>
      <c r="H79" s="27"/>
      <c r="I79" s="27"/>
      <c r="J79" s="27"/>
      <c r="K79" s="27"/>
      <c r="L79" s="27"/>
      <c r="M79" s="27"/>
      <c r="N79" s="28"/>
      <c r="O79" s="26"/>
      <c r="P79" s="27"/>
      <c r="Q79" s="27"/>
      <c r="R79" s="29"/>
      <c r="U79" s="2">
        <v>77</v>
      </c>
      <c r="V79" s="1" t="str">
        <f t="shared" si="179"/>
        <v>5</v>
      </c>
      <c r="W79" s="1">
        <v>115</v>
      </c>
      <c r="X79" s="30" t="s">
        <v>1200</v>
      </c>
      <c r="Y79" s="3">
        <f>出怪成长!C78</f>
        <v>15</v>
      </c>
      <c r="Z79" s="31" t="str">
        <f t="shared" si="160"/>
        <v>1:3:出怪口错误|1:12:出怪口错误|2:20:出怪口错误|2:11:出怪口错误#2:11:出怪口错误#3:11:出怪口错误|3:10:出怪口错误#2:10:出怪口错误#3:10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79" s="5">
        <f t="shared" si="200"/>
        <v>1</v>
      </c>
      <c r="AB79" s="32">
        <f t="shared" si="180"/>
        <v>3</v>
      </c>
      <c r="AC79" s="6" t="str">
        <f t="shared" si="170"/>
        <v>出怪口错误</v>
      </c>
      <c r="AD79" s="5">
        <f t="shared" si="181"/>
        <v>1</v>
      </c>
      <c r="AE79" s="32">
        <f t="shared" si="182"/>
        <v>12</v>
      </c>
      <c r="AF79" s="6" t="str">
        <f t="shared" si="183"/>
        <v>出怪口错误</v>
      </c>
      <c r="AG79" s="13">
        <v>9.59999999999999</v>
      </c>
      <c r="AH79" s="5">
        <f t="shared" si="184"/>
        <v>2</v>
      </c>
      <c r="AI79" s="32">
        <f t="shared" si="171"/>
        <v>20</v>
      </c>
      <c r="AJ79" s="6" t="str">
        <f t="shared" si="172"/>
        <v>出怪口错误</v>
      </c>
      <c r="AK79" s="1">
        <f t="shared" si="203"/>
        <v>8.5</v>
      </c>
      <c r="AL79" s="5">
        <f t="shared" si="186"/>
        <v>2</v>
      </c>
      <c r="AM79" s="33">
        <f t="shared" si="133"/>
        <v>11</v>
      </c>
      <c r="AN79" s="6" t="str">
        <f t="shared" si="173"/>
        <v>出怪口错误</v>
      </c>
      <c r="AO79" s="35">
        <v>2</v>
      </c>
      <c r="AP79" s="33">
        <f t="shared" si="134"/>
        <v>11</v>
      </c>
      <c r="AQ79" s="6" t="str">
        <f t="shared" si="50"/>
        <v>出怪口错误</v>
      </c>
      <c r="AR79" s="35">
        <v>3</v>
      </c>
      <c r="AS79" s="33">
        <f t="shared" si="135"/>
        <v>11</v>
      </c>
      <c r="AT79" s="6" t="str">
        <f t="shared" si="51"/>
        <v>出怪口错误</v>
      </c>
      <c r="AU79" s="1">
        <f t="shared" si="204"/>
        <v>13</v>
      </c>
      <c r="AV79" s="5">
        <f t="shared" si="188"/>
        <v>3</v>
      </c>
      <c r="AW79" s="33">
        <f t="shared" si="137"/>
        <v>10</v>
      </c>
      <c r="AX79" s="6" t="str">
        <f t="shared" si="174"/>
        <v>出怪口错误</v>
      </c>
      <c r="AY79" s="35">
        <v>2</v>
      </c>
      <c r="AZ79" s="33">
        <f t="shared" si="138"/>
        <v>10</v>
      </c>
      <c r="BA79" s="6" t="str">
        <f t="shared" si="52"/>
        <v>出怪口错误</v>
      </c>
      <c r="BB79" s="35">
        <v>3</v>
      </c>
      <c r="BC79" s="33">
        <f t="shared" si="139"/>
        <v>10</v>
      </c>
      <c r="BD79" s="6" t="str">
        <f t="shared" si="53"/>
        <v>出怪口错误</v>
      </c>
      <c r="BE79" s="8">
        <f t="shared" si="205"/>
        <v>14</v>
      </c>
      <c r="BF79" s="5">
        <f t="shared" si="190"/>
        <v>3</v>
      </c>
      <c r="BG79" s="33">
        <f t="shared" si="141"/>
        <v>12</v>
      </c>
      <c r="BH79" s="6" t="str">
        <f t="shared" si="175"/>
        <v>出怪口错误</v>
      </c>
      <c r="BI79" s="35">
        <v>2</v>
      </c>
      <c r="BJ79" s="33">
        <f t="shared" si="142"/>
        <v>12</v>
      </c>
      <c r="BK79" s="6" t="str">
        <f t="shared" si="54"/>
        <v>出怪口错误</v>
      </c>
      <c r="BL79" s="35">
        <v>3</v>
      </c>
      <c r="BM79" s="33">
        <f t="shared" si="159"/>
        <v>12</v>
      </c>
      <c r="BN79" s="6" t="str">
        <f t="shared" si="55"/>
        <v>出怪口错误</v>
      </c>
      <c r="BO79" s="8">
        <f t="shared" si="206"/>
        <v>18.5</v>
      </c>
      <c r="BP79" s="5">
        <f t="shared" si="192"/>
        <v>4</v>
      </c>
      <c r="BQ79" s="33">
        <f t="shared" si="144"/>
        <v>15</v>
      </c>
      <c r="BR79" s="6" t="str">
        <f t="shared" si="176"/>
        <v>出怪口错误</v>
      </c>
      <c r="BS79" s="35">
        <v>2</v>
      </c>
      <c r="BT79" s="33">
        <f t="shared" si="145"/>
        <v>15</v>
      </c>
      <c r="BU79" s="6" t="str">
        <f t="shared" si="57"/>
        <v>出怪口错误</v>
      </c>
      <c r="BV79" s="35">
        <v>3</v>
      </c>
      <c r="BW79" s="33">
        <f t="shared" si="146"/>
        <v>15</v>
      </c>
      <c r="BX79" s="6" t="str">
        <f t="shared" si="58"/>
        <v>出怪口错误</v>
      </c>
      <c r="BY79" s="8">
        <f t="shared" si="207"/>
        <v>18.5</v>
      </c>
      <c r="BZ79" s="5">
        <f t="shared" si="194"/>
        <v>4</v>
      </c>
      <c r="CA79" s="33">
        <f t="shared" si="148"/>
        <v>18</v>
      </c>
      <c r="CB79" s="6" t="str">
        <f t="shared" si="177"/>
        <v>出怪口错误</v>
      </c>
      <c r="CC79" s="35">
        <v>2</v>
      </c>
      <c r="CD79" s="33">
        <f t="shared" si="149"/>
        <v>18</v>
      </c>
      <c r="CE79" s="6" t="str">
        <f t="shared" si="60"/>
        <v>出怪口错误</v>
      </c>
      <c r="CF79" s="35">
        <v>3</v>
      </c>
      <c r="CG79" s="33">
        <f t="shared" si="150"/>
        <v>18</v>
      </c>
      <c r="CH79" s="6" t="str">
        <f t="shared" si="61"/>
        <v>出怪口错误</v>
      </c>
      <c r="CI79" s="8">
        <f t="shared" si="208"/>
        <v>18.5</v>
      </c>
      <c r="CJ79" s="15">
        <f t="shared" si="196"/>
        <v>1</v>
      </c>
      <c r="CK79" s="33">
        <f t="shared" si="152"/>
        <v>24</v>
      </c>
      <c r="CL79" s="6" t="str">
        <f t="shared" si="178"/>
        <v>出怪口错误</v>
      </c>
      <c r="CM79" s="35">
        <v>2</v>
      </c>
      <c r="CN79" s="33">
        <f t="shared" si="153"/>
        <v>24</v>
      </c>
      <c r="CO79" s="6" t="str">
        <f t="shared" si="62"/>
        <v>出怪口错误</v>
      </c>
      <c r="CP79" s="35">
        <v>3</v>
      </c>
      <c r="CQ79" s="33">
        <f t="shared" si="154"/>
        <v>24</v>
      </c>
      <c r="CR79" s="6" t="str">
        <f t="shared" si="63"/>
        <v>出怪口错误</v>
      </c>
      <c r="CS79" s="8">
        <f t="shared" si="209"/>
        <v>18.5</v>
      </c>
      <c r="CT79" s="15">
        <f t="shared" si="198"/>
        <v>2</v>
      </c>
      <c r="CU79" s="32">
        <f t="shared" si="201"/>
        <v>42</v>
      </c>
      <c r="CV79" s="6" t="str">
        <f t="shared" si="202"/>
        <v>出怪口错误</v>
      </c>
      <c r="CW79" s="35">
        <v>2</v>
      </c>
      <c r="CX79" s="33">
        <f t="shared" si="156"/>
        <v>28</v>
      </c>
      <c r="CY79" s="6" t="str">
        <f t="shared" si="64"/>
        <v>出怪口错误</v>
      </c>
      <c r="CZ79" s="35">
        <v>3</v>
      </c>
      <c r="DA79" s="33">
        <f t="shared" si="157"/>
        <v>42</v>
      </c>
      <c r="DB79" s="6" t="str">
        <f t="shared" si="65"/>
        <v>出怪口错误</v>
      </c>
      <c r="DC79" s="1">
        <f t="shared" si="210"/>
        <v>18.5</v>
      </c>
    </row>
    <row r="80" s="2" customFormat="1" spans="5:107">
      <c r="E80" s="25" t="s">
        <v>1305</v>
      </c>
      <c r="F80" s="26"/>
      <c r="G80" s="27"/>
      <c r="H80" s="27"/>
      <c r="I80" s="27"/>
      <c r="J80" s="27"/>
      <c r="K80" s="27"/>
      <c r="L80" s="27"/>
      <c r="M80" s="27"/>
      <c r="N80" s="28"/>
      <c r="O80" s="26"/>
      <c r="P80" s="27"/>
      <c r="Q80" s="27"/>
      <c r="R80" s="29"/>
      <c r="U80" s="2">
        <v>78</v>
      </c>
      <c r="V80" s="1" t="str">
        <f t="shared" si="179"/>
        <v>6</v>
      </c>
      <c r="W80" s="1">
        <v>116</v>
      </c>
      <c r="X80" s="30" t="s">
        <v>1201</v>
      </c>
      <c r="Y80" s="3">
        <f>出怪成长!C79</f>
        <v>15</v>
      </c>
      <c r="Z80" s="31" t="str">
        <f t="shared" si="160"/>
        <v>1:3:出怪口错误|1:12:出怪口错误|2:20:出怪口错误|2:11:出怪口错误#2:11:出怪口错误#3:11:出怪口错误|3:10:出怪口错误#2:10:出怪口错误#3:10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80" s="5">
        <f t="shared" si="200"/>
        <v>1</v>
      </c>
      <c r="AB80" s="32">
        <f t="shared" si="180"/>
        <v>3</v>
      </c>
      <c r="AC80" s="6" t="str">
        <f t="shared" si="170"/>
        <v>出怪口错误</v>
      </c>
      <c r="AD80" s="5">
        <f t="shared" si="181"/>
        <v>1</v>
      </c>
      <c r="AE80" s="32">
        <f t="shared" si="182"/>
        <v>12</v>
      </c>
      <c r="AF80" s="6" t="str">
        <f t="shared" si="183"/>
        <v>出怪口错误</v>
      </c>
      <c r="AG80" s="13">
        <v>9.69999999999999</v>
      </c>
      <c r="AH80" s="5">
        <f t="shared" si="184"/>
        <v>2</v>
      </c>
      <c r="AI80" s="32">
        <f t="shared" si="171"/>
        <v>20</v>
      </c>
      <c r="AJ80" s="6" t="str">
        <f t="shared" si="172"/>
        <v>出怪口错误</v>
      </c>
      <c r="AK80" s="1">
        <f t="shared" si="203"/>
        <v>8.5</v>
      </c>
      <c r="AL80" s="5">
        <f t="shared" si="186"/>
        <v>2</v>
      </c>
      <c r="AM80" s="33">
        <f t="shared" si="133"/>
        <v>11</v>
      </c>
      <c r="AN80" s="6" t="str">
        <f t="shared" si="173"/>
        <v>出怪口错误</v>
      </c>
      <c r="AO80" s="35">
        <v>2</v>
      </c>
      <c r="AP80" s="33">
        <f t="shared" si="134"/>
        <v>11</v>
      </c>
      <c r="AQ80" s="6" t="str">
        <f t="shared" si="50"/>
        <v>出怪口错误</v>
      </c>
      <c r="AR80" s="35">
        <v>3</v>
      </c>
      <c r="AS80" s="33">
        <f t="shared" si="135"/>
        <v>11</v>
      </c>
      <c r="AT80" s="6" t="str">
        <f t="shared" si="51"/>
        <v>出怪口错误</v>
      </c>
      <c r="AU80" s="1">
        <f t="shared" si="204"/>
        <v>13</v>
      </c>
      <c r="AV80" s="5">
        <f t="shared" si="188"/>
        <v>3</v>
      </c>
      <c r="AW80" s="33">
        <f t="shared" si="137"/>
        <v>10</v>
      </c>
      <c r="AX80" s="6" t="str">
        <f t="shared" si="174"/>
        <v>出怪口错误</v>
      </c>
      <c r="AY80" s="35">
        <v>2</v>
      </c>
      <c r="AZ80" s="33">
        <f t="shared" si="138"/>
        <v>10</v>
      </c>
      <c r="BA80" s="6" t="str">
        <f t="shared" si="52"/>
        <v>出怪口错误</v>
      </c>
      <c r="BB80" s="35">
        <v>3</v>
      </c>
      <c r="BC80" s="33">
        <f t="shared" si="139"/>
        <v>10</v>
      </c>
      <c r="BD80" s="6" t="str">
        <f t="shared" si="53"/>
        <v>出怪口错误</v>
      </c>
      <c r="BE80" s="8">
        <f t="shared" si="205"/>
        <v>14</v>
      </c>
      <c r="BF80" s="5">
        <f t="shared" si="190"/>
        <v>3</v>
      </c>
      <c r="BG80" s="33">
        <f t="shared" si="141"/>
        <v>12</v>
      </c>
      <c r="BH80" s="6" t="str">
        <f t="shared" si="175"/>
        <v>出怪口错误</v>
      </c>
      <c r="BI80" s="35">
        <v>2</v>
      </c>
      <c r="BJ80" s="33">
        <f t="shared" si="142"/>
        <v>12</v>
      </c>
      <c r="BK80" s="6" t="str">
        <f t="shared" si="54"/>
        <v>出怪口错误</v>
      </c>
      <c r="BL80" s="35">
        <v>3</v>
      </c>
      <c r="BM80" s="33">
        <f t="shared" si="159"/>
        <v>12</v>
      </c>
      <c r="BN80" s="6" t="str">
        <f t="shared" si="55"/>
        <v>出怪口错误</v>
      </c>
      <c r="BO80" s="8">
        <f t="shared" si="206"/>
        <v>18.5</v>
      </c>
      <c r="BP80" s="5">
        <f t="shared" si="192"/>
        <v>4</v>
      </c>
      <c r="BQ80" s="33">
        <f t="shared" si="144"/>
        <v>15</v>
      </c>
      <c r="BR80" s="6" t="str">
        <f t="shared" si="176"/>
        <v>出怪口错误</v>
      </c>
      <c r="BS80" s="35">
        <v>2</v>
      </c>
      <c r="BT80" s="33">
        <f t="shared" si="145"/>
        <v>15</v>
      </c>
      <c r="BU80" s="6" t="str">
        <f t="shared" si="57"/>
        <v>出怪口错误</v>
      </c>
      <c r="BV80" s="35">
        <v>3</v>
      </c>
      <c r="BW80" s="33">
        <f t="shared" si="146"/>
        <v>15</v>
      </c>
      <c r="BX80" s="6" t="str">
        <f t="shared" si="58"/>
        <v>出怪口错误</v>
      </c>
      <c r="BY80" s="8">
        <f t="shared" si="207"/>
        <v>18.5</v>
      </c>
      <c r="BZ80" s="5">
        <f t="shared" si="194"/>
        <v>4</v>
      </c>
      <c r="CA80" s="33">
        <f t="shared" si="148"/>
        <v>18</v>
      </c>
      <c r="CB80" s="6" t="str">
        <f t="shared" si="177"/>
        <v>出怪口错误</v>
      </c>
      <c r="CC80" s="35">
        <v>2</v>
      </c>
      <c r="CD80" s="33">
        <f t="shared" si="149"/>
        <v>18</v>
      </c>
      <c r="CE80" s="6" t="str">
        <f t="shared" si="60"/>
        <v>出怪口错误</v>
      </c>
      <c r="CF80" s="35">
        <v>3</v>
      </c>
      <c r="CG80" s="33">
        <f t="shared" si="150"/>
        <v>18</v>
      </c>
      <c r="CH80" s="6" t="str">
        <f t="shared" si="61"/>
        <v>出怪口错误</v>
      </c>
      <c r="CI80" s="8">
        <f t="shared" si="208"/>
        <v>18.5</v>
      </c>
      <c r="CJ80" s="15">
        <f t="shared" si="196"/>
        <v>1</v>
      </c>
      <c r="CK80" s="33">
        <f t="shared" si="152"/>
        <v>24</v>
      </c>
      <c r="CL80" s="6" t="str">
        <f t="shared" si="178"/>
        <v>出怪口错误</v>
      </c>
      <c r="CM80" s="35">
        <v>2</v>
      </c>
      <c r="CN80" s="33">
        <f t="shared" si="153"/>
        <v>24</v>
      </c>
      <c r="CO80" s="6" t="str">
        <f t="shared" si="62"/>
        <v>出怪口错误</v>
      </c>
      <c r="CP80" s="35">
        <v>3</v>
      </c>
      <c r="CQ80" s="33">
        <f t="shared" si="154"/>
        <v>24</v>
      </c>
      <c r="CR80" s="6" t="str">
        <f t="shared" si="63"/>
        <v>出怪口错误</v>
      </c>
      <c r="CS80" s="8">
        <f t="shared" si="209"/>
        <v>18.5</v>
      </c>
      <c r="CT80" s="15">
        <f t="shared" si="198"/>
        <v>2</v>
      </c>
      <c r="CU80" s="33">
        <f t="shared" si="201"/>
        <v>42</v>
      </c>
      <c r="CV80" s="6" t="str">
        <f t="shared" si="202"/>
        <v>出怪口错误</v>
      </c>
      <c r="CW80" s="35">
        <v>2</v>
      </c>
      <c r="CX80" s="33">
        <f t="shared" si="156"/>
        <v>28</v>
      </c>
      <c r="CY80" s="6" t="str">
        <f t="shared" si="64"/>
        <v>出怪口错误</v>
      </c>
      <c r="CZ80" s="35">
        <v>3</v>
      </c>
      <c r="DA80" s="33">
        <f t="shared" si="157"/>
        <v>42</v>
      </c>
      <c r="DB80" s="6" t="str">
        <f t="shared" si="65"/>
        <v>出怪口错误</v>
      </c>
      <c r="DC80" s="1">
        <f t="shared" si="210"/>
        <v>18.5</v>
      </c>
    </row>
    <row r="81" s="2" customFormat="1" spans="5:107">
      <c r="E81" s="25" t="s">
        <v>1306</v>
      </c>
      <c r="F81" s="26"/>
      <c r="G81" s="27"/>
      <c r="H81" s="27"/>
      <c r="I81" s="27"/>
      <c r="J81" s="27"/>
      <c r="K81" s="27"/>
      <c r="L81" s="27"/>
      <c r="M81" s="27"/>
      <c r="N81" s="28"/>
      <c r="O81" s="26"/>
      <c r="P81" s="27"/>
      <c r="Q81" s="27"/>
      <c r="R81" s="29"/>
      <c r="U81" s="2">
        <v>79</v>
      </c>
      <c r="V81" s="1" t="str">
        <f t="shared" si="179"/>
        <v>1</v>
      </c>
      <c r="W81" s="1">
        <v>121</v>
      </c>
      <c r="X81" s="30" t="s">
        <v>1202</v>
      </c>
      <c r="Y81" s="3">
        <f>出怪成长!C80</f>
        <v>15</v>
      </c>
      <c r="Z81" s="31" t="str">
        <f t="shared" si="160"/>
        <v>1:2:出怪口错误|1:11:出怪口错误|2:19:出怪口错误|2:10:出怪口错误#2:10:出怪口错误#3:10:出怪口错误|3:9:出怪口错误#2:9:出怪口错误#3:9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81" s="5">
        <f t="shared" si="200"/>
        <v>1</v>
      </c>
      <c r="AB81" s="32">
        <f t="shared" si="180"/>
        <v>2</v>
      </c>
      <c r="AC81" s="6" t="str">
        <f t="shared" si="170"/>
        <v>出怪口错误</v>
      </c>
      <c r="AD81" s="5">
        <f t="shared" si="181"/>
        <v>1</v>
      </c>
      <c r="AE81" s="32">
        <f t="shared" si="182"/>
        <v>11</v>
      </c>
      <c r="AF81" s="6" t="str">
        <f t="shared" si="183"/>
        <v>出怪口错误</v>
      </c>
      <c r="AG81" s="13">
        <v>9.79999999999999</v>
      </c>
      <c r="AH81" s="5">
        <f t="shared" si="184"/>
        <v>2</v>
      </c>
      <c r="AI81" s="32">
        <f t="shared" si="171"/>
        <v>19</v>
      </c>
      <c r="AJ81" s="6" t="str">
        <f t="shared" si="172"/>
        <v>出怪口错误</v>
      </c>
      <c r="AK81" s="1">
        <f t="shared" si="203"/>
        <v>8.5</v>
      </c>
      <c r="AL81" s="5">
        <f t="shared" si="186"/>
        <v>2</v>
      </c>
      <c r="AM81" s="33">
        <f t="shared" si="133"/>
        <v>10</v>
      </c>
      <c r="AN81" s="6" t="str">
        <f t="shared" si="173"/>
        <v>出怪口错误</v>
      </c>
      <c r="AO81" s="35">
        <v>2</v>
      </c>
      <c r="AP81" s="33">
        <f t="shared" si="134"/>
        <v>10</v>
      </c>
      <c r="AQ81" s="6" t="str">
        <f t="shared" si="50"/>
        <v>出怪口错误</v>
      </c>
      <c r="AR81" s="35">
        <v>3</v>
      </c>
      <c r="AS81" s="33">
        <f t="shared" si="135"/>
        <v>10</v>
      </c>
      <c r="AT81" s="6" t="str">
        <f t="shared" si="51"/>
        <v>出怪口错误</v>
      </c>
      <c r="AU81" s="1">
        <f t="shared" si="204"/>
        <v>13</v>
      </c>
      <c r="AV81" s="5">
        <f t="shared" si="188"/>
        <v>3</v>
      </c>
      <c r="AW81" s="33">
        <f t="shared" si="137"/>
        <v>9</v>
      </c>
      <c r="AX81" s="6" t="str">
        <f t="shared" si="174"/>
        <v>出怪口错误</v>
      </c>
      <c r="AY81" s="35">
        <v>2</v>
      </c>
      <c r="AZ81" s="33">
        <f t="shared" si="138"/>
        <v>9</v>
      </c>
      <c r="BA81" s="6" t="str">
        <f t="shared" si="52"/>
        <v>出怪口错误</v>
      </c>
      <c r="BB81" s="35">
        <v>3</v>
      </c>
      <c r="BC81" s="33">
        <f t="shared" si="139"/>
        <v>9</v>
      </c>
      <c r="BD81" s="6" t="str">
        <f t="shared" si="53"/>
        <v>出怪口错误</v>
      </c>
      <c r="BE81" s="8">
        <f t="shared" si="205"/>
        <v>14</v>
      </c>
      <c r="BF81" s="5">
        <f t="shared" si="190"/>
        <v>3</v>
      </c>
      <c r="BG81" s="33">
        <f t="shared" si="141"/>
        <v>12</v>
      </c>
      <c r="BH81" s="6" t="str">
        <f t="shared" si="175"/>
        <v>出怪口错误</v>
      </c>
      <c r="BI81" s="35">
        <v>2</v>
      </c>
      <c r="BJ81" s="33">
        <f t="shared" si="142"/>
        <v>12</v>
      </c>
      <c r="BK81" s="6" t="str">
        <f t="shared" si="54"/>
        <v>出怪口错误</v>
      </c>
      <c r="BL81" s="35">
        <v>3</v>
      </c>
      <c r="BM81" s="33">
        <f t="shared" si="159"/>
        <v>12</v>
      </c>
      <c r="BN81" s="6" t="str">
        <f t="shared" si="55"/>
        <v>出怪口错误</v>
      </c>
      <c r="BO81" s="8">
        <f t="shared" si="206"/>
        <v>18.5</v>
      </c>
      <c r="BP81" s="5">
        <f t="shared" si="192"/>
        <v>4</v>
      </c>
      <c r="BQ81" s="33">
        <f t="shared" si="144"/>
        <v>15</v>
      </c>
      <c r="BR81" s="6" t="str">
        <f t="shared" si="176"/>
        <v>出怪口错误</v>
      </c>
      <c r="BS81" s="35">
        <v>2</v>
      </c>
      <c r="BT81" s="33">
        <f t="shared" si="145"/>
        <v>15</v>
      </c>
      <c r="BU81" s="6" t="str">
        <f t="shared" si="57"/>
        <v>出怪口错误</v>
      </c>
      <c r="BV81" s="35">
        <v>3</v>
      </c>
      <c r="BW81" s="33">
        <f t="shared" si="146"/>
        <v>15</v>
      </c>
      <c r="BX81" s="6" t="str">
        <f t="shared" si="58"/>
        <v>出怪口错误</v>
      </c>
      <c r="BY81" s="8">
        <f t="shared" si="207"/>
        <v>18.5</v>
      </c>
      <c r="BZ81" s="5">
        <f t="shared" si="194"/>
        <v>4</v>
      </c>
      <c r="CA81" s="33">
        <f t="shared" si="148"/>
        <v>18</v>
      </c>
      <c r="CB81" s="6" t="str">
        <f t="shared" si="177"/>
        <v>出怪口错误</v>
      </c>
      <c r="CC81" s="35">
        <v>2</v>
      </c>
      <c r="CD81" s="33">
        <f t="shared" si="149"/>
        <v>18</v>
      </c>
      <c r="CE81" s="6" t="str">
        <f t="shared" si="60"/>
        <v>出怪口错误</v>
      </c>
      <c r="CF81" s="35">
        <v>3</v>
      </c>
      <c r="CG81" s="33">
        <f t="shared" si="150"/>
        <v>18</v>
      </c>
      <c r="CH81" s="6" t="str">
        <f t="shared" si="61"/>
        <v>出怪口错误</v>
      </c>
      <c r="CI81" s="8">
        <f t="shared" si="208"/>
        <v>18.5</v>
      </c>
      <c r="CJ81" s="15">
        <f t="shared" si="196"/>
        <v>1</v>
      </c>
      <c r="CK81" s="33">
        <f t="shared" si="152"/>
        <v>24</v>
      </c>
      <c r="CL81" s="6" t="str">
        <f t="shared" si="178"/>
        <v>出怪口错误</v>
      </c>
      <c r="CM81" s="35">
        <v>2</v>
      </c>
      <c r="CN81" s="33">
        <f t="shared" si="153"/>
        <v>24</v>
      </c>
      <c r="CO81" s="6" t="str">
        <f t="shared" si="62"/>
        <v>出怪口错误</v>
      </c>
      <c r="CP81" s="35">
        <v>3</v>
      </c>
      <c r="CQ81" s="33">
        <f t="shared" si="154"/>
        <v>24</v>
      </c>
      <c r="CR81" s="6" t="str">
        <f t="shared" si="63"/>
        <v>出怪口错误</v>
      </c>
      <c r="CS81" s="8">
        <f t="shared" si="209"/>
        <v>18.5</v>
      </c>
      <c r="CT81" s="15">
        <f t="shared" si="198"/>
        <v>2</v>
      </c>
      <c r="CU81" s="32">
        <f t="shared" si="201"/>
        <v>42</v>
      </c>
      <c r="CV81" s="6" t="str">
        <f t="shared" si="202"/>
        <v>出怪口错误</v>
      </c>
      <c r="CW81" s="35">
        <v>2</v>
      </c>
      <c r="CX81" s="33">
        <f t="shared" si="156"/>
        <v>28</v>
      </c>
      <c r="CY81" s="6" t="str">
        <f t="shared" si="64"/>
        <v>出怪口错误</v>
      </c>
      <c r="CZ81" s="35">
        <v>3</v>
      </c>
      <c r="DA81" s="33">
        <f t="shared" si="157"/>
        <v>42</v>
      </c>
      <c r="DB81" s="6" t="str">
        <f t="shared" si="65"/>
        <v>出怪口错误</v>
      </c>
      <c r="DC81" s="1">
        <f t="shared" si="210"/>
        <v>18.5</v>
      </c>
    </row>
    <row r="82" s="2" customFormat="1" spans="5:107">
      <c r="E82" s="25" t="s">
        <v>1307</v>
      </c>
      <c r="F82" s="26"/>
      <c r="G82" s="27"/>
      <c r="H82" s="27"/>
      <c r="I82" s="27"/>
      <c r="J82" s="27"/>
      <c r="K82" s="27"/>
      <c r="L82" s="27"/>
      <c r="M82" s="27"/>
      <c r="N82" s="28"/>
      <c r="O82" s="26"/>
      <c r="P82" s="27"/>
      <c r="Q82" s="27"/>
      <c r="R82" s="29"/>
      <c r="U82" s="2">
        <v>80</v>
      </c>
      <c r="V82" s="1" t="str">
        <f t="shared" si="179"/>
        <v>2</v>
      </c>
      <c r="W82" s="1">
        <v>122</v>
      </c>
      <c r="X82" s="30" t="s">
        <v>1203</v>
      </c>
      <c r="Y82" s="3">
        <f>出怪成长!C81</f>
        <v>15</v>
      </c>
      <c r="Z82" s="31" t="str">
        <f t="shared" si="160"/>
        <v>1:2:出怪口错误|1:11:出怪口错误|2:19:出怪口错误|2:10:出怪口错误#2:10:出怪口错误#3:10:出怪口错误|3:9:出怪口错误#2:9:出怪口错误#3:9:出怪口错误|3:12:出怪口错误#2:12:出怪口错误#3:12:出怪口错误|4:15:出怪口错误#2:15:出怪口错误#3:15:出怪口错误|4:18:出怪口错误#2:18:出怪口错误#3:18:出怪口错误|1:24:出怪口错误#2:24:出怪口错误#3:24:出怪口错误|2:42:出怪口错误#2:28:出怪口错误#3:42:出怪口错误</v>
      </c>
      <c r="AA82" s="5">
        <f t="shared" si="200"/>
        <v>1</v>
      </c>
      <c r="AB82" s="32">
        <f t="shared" si="180"/>
        <v>2</v>
      </c>
      <c r="AC82" s="6" t="str">
        <f t="shared" si="170"/>
        <v>出怪口错误</v>
      </c>
      <c r="AD82" s="5">
        <f t="shared" si="181"/>
        <v>1</v>
      </c>
      <c r="AE82" s="32">
        <f t="shared" si="182"/>
        <v>11</v>
      </c>
      <c r="AF82" s="6" t="str">
        <f t="shared" si="183"/>
        <v>出怪口错误</v>
      </c>
      <c r="AG82" s="13">
        <v>9.89999999999999</v>
      </c>
      <c r="AH82" s="5">
        <f t="shared" si="184"/>
        <v>2</v>
      </c>
      <c r="AI82" s="32">
        <f t="shared" si="171"/>
        <v>19</v>
      </c>
      <c r="AJ82" s="6" t="str">
        <f t="shared" si="172"/>
        <v>出怪口错误</v>
      </c>
      <c r="AK82" s="1">
        <f t="shared" si="203"/>
        <v>8.5</v>
      </c>
      <c r="AL82" s="5">
        <f t="shared" si="186"/>
        <v>2</v>
      </c>
      <c r="AM82" s="33">
        <f t="shared" si="133"/>
        <v>10</v>
      </c>
      <c r="AN82" s="6" t="str">
        <f t="shared" si="173"/>
        <v>出怪口错误</v>
      </c>
      <c r="AO82" s="35">
        <v>2</v>
      </c>
      <c r="AP82" s="33">
        <f t="shared" si="134"/>
        <v>10</v>
      </c>
      <c r="AQ82" s="6" t="str">
        <f t="shared" si="50"/>
        <v>出怪口错误</v>
      </c>
      <c r="AR82" s="35">
        <v>3</v>
      </c>
      <c r="AS82" s="33">
        <f t="shared" si="135"/>
        <v>10</v>
      </c>
      <c r="AT82" s="6" t="str">
        <f t="shared" si="51"/>
        <v>出怪口错误</v>
      </c>
      <c r="AU82" s="1">
        <f t="shared" si="204"/>
        <v>13</v>
      </c>
      <c r="AV82" s="5">
        <f t="shared" si="188"/>
        <v>3</v>
      </c>
      <c r="AW82" s="33">
        <f t="shared" si="137"/>
        <v>9</v>
      </c>
      <c r="AX82" s="6" t="str">
        <f t="shared" si="174"/>
        <v>出怪口错误</v>
      </c>
      <c r="AY82" s="35">
        <v>2</v>
      </c>
      <c r="AZ82" s="33">
        <f t="shared" si="138"/>
        <v>9</v>
      </c>
      <c r="BA82" s="6" t="str">
        <f t="shared" si="52"/>
        <v>出怪口错误</v>
      </c>
      <c r="BB82" s="35">
        <v>3</v>
      </c>
      <c r="BC82" s="33">
        <f t="shared" si="139"/>
        <v>9</v>
      </c>
      <c r="BD82" s="6" t="str">
        <f t="shared" si="53"/>
        <v>出怪口错误</v>
      </c>
      <c r="BE82" s="8">
        <f t="shared" si="205"/>
        <v>14</v>
      </c>
      <c r="BF82" s="5">
        <f t="shared" si="190"/>
        <v>3</v>
      </c>
      <c r="BG82" s="33">
        <f t="shared" si="141"/>
        <v>12</v>
      </c>
      <c r="BH82" s="6" t="str">
        <f t="shared" si="175"/>
        <v>出怪口错误</v>
      </c>
      <c r="BI82" s="35">
        <v>2</v>
      </c>
      <c r="BJ82" s="33">
        <f t="shared" si="142"/>
        <v>12</v>
      </c>
      <c r="BK82" s="6" t="str">
        <f t="shared" si="54"/>
        <v>出怪口错误</v>
      </c>
      <c r="BL82" s="35">
        <v>3</v>
      </c>
      <c r="BM82" s="33">
        <f t="shared" si="159"/>
        <v>12</v>
      </c>
      <c r="BN82" s="6" t="str">
        <f t="shared" si="55"/>
        <v>出怪口错误</v>
      </c>
      <c r="BO82" s="8">
        <f t="shared" si="206"/>
        <v>18.5</v>
      </c>
      <c r="BP82" s="5">
        <f t="shared" si="192"/>
        <v>4</v>
      </c>
      <c r="BQ82" s="33">
        <f t="shared" si="144"/>
        <v>15</v>
      </c>
      <c r="BR82" s="6" t="str">
        <f t="shared" si="176"/>
        <v>出怪口错误</v>
      </c>
      <c r="BS82" s="35">
        <v>2</v>
      </c>
      <c r="BT82" s="33">
        <f t="shared" si="145"/>
        <v>15</v>
      </c>
      <c r="BU82" s="6" t="str">
        <f t="shared" si="57"/>
        <v>出怪口错误</v>
      </c>
      <c r="BV82" s="35">
        <v>3</v>
      </c>
      <c r="BW82" s="33">
        <f t="shared" si="146"/>
        <v>15</v>
      </c>
      <c r="BX82" s="6" t="str">
        <f t="shared" si="58"/>
        <v>出怪口错误</v>
      </c>
      <c r="BY82" s="8">
        <f t="shared" si="207"/>
        <v>18.5</v>
      </c>
      <c r="BZ82" s="5">
        <f t="shared" si="194"/>
        <v>4</v>
      </c>
      <c r="CA82" s="33">
        <f t="shared" si="148"/>
        <v>18</v>
      </c>
      <c r="CB82" s="6" t="str">
        <f t="shared" si="177"/>
        <v>出怪口错误</v>
      </c>
      <c r="CC82" s="35">
        <v>2</v>
      </c>
      <c r="CD82" s="33">
        <f t="shared" si="149"/>
        <v>18</v>
      </c>
      <c r="CE82" s="6" t="str">
        <f t="shared" si="60"/>
        <v>出怪口错误</v>
      </c>
      <c r="CF82" s="35">
        <v>3</v>
      </c>
      <c r="CG82" s="33">
        <f t="shared" si="150"/>
        <v>18</v>
      </c>
      <c r="CH82" s="6" t="str">
        <f t="shared" si="61"/>
        <v>出怪口错误</v>
      </c>
      <c r="CI82" s="8">
        <f t="shared" si="208"/>
        <v>18.5</v>
      </c>
      <c r="CJ82" s="15">
        <f t="shared" si="196"/>
        <v>1</v>
      </c>
      <c r="CK82" s="33">
        <f t="shared" si="152"/>
        <v>24</v>
      </c>
      <c r="CL82" s="6" t="str">
        <f t="shared" si="178"/>
        <v>出怪口错误</v>
      </c>
      <c r="CM82" s="35">
        <v>2</v>
      </c>
      <c r="CN82" s="33">
        <f t="shared" si="153"/>
        <v>24</v>
      </c>
      <c r="CO82" s="6" t="str">
        <f t="shared" si="62"/>
        <v>出怪口错误</v>
      </c>
      <c r="CP82" s="35">
        <v>3</v>
      </c>
      <c r="CQ82" s="33">
        <f t="shared" si="154"/>
        <v>24</v>
      </c>
      <c r="CR82" s="6" t="str">
        <f t="shared" si="63"/>
        <v>出怪口错误</v>
      </c>
      <c r="CS82" s="8">
        <f t="shared" si="209"/>
        <v>18.5</v>
      </c>
      <c r="CT82" s="15">
        <f t="shared" si="198"/>
        <v>2</v>
      </c>
      <c r="CU82" s="33">
        <f t="shared" si="201"/>
        <v>42</v>
      </c>
      <c r="CV82" s="6" t="str">
        <f t="shared" si="202"/>
        <v>出怪口错误</v>
      </c>
      <c r="CW82" s="35">
        <v>2</v>
      </c>
      <c r="CX82" s="33">
        <f t="shared" si="156"/>
        <v>28</v>
      </c>
      <c r="CY82" s="6" t="str">
        <f t="shared" si="64"/>
        <v>出怪口错误</v>
      </c>
      <c r="CZ82" s="35">
        <v>3</v>
      </c>
      <c r="DA82" s="33">
        <f t="shared" si="157"/>
        <v>42</v>
      </c>
      <c r="DB82" s="6" t="str">
        <f t="shared" si="65"/>
        <v>出怪口错误</v>
      </c>
      <c r="DC82" s="1">
        <f t="shared" si="210"/>
        <v>18.5</v>
      </c>
    </row>
    <row r="83" s="2" customFormat="1" spans="5:107">
      <c r="E83" s="25" t="s">
        <v>1308</v>
      </c>
      <c r="F83" s="26"/>
      <c r="G83" s="27"/>
      <c r="H83" s="27"/>
      <c r="I83" s="27"/>
      <c r="J83" s="27"/>
      <c r="K83" s="27"/>
      <c r="L83" s="27"/>
      <c r="M83" s="27"/>
      <c r="N83" s="28"/>
      <c r="O83" s="26"/>
      <c r="P83" s="27"/>
      <c r="Q83" s="27"/>
      <c r="R83" s="29"/>
      <c r="U83" s="2">
        <v>81</v>
      </c>
      <c r="V83" s="1" t="str">
        <f t="shared" si="179"/>
        <v>3</v>
      </c>
      <c r="W83" s="1">
        <v>123</v>
      </c>
      <c r="X83" s="30" t="s">
        <v>1204</v>
      </c>
      <c r="Y83" s="3">
        <f>出怪成长!C82</f>
        <v>15</v>
      </c>
      <c r="Z83" s="31" t="str">
        <f t="shared" si="160"/>
        <v>1:2:出怪口错误|1:12:出怪口错误|2:21:出怪口错误|2:11:出怪口错误#2:11:出怪口错误#3:11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3" s="5">
        <f t="shared" si="200"/>
        <v>1</v>
      </c>
      <c r="AB83" s="32">
        <f t="shared" si="180"/>
        <v>2</v>
      </c>
      <c r="AC83" s="6" t="str">
        <f t="shared" si="170"/>
        <v>出怪口错误</v>
      </c>
      <c r="AD83" s="5">
        <f t="shared" si="181"/>
        <v>1</v>
      </c>
      <c r="AE83" s="32">
        <f t="shared" si="182"/>
        <v>12</v>
      </c>
      <c r="AF83" s="6" t="str">
        <f t="shared" si="183"/>
        <v>出怪口错误</v>
      </c>
      <c r="AG83" s="13">
        <v>9.99999999999999</v>
      </c>
      <c r="AH83" s="5">
        <f t="shared" si="184"/>
        <v>2</v>
      </c>
      <c r="AI83" s="32">
        <f t="shared" si="171"/>
        <v>21</v>
      </c>
      <c r="AJ83" s="6" t="str">
        <f t="shared" si="172"/>
        <v>出怪口错误</v>
      </c>
      <c r="AK83" s="34">
        <f>AK75+AK$1</f>
        <v>9</v>
      </c>
      <c r="AL83" s="5">
        <f t="shared" si="186"/>
        <v>2</v>
      </c>
      <c r="AM83" s="33">
        <f t="shared" si="133"/>
        <v>11</v>
      </c>
      <c r="AN83" s="6" t="str">
        <f t="shared" si="173"/>
        <v>出怪口错误</v>
      </c>
      <c r="AO83" s="35">
        <v>2</v>
      </c>
      <c r="AP83" s="33">
        <f t="shared" si="134"/>
        <v>11</v>
      </c>
      <c r="AQ83" s="6" t="str">
        <f t="shared" ref="AQ83:AQ98" si="211">IF(AO83=$F83,IF($F83="","",IF((VLOOKUP($F83,$F:$G,2,FALSE)="步兵"),1,2)),IF(AO83=$H83,IF($H83="","",IF((VLOOKUP($H83,$H:$I,2,FALSE)="步兵"),1,2)),IF(AO83=$J83,IF($J83="","",IF((VLOOKUP($J83,$J:$K,2,FALSE)="步兵"),1,2)),IF(AO83=$L83,IF($L83="","",IF((VLOOKUP($L83,$L:$M,2,FALSE)="步兵"),1,2)),IF(AO83=$O83,IF($O83="","",IF((VLOOKUP($O83,$O:$P,2,FALSE)="步兵"),1,2)),IF(AO83=$Q83,IF($Q83="","",IF((VLOOKUP($Q83,$Q:$R,2,FALSE)="步兵"),1,2)),"出怪口错误"))))))</f>
        <v>出怪口错误</v>
      </c>
      <c r="AR83" s="35">
        <v>3</v>
      </c>
      <c r="AS83" s="33">
        <f t="shared" si="135"/>
        <v>11</v>
      </c>
      <c r="AT83" s="6" t="str">
        <f t="shared" ref="AT83:AT98" si="212">IF(AR83=$F83,IF($F83="","",IF((VLOOKUP($F83,$F:$G,2,FALSE)="步兵"),1,2)),IF(AR83=$H83,IF($H83="","",IF((VLOOKUP($H83,$H:$I,2,FALSE)="步兵"),1,2)),IF(AR83=$J83,IF($J83="","",IF((VLOOKUP($J83,$J:$K,2,FALSE)="步兵"),1,2)),IF(AR83=$L83,IF($L83="","",IF((VLOOKUP($L83,$L:$M,2,FALSE)="步兵"),1,2)),IF(AR83=$O83,IF($O83="","",IF((VLOOKUP($O83,$O:$P,2,FALSE)="步兵"),1,2)),IF(AR83=$Q83,IF($Q83="","",IF((VLOOKUP($Q83,$Q:$R,2,FALSE)="步兵"),1,2)),"出怪口错误"))))))</f>
        <v>出怪口错误</v>
      </c>
      <c r="AU83" s="34">
        <f>AU75+AU$1</f>
        <v>14</v>
      </c>
      <c r="AV83" s="5">
        <f t="shared" si="188"/>
        <v>3</v>
      </c>
      <c r="AW83" s="33">
        <f t="shared" si="137"/>
        <v>10</v>
      </c>
      <c r="AX83" s="6" t="str">
        <f t="shared" si="174"/>
        <v>出怪口错误</v>
      </c>
      <c r="AY83" s="35">
        <v>2</v>
      </c>
      <c r="AZ83" s="33">
        <f t="shared" si="138"/>
        <v>10</v>
      </c>
      <c r="BA83" s="6" t="str">
        <f t="shared" ref="BA83:BA98" si="213">IF(AY83=$F83,IF($F83="","",IF((VLOOKUP($F83,$F:$G,2,FALSE)="步兵"),1,2)),IF(AY83=$H83,IF($H83="","",IF((VLOOKUP($H83,$H:$I,2,FALSE)="步兵"),1,2)),IF(AY83=$J83,IF($J83="","",IF((VLOOKUP($J83,$J:$K,2,FALSE)="步兵"),1,2)),IF(AY83=$L83,IF($L83="","",IF((VLOOKUP($L83,$L:$M,2,FALSE)="步兵"),1,2)),IF(AY83=$O83,IF($O83="","",IF((VLOOKUP($O83,$O:$P,2,FALSE)="步兵"),1,2)),IF(AY83=$Q83,IF($Q83="","",IF((VLOOKUP($Q83,$Q:$R,2,FALSE)="步兵"),1,2)),"出怪口错误"))))))</f>
        <v>出怪口错误</v>
      </c>
      <c r="BB83" s="35">
        <v>3</v>
      </c>
      <c r="BC83" s="33">
        <f t="shared" si="139"/>
        <v>10</v>
      </c>
      <c r="BD83" s="6" t="str">
        <f t="shared" ref="BD83:BD98" si="214">IF(BB83=$F83,IF($F83="","",IF((VLOOKUP($F83,$F:$G,2,FALSE)="步兵"),1,2)),IF(BB83=$H83,IF($H83="","",IF((VLOOKUP($H83,$H:$I,2,FALSE)="步兵"),1,2)),IF(BB83=$J83,IF($J83="","",IF((VLOOKUP($J83,$J:$K,2,FALSE)="步兵"),1,2)),IF(BB83=$L83,IF($L83="","",IF((VLOOKUP($L83,$L:$M,2,FALSE)="步兵"),1,2)),IF(BB83=$O83,IF($O83="","",IF((VLOOKUP($O83,$O:$P,2,FALSE)="步兵"),1,2)),IF(BB83=$Q83,IF($Q83="","",IF((VLOOKUP($Q83,$Q:$R,2,FALSE)="步兵"),1,2)),"出怪口错误"))))))</f>
        <v>出怪口错误</v>
      </c>
      <c r="BE83" s="7">
        <f>BE75+BE$1</f>
        <v>15</v>
      </c>
      <c r="BF83" s="5">
        <f t="shared" si="190"/>
        <v>3</v>
      </c>
      <c r="BG83" s="33">
        <f t="shared" si="141"/>
        <v>13</v>
      </c>
      <c r="BH83" s="6" t="str">
        <f t="shared" si="175"/>
        <v>出怪口错误</v>
      </c>
      <c r="BI83" s="35">
        <v>2</v>
      </c>
      <c r="BJ83" s="33">
        <f t="shared" si="142"/>
        <v>13</v>
      </c>
      <c r="BK83" s="6" t="str">
        <f t="shared" ref="BK83:BK98" si="215">IF(BI83=$F83,IF($F83="","",IF((VLOOKUP($F83,$F:$G,2,FALSE)="步兵"),1,2)),IF(BI83=$H83,IF($H83="","",IF((VLOOKUP($H83,$H:$I,2,FALSE)="步兵"),1,2)),IF(BI83=$J83,IF($J83="","",IF((VLOOKUP($J83,$J:$K,2,FALSE)="步兵"),1,2)),IF(BI83=$L83,IF($L83="","",IF((VLOOKUP($L83,$L:$M,2,FALSE)="步兵"),1,2)),IF(BI83=$O83,IF($O83="","",IF((VLOOKUP($O83,$O:$P,2,FALSE)="步兵"),1,2)),IF(BI83=$Q83,IF($Q83="","",IF((VLOOKUP($Q83,$Q:$R,2,FALSE)="步兵"),1,2)),"出怪口错误"))))))</f>
        <v>出怪口错误</v>
      </c>
      <c r="BL83" s="35">
        <v>3</v>
      </c>
      <c r="BM83" s="33">
        <f t="shared" si="159"/>
        <v>13</v>
      </c>
      <c r="BN83" s="6" t="str">
        <f t="shared" ref="BN83:BN98" si="216">IF(BL83=$F83,IF($F83="","",IF((VLOOKUP($F83,$F:$G,2,FALSE)="步兵"),1,2)),IF(BL83=$H83,IF($H83="","",IF((VLOOKUP($H83,$H:$I,2,FALSE)="步兵"),1,2)),IF(BL83=$J83,IF($J83="","",IF((VLOOKUP($J83,$J:$K,2,FALSE)="步兵"),1,2)),IF(BL83=$L83,IF($L83="","",IF((VLOOKUP($L83,$L:$M,2,FALSE)="步兵"),1,2)),IF(BL83=$O83,IF($O83="","",IF((VLOOKUP($O83,$O:$P,2,FALSE)="步兵"),1,2)),IF(BL83=$Q83,IF($Q83="","",IF((VLOOKUP($Q83,$Q:$R,2,FALSE)="步兵"),1,2)),"出怪口错误"))))))</f>
        <v>出怪口错误</v>
      </c>
      <c r="BO83" s="7">
        <f>BO75+BO$1</f>
        <v>20</v>
      </c>
      <c r="BP83" s="5">
        <f t="shared" si="192"/>
        <v>4</v>
      </c>
      <c r="BQ83" s="33">
        <f t="shared" si="144"/>
        <v>16</v>
      </c>
      <c r="BR83" s="6" t="str">
        <f t="shared" si="176"/>
        <v>出怪口错误</v>
      </c>
      <c r="BS83" s="35">
        <v>2</v>
      </c>
      <c r="BT83" s="33">
        <f t="shared" si="145"/>
        <v>16</v>
      </c>
      <c r="BU83" s="6" t="str">
        <f t="shared" ref="BU83:BU98" si="217">IF(BS83=$F83,IF($F83="","",IF((VLOOKUP($F83,$F:$G,2,FALSE)="步兵"),1,2)),IF(BS83=$H83,IF($H83="","",IF((VLOOKUP($H83,$H:$I,2,FALSE)="步兵"),1,2)),IF(BS83=$J83,IF($J83="","",IF((VLOOKUP($J83,$J:$K,2,FALSE)="步兵"),1,2)),IF(BS83=$L83,IF($L83="","",IF((VLOOKUP($L83,$L:$M,2,FALSE)="步兵"),1,2)),IF(BS83=$O83,IF($O83="","",IF((VLOOKUP($O83,$O:$P,2,FALSE)="步兵"),1,2)),IF(BS83=$Q83,IF($Q83="","",IF((VLOOKUP($Q83,$Q:$R,2,FALSE)="步兵"),1,2)),"出怪口错误"))))))</f>
        <v>出怪口错误</v>
      </c>
      <c r="BV83" s="35">
        <v>3</v>
      </c>
      <c r="BW83" s="33">
        <f t="shared" si="146"/>
        <v>16</v>
      </c>
      <c r="BX83" s="6" t="str">
        <f t="shared" ref="BX83:BX98" si="218">IF(BV83=$F83,IF($F83="","",IF((VLOOKUP($F83,$F:$G,2,FALSE)="步兵"),1,2)),IF(BV83=$H83,IF($H83="","",IF((VLOOKUP($H83,$H:$I,2,FALSE)="步兵"),1,2)),IF(BV83=$J83,IF($J83="","",IF((VLOOKUP($J83,$J:$K,2,FALSE)="步兵"),1,2)),IF(BV83=$L83,IF($L83="","",IF((VLOOKUP($L83,$L:$M,2,FALSE)="步兵"),1,2)),IF(BV83=$O83,IF($O83="","",IF((VLOOKUP($O83,$O:$P,2,FALSE)="步兵"),1,2)),IF(BV83=$Q83,IF($Q83="","",IF((VLOOKUP($Q83,$Q:$R,2,FALSE)="步兵"),1,2)),"出怪口错误"))))))</f>
        <v>出怪口错误</v>
      </c>
      <c r="BY83" s="7">
        <f>BY75+BY$1</f>
        <v>20</v>
      </c>
      <c r="BZ83" s="5">
        <f t="shared" si="194"/>
        <v>4</v>
      </c>
      <c r="CA83" s="33">
        <f t="shared" si="148"/>
        <v>20</v>
      </c>
      <c r="CB83" s="6" t="str">
        <f t="shared" si="177"/>
        <v>出怪口错误</v>
      </c>
      <c r="CC83" s="35">
        <v>2</v>
      </c>
      <c r="CD83" s="33">
        <f t="shared" si="149"/>
        <v>20</v>
      </c>
      <c r="CE83" s="6" t="str">
        <f t="shared" ref="CE83:CE98" si="219">IF(CC83=$F83,IF($F83="","",IF((VLOOKUP($F83,$F:$G,2,FALSE)="步兵"),1,2)),IF(CC83=$H83,IF($H83="","",IF((VLOOKUP($H83,$H:$I,2,FALSE)="步兵"),1,2)),IF(CC83=$J83,IF($J83="","",IF((VLOOKUP($J83,$J:$K,2,FALSE)="步兵"),1,2)),IF(CC83=$L83,IF($L83="","",IF((VLOOKUP($L83,$L:$M,2,FALSE)="步兵"),1,2)),IF(CC83=$O83,IF($O83="","",IF((VLOOKUP($O83,$O:$P,2,FALSE)="步兵"),1,2)),IF(CC83=$Q83,IF($Q83="","",IF((VLOOKUP($Q83,$Q:$R,2,FALSE)="步兵"),1,2)),"出怪口错误"))))))</f>
        <v>出怪口错误</v>
      </c>
      <c r="CF83" s="35">
        <v>3</v>
      </c>
      <c r="CG83" s="33">
        <f t="shared" si="150"/>
        <v>20</v>
      </c>
      <c r="CH83" s="6" t="str">
        <f t="shared" ref="CH83:CH98" si="220">IF(CF83=$F83,IF($F83="","",IF((VLOOKUP($F83,$F:$G,2,FALSE)="步兵"),1,2)),IF(CF83=$H83,IF($H83="","",IF((VLOOKUP($H83,$H:$I,2,FALSE)="步兵"),1,2)),IF(CF83=$J83,IF($J83="","",IF((VLOOKUP($J83,$J:$K,2,FALSE)="步兵"),1,2)),IF(CF83=$L83,IF($L83="","",IF((VLOOKUP($L83,$L:$M,2,FALSE)="步兵"),1,2)),IF(CF83=$O83,IF($O83="","",IF((VLOOKUP($O83,$O:$P,2,FALSE)="步兵"),1,2)),IF(CF83=$Q83,IF($Q83="","",IF((VLOOKUP($Q83,$Q:$R,2,FALSE)="步兵"),1,2)),"出怪口错误"))))))</f>
        <v>出怪口错误</v>
      </c>
      <c r="CI83" s="7">
        <f>CI75+CI$1</f>
        <v>20</v>
      </c>
      <c r="CJ83" s="15">
        <f t="shared" si="196"/>
        <v>1</v>
      </c>
      <c r="CK83" s="33">
        <f t="shared" si="152"/>
        <v>26</v>
      </c>
      <c r="CL83" s="6" t="str">
        <f t="shared" si="178"/>
        <v>出怪口错误</v>
      </c>
      <c r="CM83" s="35">
        <v>2</v>
      </c>
      <c r="CN83" s="33">
        <f t="shared" si="153"/>
        <v>26</v>
      </c>
      <c r="CO83" s="6" t="str">
        <f t="shared" ref="CO83:CO98" si="221">IF(CM83=$F83,IF($F83="","",IF((VLOOKUP($F83,$F:$G,2,FALSE)="步兵"),1,2)),IF(CM83=$H83,IF($H83="","",IF((VLOOKUP($H83,$H:$I,2,FALSE)="步兵"),1,2)),IF(CM83=$J83,IF($J83="","",IF((VLOOKUP($J83,$J:$K,2,FALSE)="步兵"),1,2)),IF(CM83=$L83,IF($L83="","",IF((VLOOKUP($L83,$L:$M,2,FALSE)="步兵"),1,2)),IF(CM83=$O83,IF($O83="","",IF((VLOOKUP($O83,$O:$P,2,FALSE)="步兵"),1,2)),IF(CM83=$Q83,IF($Q83="","",IF((VLOOKUP($Q83,$Q:$R,2,FALSE)="步兵"),1,2)),"出怪口错误"))))))</f>
        <v>出怪口错误</v>
      </c>
      <c r="CP83" s="35">
        <v>3</v>
      </c>
      <c r="CQ83" s="33">
        <f t="shared" si="154"/>
        <v>26</v>
      </c>
      <c r="CR83" s="6" t="str">
        <f t="shared" ref="CR83:CR98" si="222">IF(CP83=$F83,IF($F83="","",IF((VLOOKUP($F83,$F:$G,2,FALSE)="步兵"),1,2)),IF(CP83=$H83,IF($H83="","",IF((VLOOKUP($H83,$H:$I,2,FALSE)="步兵"),1,2)),IF(CP83=$J83,IF($J83="","",IF((VLOOKUP($J83,$J:$K,2,FALSE)="步兵"),1,2)),IF(CP83=$L83,IF($L83="","",IF((VLOOKUP($L83,$L:$M,2,FALSE)="步兵"),1,2)),IF(CP83=$O83,IF($O83="","",IF((VLOOKUP($O83,$O:$P,2,FALSE)="步兵"),1,2)),IF(CP83=$Q83,IF($Q83="","",IF((VLOOKUP($Q83,$Q:$R,2,FALSE)="步兵"),1,2)),"出怪口错误"))))))</f>
        <v>出怪口错误</v>
      </c>
      <c r="CS83" s="7">
        <f>CS75+CS$1</f>
        <v>20</v>
      </c>
      <c r="CT83" s="15">
        <f t="shared" si="198"/>
        <v>2</v>
      </c>
      <c r="CU83" s="32">
        <f t="shared" si="201"/>
        <v>46</v>
      </c>
      <c r="CV83" s="6" t="str">
        <f t="shared" si="202"/>
        <v>出怪口错误</v>
      </c>
      <c r="CW83" s="35">
        <v>2</v>
      </c>
      <c r="CX83" s="33">
        <f t="shared" si="156"/>
        <v>31</v>
      </c>
      <c r="CY83" s="6" t="str">
        <f t="shared" ref="CY83:CY98" si="223">IF(CW83=$F83,IF($F83="","",IF((VLOOKUP($F83,$F:$G,2,FALSE)="步兵"),1,2)),IF(CW83=$H83,IF($H83="","",IF((VLOOKUP($H83,$H:$I,2,FALSE)="步兵"),1,2)),IF(CW83=$J83,IF($J83="","",IF((VLOOKUP($J83,$J:$K,2,FALSE)="步兵"),1,2)),IF(CW83=$L83,IF($L83="","",IF((VLOOKUP($L83,$L:$M,2,FALSE)="步兵"),1,2)),IF(CW83=$O83,IF($O83="","",IF((VLOOKUP($O83,$O:$P,2,FALSE)="步兵"),1,2)),IF(CW83=$Q83,IF($Q83="","",IF((VLOOKUP($Q83,$Q:$R,2,FALSE)="步兵"),1,2)),"出怪口错误"))))))</f>
        <v>出怪口错误</v>
      </c>
      <c r="CZ83" s="35">
        <v>3</v>
      </c>
      <c r="DA83" s="33">
        <f t="shared" si="157"/>
        <v>46</v>
      </c>
      <c r="DB83" s="6" t="str">
        <f t="shared" ref="DB83:DB98" si="224">IF(CZ83=$F83,IF($F83="","",IF((VLOOKUP($F83,$F:$G,2,FALSE)="步兵"),1,2)),IF(CZ83=$H83,IF($H83="","",IF((VLOOKUP($H83,$H:$I,2,FALSE)="步兵"),1,2)),IF(CZ83=$J83,IF($J83="","",IF((VLOOKUP($J83,$J:$K,2,FALSE)="步兵"),1,2)),IF(CZ83=$L83,IF($L83="","",IF((VLOOKUP($L83,$L:$M,2,FALSE)="步兵"),1,2)),IF(CZ83=$O83,IF($O83="","",IF((VLOOKUP($O83,$O:$P,2,FALSE)="步兵"),1,2)),IF(CZ83=$Q83,IF($Q83="","",IF((VLOOKUP($Q83,$Q:$R,2,FALSE)="步兵"),1,2)),"出怪口错误"))))))</f>
        <v>出怪口错误</v>
      </c>
      <c r="DC83" s="34">
        <f>DC75+DC$1</f>
        <v>20</v>
      </c>
    </row>
    <row r="84" s="2" customFormat="1" spans="5:107">
      <c r="E84" s="25" t="s">
        <v>1309</v>
      </c>
      <c r="F84" s="26"/>
      <c r="G84" s="27"/>
      <c r="H84" s="27"/>
      <c r="I84" s="27"/>
      <c r="J84" s="27"/>
      <c r="K84" s="27"/>
      <c r="L84" s="27"/>
      <c r="M84" s="27"/>
      <c r="N84" s="28"/>
      <c r="O84" s="26"/>
      <c r="P84" s="27"/>
      <c r="Q84" s="27"/>
      <c r="R84" s="29"/>
      <c r="U84" s="2">
        <v>82</v>
      </c>
      <c r="V84" s="1" t="str">
        <f t="shared" si="179"/>
        <v>4</v>
      </c>
      <c r="W84" s="1">
        <v>124</v>
      </c>
      <c r="X84" s="30" t="s">
        <v>1205</v>
      </c>
      <c r="Y84" s="3">
        <f>出怪成长!C83</f>
        <v>15</v>
      </c>
      <c r="Z84" s="31" t="str">
        <f t="shared" si="160"/>
        <v>1:2:出怪口错误|1:12:出怪口错误|2:21:出怪口错误|2:11:出怪口错误#2:11:出怪口错误#3:11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4" s="5">
        <f t="shared" si="200"/>
        <v>1</v>
      </c>
      <c r="AB84" s="32">
        <f t="shared" si="180"/>
        <v>2</v>
      </c>
      <c r="AC84" s="6" t="str">
        <f t="shared" si="170"/>
        <v>出怪口错误</v>
      </c>
      <c r="AD84" s="5">
        <f t="shared" si="181"/>
        <v>1</v>
      </c>
      <c r="AE84" s="32">
        <f t="shared" si="182"/>
        <v>12</v>
      </c>
      <c r="AF84" s="6" t="str">
        <f t="shared" si="183"/>
        <v>出怪口错误</v>
      </c>
      <c r="AG84" s="13">
        <v>10.1</v>
      </c>
      <c r="AH84" s="5">
        <f t="shared" si="184"/>
        <v>2</v>
      </c>
      <c r="AI84" s="32">
        <f t="shared" si="171"/>
        <v>21</v>
      </c>
      <c r="AJ84" s="6" t="str">
        <f t="shared" si="172"/>
        <v>出怪口错误</v>
      </c>
      <c r="AK84" s="1">
        <f t="shared" ref="AK84:AK90" si="225">AK83</f>
        <v>9</v>
      </c>
      <c r="AL84" s="5">
        <f t="shared" si="186"/>
        <v>2</v>
      </c>
      <c r="AM84" s="33">
        <f t="shared" si="133"/>
        <v>11</v>
      </c>
      <c r="AN84" s="6" t="str">
        <f t="shared" si="173"/>
        <v>出怪口错误</v>
      </c>
      <c r="AO84" s="35">
        <v>2</v>
      </c>
      <c r="AP84" s="33">
        <f t="shared" si="134"/>
        <v>11</v>
      </c>
      <c r="AQ84" s="6" t="str">
        <f t="shared" si="211"/>
        <v>出怪口错误</v>
      </c>
      <c r="AR84" s="35">
        <v>3</v>
      </c>
      <c r="AS84" s="33">
        <f t="shared" si="135"/>
        <v>11</v>
      </c>
      <c r="AT84" s="6" t="str">
        <f t="shared" si="212"/>
        <v>出怪口错误</v>
      </c>
      <c r="AU84" s="1">
        <f t="shared" ref="AU84:AU90" si="226">AU83</f>
        <v>14</v>
      </c>
      <c r="AV84" s="5">
        <f t="shared" si="188"/>
        <v>3</v>
      </c>
      <c r="AW84" s="33">
        <f t="shared" si="137"/>
        <v>10</v>
      </c>
      <c r="AX84" s="6" t="str">
        <f t="shared" si="174"/>
        <v>出怪口错误</v>
      </c>
      <c r="AY84" s="35">
        <v>2</v>
      </c>
      <c r="AZ84" s="33">
        <f t="shared" si="138"/>
        <v>10</v>
      </c>
      <c r="BA84" s="6" t="str">
        <f t="shared" si="213"/>
        <v>出怪口错误</v>
      </c>
      <c r="BB84" s="35">
        <v>3</v>
      </c>
      <c r="BC84" s="33">
        <f t="shared" si="139"/>
        <v>10</v>
      </c>
      <c r="BD84" s="6" t="str">
        <f t="shared" si="214"/>
        <v>出怪口错误</v>
      </c>
      <c r="BE84" s="8">
        <f t="shared" ref="BE84:BE90" si="227">BE83</f>
        <v>15</v>
      </c>
      <c r="BF84" s="5">
        <f t="shared" si="190"/>
        <v>3</v>
      </c>
      <c r="BG84" s="33">
        <f t="shared" si="141"/>
        <v>13</v>
      </c>
      <c r="BH84" s="6" t="str">
        <f t="shared" si="175"/>
        <v>出怪口错误</v>
      </c>
      <c r="BI84" s="35">
        <v>2</v>
      </c>
      <c r="BJ84" s="33">
        <f t="shared" si="142"/>
        <v>13</v>
      </c>
      <c r="BK84" s="6" t="str">
        <f t="shared" si="215"/>
        <v>出怪口错误</v>
      </c>
      <c r="BL84" s="35">
        <v>3</v>
      </c>
      <c r="BM84" s="33">
        <f t="shared" si="159"/>
        <v>13</v>
      </c>
      <c r="BN84" s="6" t="str">
        <f t="shared" si="216"/>
        <v>出怪口错误</v>
      </c>
      <c r="BO84" s="8">
        <f t="shared" ref="BO84:BO90" si="228">BO83</f>
        <v>20</v>
      </c>
      <c r="BP84" s="5">
        <f t="shared" si="192"/>
        <v>4</v>
      </c>
      <c r="BQ84" s="33">
        <f t="shared" si="144"/>
        <v>16</v>
      </c>
      <c r="BR84" s="6" t="str">
        <f t="shared" si="176"/>
        <v>出怪口错误</v>
      </c>
      <c r="BS84" s="35">
        <v>2</v>
      </c>
      <c r="BT84" s="33">
        <f t="shared" si="145"/>
        <v>16</v>
      </c>
      <c r="BU84" s="6" t="str">
        <f t="shared" si="217"/>
        <v>出怪口错误</v>
      </c>
      <c r="BV84" s="35">
        <v>3</v>
      </c>
      <c r="BW84" s="33">
        <f t="shared" si="146"/>
        <v>16</v>
      </c>
      <c r="BX84" s="6" t="str">
        <f t="shared" si="218"/>
        <v>出怪口错误</v>
      </c>
      <c r="BY84" s="8">
        <f t="shared" ref="BY84:BY90" si="229">BY83</f>
        <v>20</v>
      </c>
      <c r="BZ84" s="5">
        <f t="shared" si="194"/>
        <v>4</v>
      </c>
      <c r="CA84" s="33">
        <f t="shared" si="148"/>
        <v>20</v>
      </c>
      <c r="CB84" s="6" t="str">
        <f t="shared" si="177"/>
        <v>出怪口错误</v>
      </c>
      <c r="CC84" s="35">
        <v>2</v>
      </c>
      <c r="CD84" s="33">
        <f t="shared" si="149"/>
        <v>20</v>
      </c>
      <c r="CE84" s="6" t="str">
        <f t="shared" si="219"/>
        <v>出怪口错误</v>
      </c>
      <c r="CF84" s="35">
        <v>3</v>
      </c>
      <c r="CG84" s="33">
        <f t="shared" si="150"/>
        <v>20</v>
      </c>
      <c r="CH84" s="6" t="str">
        <f t="shared" si="220"/>
        <v>出怪口错误</v>
      </c>
      <c r="CI84" s="8">
        <f t="shared" ref="CI84:CI90" si="230">CI83</f>
        <v>20</v>
      </c>
      <c r="CJ84" s="15">
        <f t="shared" si="196"/>
        <v>1</v>
      </c>
      <c r="CK84" s="33">
        <f t="shared" si="152"/>
        <v>26</v>
      </c>
      <c r="CL84" s="6" t="str">
        <f t="shared" si="178"/>
        <v>出怪口错误</v>
      </c>
      <c r="CM84" s="35">
        <v>2</v>
      </c>
      <c r="CN84" s="33">
        <f t="shared" si="153"/>
        <v>26</v>
      </c>
      <c r="CO84" s="6" t="str">
        <f t="shared" si="221"/>
        <v>出怪口错误</v>
      </c>
      <c r="CP84" s="35">
        <v>3</v>
      </c>
      <c r="CQ84" s="33">
        <f t="shared" si="154"/>
        <v>26</v>
      </c>
      <c r="CR84" s="6" t="str">
        <f t="shared" si="222"/>
        <v>出怪口错误</v>
      </c>
      <c r="CS84" s="8">
        <f t="shared" ref="CS84:CS90" si="231">CS83</f>
        <v>20</v>
      </c>
      <c r="CT84" s="15">
        <f t="shared" si="198"/>
        <v>2</v>
      </c>
      <c r="CU84" s="33">
        <f t="shared" si="201"/>
        <v>46</v>
      </c>
      <c r="CV84" s="6" t="str">
        <f t="shared" si="202"/>
        <v>出怪口错误</v>
      </c>
      <c r="CW84" s="35">
        <v>2</v>
      </c>
      <c r="CX84" s="33">
        <f t="shared" si="156"/>
        <v>31</v>
      </c>
      <c r="CY84" s="6" t="str">
        <f t="shared" si="223"/>
        <v>出怪口错误</v>
      </c>
      <c r="CZ84" s="35">
        <v>3</v>
      </c>
      <c r="DA84" s="33">
        <f t="shared" si="157"/>
        <v>46</v>
      </c>
      <c r="DB84" s="6" t="str">
        <f t="shared" si="224"/>
        <v>出怪口错误</v>
      </c>
      <c r="DC84" s="1">
        <f t="shared" ref="DC84:DC90" si="232">DC83</f>
        <v>20</v>
      </c>
    </row>
    <row r="85" s="2" customFormat="1" spans="5:107">
      <c r="E85" s="25" t="s">
        <v>1310</v>
      </c>
      <c r="F85" s="26"/>
      <c r="G85" s="27"/>
      <c r="H85" s="27"/>
      <c r="I85" s="27"/>
      <c r="J85" s="27"/>
      <c r="K85" s="27"/>
      <c r="L85" s="27"/>
      <c r="M85" s="27"/>
      <c r="N85" s="28"/>
      <c r="O85" s="26"/>
      <c r="P85" s="27"/>
      <c r="Q85" s="27"/>
      <c r="R85" s="29"/>
      <c r="U85" s="2">
        <v>83</v>
      </c>
      <c r="V85" s="1" t="str">
        <f t="shared" si="179"/>
        <v>5</v>
      </c>
      <c r="W85" s="1">
        <v>125</v>
      </c>
      <c r="X85" s="30" t="s">
        <v>1206</v>
      </c>
      <c r="Y85" s="3">
        <f>出怪成长!C84</f>
        <v>15</v>
      </c>
      <c r="Z85" s="31" t="str">
        <f t="shared" si="160"/>
        <v>1:3:出怪口错误|1:13:出怪口错误|2:22:出怪口错误|2:12:出怪口错误#2:12:出怪口错误#3:12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5" s="5">
        <f t="shared" si="200"/>
        <v>1</v>
      </c>
      <c r="AB85" s="32">
        <f t="shared" si="180"/>
        <v>3</v>
      </c>
      <c r="AC85" s="6" t="str">
        <f t="shared" si="170"/>
        <v>出怪口错误</v>
      </c>
      <c r="AD85" s="5">
        <f t="shared" si="181"/>
        <v>1</v>
      </c>
      <c r="AE85" s="32">
        <f t="shared" si="182"/>
        <v>13</v>
      </c>
      <c r="AF85" s="6" t="str">
        <f t="shared" si="183"/>
        <v>出怪口错误</v>
      </c>
      <c r="AG85" s="13">
        <v>10.2</v>
      </c>
      <c r="AH85" s="5">
        <f t="shared" si="184"/>
        <v>2</v>
      </c>
      <c r="AI85" s="32">
        <f t="shared" si="171"/>
        <v>22</v>
      </c>
      <c r="AJ85" s="6" t="str">
        <f t="shared" si="172"/>
        <v>出怪口错误</v>
      </c>
      <c r="AK85" s="1">
        <f t="shared" si="225"/>
        <v>9</v>
      </c>
      <c r="AL85" s="5">
        <f t="shared" si="186"/>
        <v>2</v>
      </c>
      <c r="AM85" s="33">
        <f t="shared" si="133"/>
        <v>12</v>
      </c>
      <c r="AN85" s="6" t="str">
        <f t="shared" si="173"/>
        <v>出怪口错误</v>
      </c>
      <c r="AO85" s="35">
        <v>2</v>
      </c>
      <c r="AP85" s="33">
        <f t="shared" si="134"/>
        <v>12</v>
      </c>
      <c r="AQ85" s="6" t="str">
        <f t="shared" si="211"/>
        <v>出怪口错误</v>
      </c>
      <c r="AR85" s="35">
        <v>3</v>
      </c>
      <c r="AS85" s="33">
        <f t="shared" si="135"/>
        <v>12</v>
      </c>
      <c r="AT85" s="6" t="str">
        <f t="shared" si="212"/>
        <v>出怪口错误</v>
      </c>
      <c r="AU85" s="1">
        <f t="shared" si="226"/>
        <v>14</v>
      </c>
      <c r="AV85" s="5">
        <f t="shared" si="188"/>
        <v>3</v>
      </c>
      <c r="AW85" s="33">
        <f t="shared" si="137"/>
        <v>10</v>
      </c>
      <c r="AX85" s="6" t="str">
        <f t="shared" si="174"/>
        <v>出怪口错误</v>
      </c>
      <c r="AY85" s="35">
        <v>2</v>
      </c>
      <c r="AZ85" s="33">
        <f t="shared" si="138"/>
        <v>10</v>
      </c>
      <c r="BA85" s="6" t="str">
        <f t="shared" si="213"/>
        <v>出怪口错误</v>
      </c>
      <c r="BB85" s="35">
        <v>3</v>
      </c>
      <c r="BC85" s="33">
        <f t="shared" si="139"/>
        <v>10</v>
      </c>
      <c r="BD85" s="6" t="str">
        <f t="shared" si="214"/>
        <v>出怪口错误</v>
      </c>
      <c r="BE85" s="8">
        <f t="shared" si="227"/>
        <v>15</v>
      </c>
      <c r="BF85" s="5">
        <f t="shared" si="190"/>
        <v>3</v>
      </c>
      <c r="BG85" s="33">
        <f t="shared" si="141"/>
        <v>13</v>
      </c>
      <c r="BH85" s="6" t="str">
        <f t="shared" si="175"/>
        <v>出怪口错误</v>
      </c>
      <c r="BI85" s="35">
        <v>2</v>
      </c>
      <c r="BJ85" s="33">
        <f t="shared" si="142"/>
        <v>13</v>
      </c>
      <c r="BK85" s="6" t="str">
        <f t="shared" si="215"/>
        <v>出怪口错误</v>
      </c>
      <c r="BL85" s="35">
        <v>3</v>
      </c>
      <c r="BM85" s="33">
        <f t="shared" si="159"/>
        <v>13</v>
      </c>
      <c r="BN85" s="6" t="str">
        <f t="shared" si="216"/>
        <v>出怪口错误</v>
      </c>
      <c r="BO85" s="8">
        <f t="shared" si="228"/>
        <v>20</v>
      </c>
      <c r="BP85" s="5">
        <f t="shared" si="192"/>
        <v>4</v>
      </c>
      <c r="BQ85" s="33">
        <f t="shared" si="144"/>
        <v>16</v>
      </c>
      <c r="BR85" s="6" t="str">
        <f t="shared" si="176"/>
        <v>出怪口错误</v>
      </c>
      <c r="BS85" s="35">
        <v>2</v>
      </c>
      <c r="BT85" s="33">
        <f t="shared" si="145"/>
        <v>16</v>
      </c>
      <c r="BU85" s="6" t="str">
        <f t="shared" si="217"/>
        <v>出怪口错误</v>
      </c>
      <c r="BV85" s="35">
        <v>3</v>
      </c>
      <c r="BW85" s="33">
        <f t="shared" si="146"/>
        <v>16</v>
      </c>
      <c r="BX85" s="6" t="str">
        <f t="shared" si="218"/>
        <v>出怪口错误</v>
      </c>
      <c r="BY85" s="8">
        <f t="shared" si="229"/>
        <v>20</v>
      </c>
      <c r="BZ85" s="5">
        <f t="shared" si="194"/>
        <v>4</v>
      </c>
      <c r="CA85" s="33">
        <f t="shared" si="148"/>
        <v>20</v>
      </c>
      <c r="CB85" s="6" t="str">
        <f t="shared" si="177"/>
        <v>出怪口错误</v>
      </c>
      <c r="CC85" s="35">
        <v>2</v>
      </c>
      <c r="CD85" s="33">
        <f t="shared" si="149"/>
        <v>20</v>
      </c>
      <c r="CE85" s="6" t="str">
        <f t="shared" si="219"/>
        <v>出怪口错误</v>
      </c>
      <c r="CF85" s="35">
        <v>3</v>
      </c>
      <c r="CG85" s="33">
        <f t="shared" si="150"/>
        <v>20</v>
      </c>
      <c r="CH85" s="6" t="str">
        <f t="shared" si="220"/>
        <v>出怪口错误</v>
      </c>
      <c r="CI85" s="8">
        <f t="shared" si="230"/>
        <v>20</v>
      </c>
      <c r="CJ85" s="15">
        <f t="shared" si="196"/>
        <v>1</v>
      </c>
      <c r="CK85" s="33">
        <f t="shared" si="152"/>
        <v>26</v>
      </c>
      <c r="CL85" s="6" t="str">
        <f t="shared" si="178"/>
        <v>出怪口错误</v>
      </c>
      <c r="CM85" s="35">
        <v>2</v>
      </c>
      <c r="CN85" s="33">
        <f t="shared" si="153"/>
        <v>26</v>
      </c>
      <c r="CO85" s="6" t="str">
        <f t="shared" si="221"/>
        <v>出怪口错误</v>
      </c>
      <c r="CP85" s="35">
        <v>3</v>
      </c>
      <c r="CQ85" s="33">
        <f t="shared" si="154"/>
        <v>26</v>
      </c>
      <c r="CR85" s="6" t="str">
        <f t="shared" si="222"/>
        <v>出怪口错误</v>
      </c>
      <c r="CS85" s="8">
        <f t="shared" si="231"/>
        <v>20</v>
      </c>
      <c r="CT85" s="15">
        <f t="shared" si="198"/>
        <v>2</v>
      </c>
      <c r="CU85" s="32">
        <f t="shared" si="201"/>
        <v>46</v>
      </c>
      <c r="CV85" s="6" t="str">
        <f t="shared" si="202"/>
        <v>出怪口错误</v>
      </c>
      <c r="CW85" s="35">
        <v>2</v>
      </c>
      <c r="CX85" s="33">
        <f t="shared" si="156"/>
        <v>31</v>
      </c>
      <c r="CY85" s="6" t="str">
        <f t="shared" si="223"/>
        <v>出怪口错误</v>
      </c>
      <c r="CZ85" s="35">
        <v>3</v>
      </c>
      <c r="DA85" s="33">
        <f t="shared" si="157"/>
        <v>46</v>
      </c>
      <c r="DB85" s="6" t="str">
        <f t="shared" si="224"/>
        <v>出怪口错误</v>
      </c>
      <c r="DC85" s="1">
        <f t="shared" si="232"/>
        <v>20</v>
      </c>
    </row>
    <row r="86" s="2" customFormat="1" spans="5:107">
      <c r="E86" s="25" t="s">
        <v>1311</v>
      </c>
      <c r="F86" s="26"/>
      <c r="G86" s="27"/>
      <c r="H86" s="27"/>
      <c r="I86" s="27"/>
      <c r="J86" s="27"/>
      <c r="K86" s="27"/>
      <c r="L86" s="27"/>
      <c r="M86" s="27"/>
      <c r="N86" s="28"/>
      <c r="O86" s="26"/>
      <c r="P86" s="27"/>
      <c r="Q86" s="27"/>
      <c r="R86" s="29"/>
      <c r="U86" s="2">
        <v>84</v>
      </c>
      <c r="V86" s="1" t="str">
        <f t="shared" si="179"/>
        <v>6</v>
      </c>
      <c r="W86" s="1">
        <v>126</v>
      </c>
      <c r="X86" s="30" t="s">
        <v>1207</v>
      </c>
      <c r="Y86" s="3">
        <f>出怪成长!C85</f>
        <v>15</v>
      </c>
      <c r="Z86" s="31" t="str">
        <f t="shared" si="160"/>
        <v>1:3:出怪口错误|1:13:出怪口错误|2:22:出怪口错误|2:12:出怪口错误#2:12:出怪口错误#3:12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6" s="5">
        <f t="shared" si="200"/>
        <v>1</v>
      </c>
      <c r="AB86" s="32">
        <f t="shared" si="180"/>
        <v>3</v>
      </c>
      <c r="AC86" s="6" t="str">
        <f t="shared" si="170"/>
        <v>出怪口错误</v>
      </c>
      <c r="AD86" s="5">
        <f t="shared" si="181"/>
        <v>1</v>
      </c>
      <c r="AE86" s="32">
        <f t="shared" si="182"/>
        <v>13</v>
      </c>
      <c r="AF86" s="6" t="str">
        <f t="shared" si="183"/>
        <v>出怪口错误</v>
      </c>
      <c r="AG86" s="13">
        <v>10.3</v>
      </c>
      <c r="AH86" s="5">
        <f t="shared" si="184"/>
        <v>2</v>
      </c>
      <c r="AI86" s="32">
        <f t="shared" si="171"/>
        <v>22</v>
      </c>
      <c r="AJ86" s="6" t="str">
        <f t="shared" si="172"/>
        <v>出怪口错误</v>
      </c>
      <c r="AK86" s="1">
        <f t="shared" si="225"/>
        <v>9</v>
      </c>
      <c r="AL86" s="5">
        <f t="shared" si="186"/>
        <v>2</v>
      </c>
      <c r="AM86" s="33">
        <f t="shared" si="133"/>
        <v>12</v>
      </c>
      <c r="AN86" s="6" t="str">
        <f t="shared" si="173"/>
        <v>出怪口错误</v>
      </c>
      <c r="AO86" s="35">
        <v>2</v>
      </c>
      <c r="AP86" s="33">
        <f t="shared" si="134"/>
        <v>12</v>
      </c>
      <c r="AQ86" s="6" t="str">
        <f t="shared" si="211"/>
        <v>出怪口错误</v>
      </c>
      <c r="AR86" s="35">
        <v>3</v>
      </c>
      <c r="AS86" s="33">
        <f t="shared" si="135"/>
        <v>12</v>
      </c>
      <c r="AT86" s="6" t="str">
        <f t="shared" si="212"/>
        <v>出怪口错误</v>
      </c>
      <c r="AU86" s="1">
        <f t="shared" si="226"/>
        <v>14</v>
      </c>
      <c r="AV86" s="5">
        <f t="shared" si="188"/>
        <v>3</v>
      </c>
      <c r="AW86" s="33">
        <f t="shared" si="137"/>
        <v>10</v>
      </c>
      <c r="AX86" s="6" t="str">
        <f t="shared" si="174"/>
        <v>出怪口错误</v>
      </c>
      <c r="AY86" s="35">
        <v>2</v>
      </c>
      <c r="AZ86" s="33">
        <f t="shared" si="138"/>
        <v>10</v>
      </c>
      <c r="BA86" s="6" t="str">
        <f t="shared" si="213"/>
        <v>出怪口错误</v>
      </c>
      <c r="BB86" s="35">
        <v>3</v>
      </c>
      <c r="BC86" s="33">
        <f t="shared" si="139"/>
        <v>10</v>
      </c>
      <c r="BD86" s="6" t="str">
        <f t="shared" si="214"/>
        <v>出怪口错误</v>
      </c>
      <c r="BE86" s="8">
        <f t="shared" si="227"/>
        <v>15</v>
      </c>
      <c r="BF86" s="5">
        <f t="shared" si="190"/>
        <v>3</v>
      </c>
      <c r="BG86" s="33">
        <f t="shared" si="141"/>
        <v>13</v>
      </c>
      <c r="BH86" s="6" t="str">
        <f t="shared" si="175"/>
        <v>出怪口错误</v>
      </c>
      <c r="BI86" s="35">
        <v>2</v>
      </c>
      <c r="BJ86" s="33">
        <f t="shared" si="142"/>
        <v>13</v>
      </c>
      <c r="BK86" s="6" t="str">
        <f t="shared" si="215"/>
        <v>出怪口错误</v>
      </c>
      <c r="BL86" s="35">
        <v>3</v>
      </c>
      <c r="BM86" s="33">
        <f t="shared" si="159"/>
        <v>13</v>
      </c>
      <c r="BN86" s="6" t="str">
        <f t="shared" si="216"/>
        <v>出怪口错误</v>
      </c>
      <c r="BO86" s="8">
        <f t="shared" si="228"/>
        <v>20</v>
      </c>
      <c r="BP86" s="5">
        <f t="shared" si="192"/>
        <v>4</v>
      </c>
      <c r="BQ86" s="33">
        <f t="shared" si="144"/>
        <v>16</v>
      </c>
      <c r="BR86" s="6" t="str">
        <f t="shared" si="176"/>
        <v>出怪口错误</v>
      </c>
      <c r="BS86" s="35">
        <v>2</v>
      </c>
      <c r="BT86" s="33">
        <f t="shared" si="145"/>
        <v>16</v>
      </c>
      <c r="BU86" s="6" t="str">
        <f t="shared" si="217"/>
        <v>出怪口错误</v>
      </c>
      <c r="BV86" s="35">
        <v>3</v>
      </c>
      <c r="BW86" s="33">
        <f t="shared" si="146"/>
        <v>16</v>
      </c>
      <c r="BX86" s="6" t="str">
        <f t="shared" si="218"/>
        <v>出怪口错误</v>
      </c>
      <c r="BY86" s="8">
        <f t="shared" si="229"/>
        <v>20</v>
      </c>
      <c r="BZ86" s="5">
        <f t="shared" si="194"/>
        <v>4</v>
      </c>
      <c r="CA86" s="33">
        <f t="shared" si="148"/>
        <v>20</v>
      </c>
      <c r="CB86" s="6" t="str">
        <f t="shared" si="177"/>
        <v>出怪口错误</v>
      </c>
      <c r="CC86" s="35">
        <v>2</v>
      </c>
      <c r="CD86" s="33">
        <f t="shared" si="149"/>
        <v>20</v>
      </c>
      <c r="CE86" s="6" t="str">
        <f t="shared" si="219"/>
        <v>出怪口错误</v>
      </c>
      <c r="CF86" s="35">
        <v>3</v>
      </c>
      <c r="CG86" s="33">
        <f t="shared" si="150"/>
        <v>20</v>
      </c>
      <c r="CH86" s="6" t="str">
        <f t="shared" si="220"/>
        <v>出怪口错误</v>
      </c>
      <c r="CI86" s="8">
        <f t="shared" si="230"/>
        <v>20</v>
      </c>
      <c r="CJ86" s="15">
        <f t="shared" si="196"/>
        <v>1</v>
      </c>
      <c r="CK86" s="33">
        <f t="shared" si="152"/>
        <v>26</v>
      </c>
      <c r="CL86" s="6" t="str">
        <f t="shared" si="178"/>
        <v>出怪口错误</v>
      </c>
      <c r="CM86" s="35">
        <v>2</v>
      </c>
      <c r="CN86" s="33">
        <f t="shared" si="153"/>
        <v>26</v>
      </c>
      <c r="CO86" s="6" t="str">
        <f t="shared" si="221"/>
        <v>出怪口错误</v>
      </c>
      <c r="CP86" s="35">
        <v>3</v>
      </c>
      <c r="CQ86" s="33">
        <f t="shared" si="154"/>
        <v>26</v>
      </c>
      <c r="CR86" s="6" t="str">
        <f t="shared" si="222"/>
        <v>出怪口错误</v>
      </c>
      <c r="CS86" s="8">
        <f t="shared" si="231"/>
        <v>20</v>
      </c>
      <c r="CT86" s="15">
        <f t="shared" si="198"/>
        <v>2</v>
      </c>
      <c r="CU86" s="33">
        <f t="shared" si="201"/>
        <v>46</v>
      </c>
      <c r="CV86" s="6" t="str">
        <f t="shared" si="202"/>
        <v>出怪口错误</v>
      </c>
      <c r="CW86" s="35">
        <v>2</v>
      </c>
      <c r="CX86" s="33">
        <f t="shared" si="156"/>
        <v>31</v>
      </c>
      <c r="CY86" s="6" t="str">
        <f t="shared" si="223"/>
        <v>出怪口错误</v>
      </c>
      <c r="CZ86" s="35">
        <v>3</v>
      </c>
      <c r="DA86" s="33">
        <f t="shared" si="157"/>
        <v>46</v>
      </c>
      <c r="DB86" s="6" t="str">
        <f t="shared" si="224"/>
        <v>出怪口错误</v>
      </c>
      <c r="DC86" s="1">
        <f t="shared" si="232"/>
        <v>20</v>
      </c>
    </row>
    <row r="87" s="2" customFormat="1" spans="5:107">
      <c r="E87" s="25" t="s">
        <v>1312</v>
      </c>
      <c r="F87" s="26"/>
      <c r="G87" s="27"/>
      <c r="H87" s="27"/>
      <c r="I87" s="27"/>
      <c r="J87" s="27"/>
      <c r="K87" s="27"/>
      <c r="L87" s="27"/>
      <c r="M87" s="27"/>
      <c r="N87" s="28"/>
      <c r="O87" s="26"/>
      <c r="P87" s="27"/>
      <c r="Q87" s="27"/>
      <c r="R87" s="29"/>
      <c r="U87" s="2">
        <v>85</v>
      </c>
      <c r="V87" s="1" t="str">
        <f t="shared" si="179"/>
        <v>1</v>
      </c>
      <c r="W87" s="1">
        <v>131</v>
      </c>
      <c r="X87" s="30" t="s">
        <v>1208</v>
      </c>
      <c r="Y87" s="3">
        <f>出怪成长!C86</f>
        <v>15</v>
      </c>
      <c r="Z87" s="31" t="str">
        <f t="shared" si="160"/>
        <v>1:2:出怪口错误|1:12:出怪口错误|2:21:出怪口错误|2:11:出怪口错误#2:11:出怪口错误#3:11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7" s="5">
        <f t="shared" si="200"/>
        <v>1</v>
      </c>
      <c r="AB87" s="32">
        <f t="shared" si="180"/>
        <v>2</v>
      </c>
      <c r="AC87" s="6" t="str">
        <f t="shared" si="170"/>
        <v>出怪口错误</v>
      </c>
      <c r="AD87" s="5">
        <f t="shared" si="181"/>
        <v>1</v>
      </c>
      <c r="AE87" s="32">
        <f t="shared" si="182"/>
        <v>12</v>
      </c>
      <c r="AF87" s="6" t="str">
        <f t="shared" si="183"/>
        <v>出怪口错误</v>
      </c>
      <c r="AG87" s="13">
        <v>10.4</v>
      </c>
      <c r="AH87" s="5">
        <f t="shared" si="184"/>
        <v>2</v>
      </c>
      <c r="AI87" s="32">
        <f t="shared" si="171"/>
        <v>21</v>
      </c>
      <c r="AJ87" s="6" t="str">
        <f t="shared" si="172"/>
        <v>出怪口错误</v>
      </c>
      <c r="AK87" s="1">
        <f t="shared" si="225"/>
        <v>9</v>
      </c>
      <c r="AL87" s="5">
        <f t="shared" si="186"/>
        <v>2</v>
      </c>
      <c r="AM87" s="33">
        <f t="shared" si="133"/>
        <v>11</v>
      </c>
      <c r="AN87" s="6" t="str">
        <f t="shared" si="173"/>
        <v>出怪口错误</v>
      </c>
      <c r="AO87" s="35">
        <v>2</v>
      </c>
      <c r="AP87" s="33">
        <f t="shared" si="134"/>
        <v>11</v>
      </c>
      <c r="AQ87" s="6" t="str">
        <f t="shared" si="211"/>
        <v>出怪口错误</v>
      </c>
      <c r="AR87" s="35">
        <v>3</v>
      </c>
      <c r="AS87" s="33">
        <f t="shared" si="135"/>
        <v>11</v>
      </c>
      <c r="AT87" s="6" t="str">
        <f t="shared" si="212"/>
        <v>出怪口错误</v>
      </c>
      <c r="AU87" s="1">
        <f t="shared" si="226"/>
        <v>14</v>
      </c>
      <c r="AV87" s="5">
        <f t="shared" si="188"/>
        <v>3</v>
      </c>
      <c r="AW87" s="33">
        <f t="shared" si="137"/>
        <v>10</v>
      </c>
      <c r="AX87" s="6" t="str">
        <f t="shared" si="174"/>
        <v>出怪口错误</v>
      </c>
      <c r="AY87" s="35">
        <v>2</v>
      </c>
      <c r="AZ87" s="33">
        <f t="shared" si="138"/>
        <v>10</v>
      </c>
      <c r="BA87" s="6" t="str">
        <f t="shared" si="213"/>
        <v>出怪口错误</v>
      </c>
      <c r="BB87" s="35">
        <v>3</v>
      </c>
      <c r="BC87" s="33">
        <f t="shared" si="139"/>
        <v>10</v>
      </c>
      <c r="BD87" s="6" t="str">
        <f t="shared" si="214"/>
        <v>出怪口错误</v>
      </c>
      <c r="BE87" s="8">
        <f t="shared" si="227"/>
        <v>15</v>
      </c>
      <c r="BF87" s="5">
        <f t="shared" si="190"/>
        <v>3</v>
      </c>
      <c r="BG87" s="33">
        <f t="shared" si="141"/>
        <v>13</v>
      </c>
      <c r="BH87" s="6" t="str">
        <f t="shared" si="175"/>
        <v>出怪口错误</v>
      </c>
      <c r="BI87" s="35">
        <v>2</v>
      </c>
      <c r="BJ87" s="33">
        <f t="shared" si="142"/>
        <v>13</v>
      </c>
      <c r="BK87" s="6" t="str">
        <f t="shared" si="215"/>
        <v>出怪口错误</v>
      </c>
      <c r="BL87" s="35">
        <v>3</v>
      </c>
      <c r="BM87" s="33">
        <f t="shared" si="159"/>
        <v>13</v>
      </c>
      <c r="BN87" s="6" t="str">
        <f t="shared" si="216"/>
        <v>出怪口错误</v>
      </c>
      <c r="BO87" s="8">
        <f t="shared" si="228"/>
        <v>20</v>
      </c>
      <c r="BP87" s="5">
        <f t="shared" si="192"/>
        <v>4</v>
      </c>
      <c r="BQ87" s="33">
        <f t="shared" si="144"/>
        <v>16</v>
      </c>
      <c r="BR87" s="6" t="str">
        <f t="shared" si="176"/>
        <v>出怪口错误</v>
      </c>
      <c r="BS87" s="35">
        <v>2</v>
      </c>
      <c r="BT87" s="33">
        <f t="shared" si="145"/>
        <v>16</v>
      </c>
      <c r="BU87" s="6" t="str">
        <f t="shared" si="217"/>
        <v>出怪口错误</v>
      </c>
      <c r="BV87" s="35">
        <v>3</v>
      </c>
      <c r="BW87" s="33">
        <f t="shared" si="146"/>
        <v>16</v>
      </c>
      <c r="BX87" s="6" t="str">
        <f t="shared" si="218"/>
        <v>出怪口错误</v>
      </c>
      <c r="BY87" s="8">
        <f t="shared" si="229"/>
        <v>20</v>
      </c>
      <c r="BZ87" s="5">
        <f t="shared" si="194"/>
        <v>4</v>
      </c>
      <c r="CA87" s="33">
        <f t="shared" si="148"/>
        <v>20</v>
      </c>
      <c r="CB87" s="6" t="str">
        <f t="shared" si="177"/>
        <v>出怪口错误</v>
      </c>
      <c r="CC87" s="35">
        <v>2</v>
      </c>
      <c r="CD87" s="33">
        <f t="shared" si="149"/>
        <v>20</v>
      </c>
      <c r="CE87" s="6" t="str">
        <f t="shared" si="219"/>
        <v>出怪口错误</v>
      </c>
      <c r="CF87" s="35">
        <v>3</v>
      </c>
      <c r="CG87" s="33">
        <f t="shared" si="150"/>
        <v>20</v>
      </c>
      <c r="CH87" s="6" t="str">
        <f t="shared" si="220"/>
        <v>出怪口错误</v>
      </c>
      <c r="CI87" s="8">
        <f t="shared" si="230"/>
        <v>20</v>
      </c>
      <c r="CJ87" s="15">
        <f t="shared" si="196"/>
        <v>1</v>
      </c>
      <c r="CK87" s="33">
        <f t="shared" si="152"/>
        <v>26</v>
      </c>
      <c r="CL87" s="6" t="str">
        <f t="shared" si="178"/>
        <v>出怪口错误</v>
      </c>
      <c r="CM87" s="35">
        <v>2</v>
      </c>
      <c r="CN87" s="33">
        <f t="shared" si="153"/>
        <v>26</v>
      </c>
      <c r="CO87" s="6" t="str">
        <f t="shared" si="221"/>
        <v>出怪口错误</v>
      </c>
      <c r="CP87" s="35">
        <v>3</v>
      </c>
      <c r="CQ87" s="33">
        <f t="shared" si="154"/>
        <v>26</v>
      </c>
      <c r="CR87" s="6" t="str">
        <f t="shared" si="222"/>
        <v>出怪口错误</v>
      </c>
      <c r="CS87" s="8">
        <f t="shared" si="231"/>
        <v>20</v>
      </c>
      <c r="CT87" s="15">
        <f t="shared" si="198"/>
        <v>2</v>
      </c>
      <c r="CU87" s="32">
        <f t="shared" si="201"/>
        <v>46</v>
      </c>
      <c r="CV87" s="6" t="str">
        <f t="shared" si="202"/>
        <v>出怪口错误</v>
      </c>
      <c r="CW87" s="35">
        <v>2</v>
      </c>
      <c r="CX87" s="33">
        <f t="shared" si="156"/>
        <v>31</v>
      </c>
      <c r="CY87" s="6" t="str">
        <f t="shared" si="223"/>
        <v>出怪口错误</v>
      </c>
      <c r="CZ87" s="35">
        <v>3</v>
      </c>
      <c r="DA87" s="33">
        <f t="shared" si="157"/>
        <v>46</v>
      </c>
      <c r="DB87" s="6" t="str">
        <f t="shared" si="224"/>
        <v>出怪口错误</v>
      </c>
      <c r="DC87" s="1">
        <f t="shared" si="232"/>
        <v>20</v>
      </c>
    </row>
    <row r="88" s="2" customFormat="1" spans="5:107">
      <c r="E88" s="25" t="s">
        <v>1313</v>
      </c>
      <c r="F88" s="26"/>
      <c r="G88" s="27"/>
      <c r="H88" s="27"/>
      <c r="I88" s="27"/>
      <c r="J88" s="27"/>
      <c r="K88" s="27"/>
      <c r="L88" s="27"/>
      <c r="M88" s="27"/>
      <c r="N88" s="28"/>
      <c r="O88" s="26"/>
      <c r="P88" s="27"/>
      <c r="Q88" s="27"/>
      <c r="R88" s="29"/>
      <c r="U88" s="2">
        <v>86</v>
      </c>
      <c r="V88" s="1" t="str">
        <f t="shared" si="179"/>
        <v>2</v>
      </c>
      <c r="W88" s="1">
        <v>132</v>
      </c>
      <c r="X88" s="30" t="s">
        <v>1209</v>
      </c>
      <c r="Y88" s="3">
        <f>出怪成长!C87</f>
        <v>15</v>
      </c>
      <c r="Z88" s="31" t="str">
        <f t="shared" si="160"/>
        <v>1:2:出怪口错误|1:12:出怪口错误|2:21:出怪口错误|2:11:出怪口错误#2:11:出怪口错误#3:11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8" s="5">
        <f t="shared" si="200"/>
        <v>1</v>
      </c>
      <c r="AB88" s="32">
        <f t="shared" si="180"/>
        <v>2</v>
      </c>
      <c r="AC88" s="6" t="str">
        <f t="shared" si="170"/>
        <v>出怪口错误</v>
      </c>
      <c r="AD88" s="5">
        <f t="shared" si="181"/>
        <v>1</v>
      </c>
      <c r="AE88" s="32">
        <f t="shared" si="182"/>
        <v>12</v>
      </c>
      <c r="AF88" s="6" t="str">
        <f t="shared" si="183"/>
        <v>出怪口错误</v>
      </c>
      <c r="AG88" s="13">
        <v>10.5</v>
      </c>
      <c r="AH88" s="5">
        <f t="shared" si="184"/>
        <v>2</v>
      </c>
      <c r="AI88" s="32">
        <f t="shared" si="171"/>
        <v>21</v>
      </c>
      <c r="AJ88" s="6" t="str">
        <f t="shared" si="172"/>
        <v>出怪口错误</v>
      </c>
      <c r="AK88" s="1">
        <f t="shared" si="225"/>
        <v>9</v>
      </c>
      <c r="AL88" s="5">
        <f t="shared" si="186"/>
        <v>2</v>
      </c>
      <c r="AM88" s="33">
        <f t="shared" si="133"/>
        <v>11</v>
      </c>
      <c r="AN88" s="6" t="str">
        <f t="shared" si="173"/>
        <v>出怪口错误</v>
      </c>
      <c r="AO88" s="35">
        <v>2</v>
      </c>
      <c r="AP88" s="33">
        <f t="shared" si="134"/>
        <v>11</v>
      </c>
      <c r="AQ88" s="6" t="str">
        <f t="shared" si="211"/>
        <v>出怪口错误</v>
      </c>
      <c r="AR88" s="35">
        <v>3</v>
      </c>
      <c r="AS88" s="33">
        <f t="shared" si="135"/>
        <v>11</v>
      </c>
      <c r="AT88" s="6" t="str">
        <f t="shared" si="212"/>
        <v>出怪口错误</v>
      </c>
      <c r="AU88" s="1">
        <f t="shared" si="226"/>
        <v>14</v>
      </c>
      <c r="AV88" s="5">
        <f t="shared" si="188"/>
        <v>3</v>
      </c>
      <c r="AW88" s="33">
        <f t="shared" si="137"/>
        <v>10</v>
      </c>
      <c r="AX88" s="6" t="str">
        <f t="shared" si="174"/>
        <v>出怪口错误</v>
      </c>
      <c r="AY88" s="35">
        <v>2</v>
      </c>
      <c r="AZ88" s="33">
        <f t="shared" si="138"/>
        <v>10</v>
      </c>
      <c r="BA88" s="6" t="str">
        <f t="shared" si="213"/>
        <v>出怪口错误</v>
      </c>
      <c r="BB88" s="35">
        <v>3</v>
      </c>
      <c r="BC88" s="33">
        <f t="shared" si="139"/>
        <v>10</v>
      </c>
      <c r="BD88" s="6" t="str">
        <f t="shared" si="214"/>
        <v>出怪口错误</v>
      </c>
      <c r="BE88" s="8">
        <f t="shared" si="227"/>
        <v>15</v>
      </c>
      <c r="BF88" s="5">
        <f t="shared" si="190"/>
        <v>3</v>
      </c>
      <c r="BG88" s="33">
        <f t="shared" si="141"/>
        <v>13</v>
      </c>
      <c r="BH88" s="6" t="str">
        <f t="shared" si="175"/>
        <v>出怪口错误</v>
      </c>
      <c r="BI88" s="35">
        <v>2</v>
      </c>
      <c r="BJ88" s="33">
        <f t="shared" si="142"/>
        <v>13</v>
      </c>
      <c r="BK88" s="6" t="str">
        <f t="shared" si="215"/>
        <v>出怪口错误</v>
      </c>
      <c r="BL88" s="35">
        <v>3</v>
      </c>
      <c r="BM88" s="33">
        <f t="shared" si="159"/>
        <v>13</v>
      </c>
      <c r="BN88" s="6" t="str">
        <f t="shared" si="216"/>
        <v>出怪口错误</v>
      </c>
      <c r="BO88" s="8">
        <f t="shared" si="228"/>
        <v>20</v>
      </c>
      <c r="BP88" s="5">
        <f t="shared" si="192"/>
        <v>4</v>
      </c>
      <c r="BQ88" s="33">
        <f t="shared" si="144"/>
        <v>16</v>
      </c>
      <c r="BR88" s="6" t="str">
        <f t="shared" si="176"/>
        <v>出怪口错误</v>
      </c>
      <c r="BS88" s="35">
        <v>2</v>
      </c>
      <c r="BT88" s="33">
        <f t="shared" si="145"/>
        <v>16</v>
      </c>
      <c r="BU88" s="6" t="str">
        <f t="shared" si="217"/>
        <v>出怪口错误</v>
      </c>
      <c r="BV88" s="35">
        <v>3</v>
      </c>
      <c r="BW88" s="33">
        <f t="shared" si="146"/>
        <v>16</v>
      </c>
      <c r="BX88" s="6" t="str">
        <f t="shared" si="218"/>
        <v>出怪口错误</v>
      </c>
      <c r="BY88" s="8">
        <f t="shared" si="229"/>
        <v>20</v>
      </c>
      <c r="BZ88" s="5">
        <f t="shared" si="194"/>
        <v>4</v>
      </c>
      <c r="CA88" s="33">
        <f t="shared" si="148"/>
        <v>20</v>
      </c>
      <c r="CB88" s="6" t="str">
        <f t="shared" si="177"/>
        <v>出怪口错误</v>
      </c>
      <c r="CC88" s="35">
        <v>2</v>
      </c>
      <c r="CD88" s="33">
        <f t="shared" si="149"/>
        <v>20</v>
      </c>
      <c r="CE88" s="6" t="str">
        <f t="shared" si="219"/>
        <v>出怪口错误</v>
      </c>
      <c r="CF88" s="35">
        <v>3</v>
      </c>
      <c r="CG88" s="33">
        <f t="shared" si="150"/>
        <v>20</v>
      </c>
      <c r="CH88" s="6" t="str">
        <f t="shared" si="220"/>
        <v>出怪口错误</v>
      </c>
      <c r="CI88" s="8">
        <f t="shared" si="230"/>
        <v>20</v>
      </c>
      <c r="CJ88" s="15">
        <f t="shared" si="196"/>
        <v>1</v>
      </c>
      <c r="CK88" s="33">
        <f t="shared" si="152"/>
        <v>26</v>
      </c>
      <c r="CL88" s="6" t="str">
        <f t="shared" si="178"/>
        <v>出怪口错误</v>
      </c>
      <c r="CM88" s="35">
        <v>2</v>
      </c>
      <c r="CN88" s="33">
        <f t="shared" si="153"/>
        <v>26</v>
      </c>
      <c r="CO88" s="6" t="str">
        <f t="shared" si="221"/>
        <v>出怪口错误</v>
      </c>
      <c r="CP88" s="35">
        <v>3</v>
      </c>
      <c r="CQ88" s="33">
        <f t="shared" si="154"/>
        <v>26</v>
      </c>
      <c r="CR88" s="6" t="str">
        <f t="shared" si="222"/>
        <v>出怪口错误</v>
      </c>
      <c r="CS88" s="8">
        <f t="shared" si="231"/>
        <v>20</v>
      </c>
      <c r="CT88" s="15">
        <f t="shared" si="198"/>
        <v>2</v>
      </c>
      <c r="CU88" s="33">
        <f t="shared" si="201"/>
        <v>46</v>
      </c>
      <c r="CV88" s="6" t="str">
        <f t="shared" si="202"/>
        <v>出怪口错误</v>
      </c>
      <c r="CW88" s="35">
        <v>2</v>
      </c>
      <c r="CX88" s="33">
        <f t="shared" si="156"/>
        <v>31</v>
      </c>
      <c r="CY88" s="6" t="str">
        <f t="shared" si="223"/>
        <v>出怪口错误</v>
      </c>
      <c r="CZ88" s="35">
        <v>3</v>
      </c>
      <c r="DA88" s="33">
        <f t="shared" si="157"/>
        <v>46</v>
      </c>
      <c r="DB88" s="6" t="str">
        <f t="shared" si="224"/>
        <v>出怪口错误</v>
      </c>
      <c r="DC88" s="1">
        <f t="shared" si="232"/>
        <v>20</v>
      </c>
    </row>
    <row r="89" s="2" customFormat="1" spans="5:107">
      <c r="E89" s="25" t="s">
        <v>1314</v>
      </c>
      <c r="F89" s="26"/>
      <c r="G89" s="27"/>
      <c r="H89" s="27"/>
      <c r="I89" s="27"/>
      <c r="J89" s="27"/>
      <c r="K89" s="27"/>
      <c r="L89" s="27"/>
      <c r="M89" s="27"/>
      <c r="N89" s="28"/>
      <c r="O89" s="26"/>
      <c r="P89" s="27"/>
      <c r="Q89" s="27"/>
      <c r="R89" s="29"/>
      <c r="U89" s="2">
        <v>87</v>
      </c>
      <c r="V89" s="1" t="str">
        <f t="shared" si="179"/>
        <v>3</v>
      </c>
      <c r="W89" s="1">
        <v>133</v>
      </c>
      <c r="X89" s="30" t="s">
        <v>1210</v>
      </c>
      <c r="Y89" s="3">
        <f>出怪成长!C88</f>
        <v>15</v>
      </c>
      <c r="Z89" s="31" t="str">
        <f t="shared" si="160"/>
        <v>1:2:出怪口错误|1:12:出怪口错误|2:21:出怪口错误|2:11:出怪口错误#2:11:出怪口错误#3:11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89" s="5">
        <f t="shared" si="200"/>
        <v>1</v>
      </c>
      <c r="AB89" s="32">
        <f t="shared" si="180"/>
        <v>2</v>
      </c>
      <c r="AC89" s="6" t="str">
        <f t="shared" si="170"/>
        <v>出怪口错误</v>
      </c>
      <c r="AD89" s="5">
        <f t="shared" si="181"/>
        <v>1</v>
      </c>
      <c r="AE89" s="32">
        <f t="shared" si="182"/>
        <v>12</v>
      </c>
      <c r="AF89" s="6" t="str">
        <f t="shared" si="183"/>
        <v>出怪口错误</v>
      </c>
      <c r="AG89" s="13">
        <v>10.6</v>
      </c>
      <c r="AH89" s="5">
        <f t="shared" si="184"/>
        <v>2</v>
      </c>
      <c r="AI89" s="32">
        <f t="shared" si="171"/>
        <v>21</v>
      </c>
      <c r="AJ89" s="6" t="str">
        <f t="shared" si="172"/>
        <v>出怪口错误</v>
      </c>
      <c r="AK89" s="1">
        <f t="shared" si="225"/>
        <v>9</v>
      </c>
      <c r="AL89" s="5">
        <f t="shared" si="186"/>
        <v>2</v>
      </c>
      <c r="AM89" s="33">
        <f t="shared" si="133"/>
        <v>11</v>
      </c>
      <c r="AN89" s="6" t="str">
        <f t="shared" si="173"/>
        <v>出怪口错误</v>
      </c>
      <c r="AO89" s="35">
        <v>2</v>
      </c>
      <c r="AP89" s="33">
        <f t="shared" si="134"/>
        <v>11</v>
      </c>
      <c r="AQ89" s="6" t="str">
        <f t="shared" si="211"/>
        <v>出怪口错误</v>
      </c>
      <c r="AR89" s="35">
        <v>3</v>
      </c>
      <c r="AS89" s="33">
        <f t="shared" si="135"/>
        <v>11</v>
      </c>
      <c r="AT89" s="6" t="str">
        <f t="shared" si="212"/>
        <v>出怪口错误</v>
      </c>
      <c r="AU89" s="1">
        <f t="shared" si="226"/>
        <v>14</v>
      </c>
      <c r="AV89" s="5">
        <f t="shared" si="188"/>
        <v>3</v>
      </c>
      <c r="AW89" s="33">
        <f t="shared" si="137"/>
        <v>10</v>
      </c>
      <c r="AX89" s="6" t="str">
        <f t="shared" si="174"/>
        <v>出怪口错误</v>
      </c>
      <c r="AY89" s="35">
        <v>2</v>
      </c>
      <c r="AZ89" s="33">
        <f t="shared" si="138"/>
        <v>10</v>
      </c>
      <c r="BA89" s="6" t="str">
        <f t="shared" si="213"/>
        <v>出怪口错误</v>
      </c>
      <c r="BB89" s="35">
        <v>3</v>
      </c>
      <c r="BC89" s="33">
        <f t="shared" si="139"/>
        <v>10</v>
      </c>
      <c r="BD89" s="6" t="str">
        <f t="shared" si="214"/>
        <v>出怪口错误</v>
      </c>
      <c r="BE89" s="8">
        <f t="shared" si="227"/>
        <v>15</v>
      </c>
      <c r="BF89" s="5">
        <f t="shared" si="190"/>
        <v>3</v>
      </c>
      <c r="BG89" s="33">
        <f t="shared" si="141"/>
        <v>13</v>
      </c>
      <c r="BH89" s="6" t="str">
        <f t="shared" si="175"/>
        <v>出怪口错误</v>
      </c>
      <c r="BI89" s="35">
        <v>2</v>
      </c>
      <c r="BJ89" s="33">
        <f t="shared" si="142"/>
        <v>13</v>
      </c>
      <c r="BK89" s="6" t="str">
        <f t="shared" si="215"/>
        <v>出怪口错误</v>
      </c>
      <c r="BL89" s="35">
        <v>3</v>
      </c>
      <c r="BM89" s="33">
        <f t="shared" si="159"/>
        <v>13</v>
      </c>
      <c r="BN89" s="6" t="str">
        <f t="shared" si="216"/>
        <v>出怪口错误</v>
      </c>
      <c r="BO89" s="8">
        <f t="shared" si="228"/>
        <v>20</v>
      </c>
      <c r="BP89" s="5">
        <f t="shared" si="192"/>
        <v>4</v>
      </c>
      <c r="BQ89" s="33">
        <f t="shared" si="144"/>
        <v>16</v>
      </c>
      <c r="BR89" s="6" t="str">
        <f t="shared" si="176"/>
        <v>出怪口错误</v>
      </c>
      <c r="BS89" s="35">
        <v>2</v>
      </c>
      <c r="BT89" s="33">
        <f t="shared" si="145"/>
        <v>16</v>
      </c>
      <c r="BU89" s="6" t="str">
        <f t="shared" si="217"/>
        <v>出怪口错误</v>
      </c>
      <c r="BV89" s="35">
        <v>3</v>
      </c>
      <c r="BW89" s="33">
        <f t="shared" si="146"/>
        <v>16</v>
      </c>
      <c r="BX89" s="6" t="str">
        <f t="shared" si="218"/>
        <v>出怪口错误</v>
      </c>
      <c r="BY89" s="8">
        <f t="shared" si="229"/>
        <v>20</v>
      </c>
      <c r="BZ89" s="5">
        <f t="shared" si="194"/>
        <v>4</v>
      </c>
      <c r="CA89" s="33">
        <f t="shared" si="148"/>
        <v>20</v>
      </c>
      <c r="CB89" s="6" t="str">
        <f t="shared" si="177"/>
        <v>出怪口错误</v>
      </c>
      <c r="CC89" s="35">
        <v>2</v>
      </c>
      <c r="CD89" s="33">
        <f t="shared" si="149"/>
        <v>20</v>
      </c>
      <c r="CE89" s="6" t="str">
        <f t="shared" si="219"/>
        <v>出怪口错误</v>
      </c>
      <c r="CF89" s="35">
        <v>3</v>
      </c>
      <c r="CG89" s="33">
        <f t="shared" si="150"/>
        <v>20</v>
      </c>
      <c r="CH89" s="6" t="str">
        <f t="shared" si="220"/>
        <v>出怪口错误</v>
      </c>
      <c r="CI89" s="8">
        <f t="shared" si="230"/>
        <v>20</v>
      </c>
      <c r="CJ89" s="15">
        <f t="shared" si="196"/>
        <v>1</v>
      </c>
      <c r="CK89" s="33">
        <f t="shared" si="152"/>
        <v>26</v>
      </c>
      <c r="CL89" s="6" t="str">
        <f t="shared" si="178"/>
        <v>出怪口错误</v>
      </c>
      <c r="CM89" s="35">
        <v>2</v>
      </c>
      <c r="CN89" s="33">
        <f t="shared" si="153"/>
        <v>26</v>
      </c>
      <c r="CO89" s="6" t="str">
        <f t="shared" si="221"/>
        <v>出怪口错误</v>
      </c>
      <c r="CP89" s="35">
        <v>3</v>
      </c>
      <c r="CQ89" s="33">
        <f t="shared" si="154"/>
        <v>26</v>
      </c>
      <c r="CR89" s="6" t="str">
        <f t="shared" si="222"/>
        <v>出怪口错误</v>
      </c>
      <c r="CS89" s="8">
        <f t="shared" si="231"/>
        <v>20</v>
      </c>
      <c r="CT89" s="15">
        <f t="shared" si="198"/>
        <v>2</v>
      </c>
      <c r="CU89" s="32">
        <f t="shared" si="201"/>
        <v>46</v>
      </c>
      <c r="CV89" s="6" t="str">
        <f t="shared" si="202"/>
        <v>出怪口错误</v>
      </c>
      <c r="CW89" s="35">
        <v>2</v>
      </c>
      <c r="CX89" s="33">
        <f t="shared" si="156"/>
        <v>31</v>
      </c>
      <c r="CY89" s="6" t="str">
        <f t="shared" si="223"/>
        <v>出怪口错误</v>
      </c>
      <c r="CZ89" s="35">
        <v>3</v>
      </c>
      <c r="DA89" s="33">
        <f t="shared" si="157"/>
        <v>46</v>
      </c>
      <c r="DB89" s="6" t="str">
        <f t="shared" si="224"/>
        <v>出怪口错误</v>
      </c>
      <c r="DC89" s="1">
        <f t="shared" si="232"/>
        <v>20</v>
      </c>
    </row>
    <row r="90" s="2" customFormat="1" spans="5:107">
      <c r="E90" s="25" t="s">
        <v>1315</v>
      </c>
      <c r="F90" s="26"/>
      <c r="G90" s="27"/>
      <c r="H90" s="27"/>
      <c r="I90" s="27"/>
      <c r="J90" s="27"/>
      <c r="K90" s="27"/>
      <c r="L90" s="27"/>
      <c r="M90" s="27"/>
      <c r="N90" s="28"/>
      <c r="O90" s="26"/>
      <c r="P90" s="27"/>
      <c r="Q90" s="27"/>
      <c r="R90" s="29"/>
      <c r="U90" s="2">
        <v>88</v>
      </c>
      <c r="V90" s="1" t="str">
        <f t="shared" si="179"/>
        <v>4</v>
      </c>
      <c r="W90" s="1">
        <v>134</v>
      </c>
      <c r="X90" s="30" t="s">
        <v>1211</v>
      </c>
      <c r="Y90" s="3">
        <f>出怪成长!C89</f>
        <v>15</v>
      </c>
      <c r="Z90" s="31" t="str">
        <f t="shared" si="160"/>
        <v>1:2:出怪口错误|1:12:出怪口错误|2:21:出怪口错误|2:11:出怪口错误#2:11:出怪口错误#3:11:出怪口错误|3:10:出怪口错误#2:10:出怪口错误#3:10:出怪口错误|3:13:出怪口错误#2:13:出怪口错误#3:13:出怪口错误|4:16:出怪口错误#2:16:出怪口错误#3:16:出怪口错误|4:20:出怪口错误#2:20:出怪口错误#3:20:出怪口错误|1:26:出怪口错误#2:26:出怪口错误#3:26:出怪口错误|2:46:出怪口错误#2:31:出怪口错误#3:46:出怪口错误</v>
      </c>
      <c r="AA90" s="5">
        <f t="shared" si="200"/>
        <v>1</v>
      </c>
      <c r="AB90" s="32">
        <f t="shared" si="180"/>
        <v>2</v>
      </c>
      <c r="AC90" s="6" t="str">
        <f t="shared" si="170"/>
        <v>出怪口错误</v>
      </c>
      <c r="AD90" s="5">
        <f t="shared" si="181"/>
        <v>1</v>
      </c>
      <c r="AE90" s="32">
        <f t="shared" si="182"/>
        <v>12</v>
      </c>
      <c r="AF90" s="6" t="str">
        <f t="shared" si="183"/>
        <v>出怪口错误</v>
      </c>
      <c r="AG90" s="13">
        <v>10.7</v>
      </c>
      <c r="AH90" s="5">
        <f t="shared" si="184"/>
        <v>2</v>
      </c>
      <c r="AI90" s="32">
        <f t="shared" si="171"/>
        <v>21</v>
      </c>
      <c r="AJ90" s="6" t="str">
        <f t="shared" si="172"/>
        <v>出怪口错误</v>
      </c>
      <c r="AK90" s="1">
        <f t="shared" si="225"/>
        <v>9</v>
      </c>
      <c r="AL90" s="5">
        <f t="shared" si="186"/>
        <v>2</v>
      </c>
      <c r="AM90" s="33">
        <f t="shared" si="133"/>
        <v>11</v>
      </c>
      <c r="AN90" s="6" t="str">
        <f t="shared" si="173"/>
        <v>出怪口错误</v>
      </c>
      <c r="AO90" s="35">
        <v>2</v>
      </c>
      <c r="AP90" s="33">
        <f t="shared" si="134"/>
        <v>11</v>
      </c>
      <c r="AQ90" s="6" t="str">
        <f t="shared" si="211"/>
        <v>出怪口错误</v>
      </c>
      <c r="AR90" s="35">
        <v>3</v>
      </c>
      <c r="AS90" s="33">
        <f t="shared" si="135"/>
        <v>11</v>
      </c>
      <c r="AT90" s="6" t="str">
        <f t="shared" si="212"/>
        <v>出怪口错误</v>
      </c>
      <c r="AU90" s="1">
        <f t="shared" si="226"/>
        <v>14</v>
      </c>
      <c r="AV90" s="5">
        <f t="shared" si="188"/>
        <v>3</v>
      </c>
      <c r="AW90" s="33">
        <f t="shared" si="137"/>
        <v>10</v>
      </c>
      <c r="AX90" s="6" t="str">
        <f t="shared" si="174"/>
        <v>出怪口错误</v>
      </c>
      <c r="AY90" s="35">
        <v>2</v>
      </c>
      <c r="AZ90" s="33">
        <f t="shared" si="138"/>
        <v>10</v>
      </c>
      <c r="BA90" s="6" t="str">
        <f t="shared" si="213"/>
        <v>出怪口错误</v>
      </c>
      <c r="BB90" s="35">
        <v>3</v>
      </c>
      <c r="BC90" s="33">
        <f t="shared" si="139"/>
        <v>10</v>
      </c>
      <c r="BD90" s="6" t="str">
        <f t="shared" si="214"/>
        <v>出怪口错误</v>
      </c>
      <c r="BE90" s="8">
        <f t="shared" si="227"/>
        <v>15</v>
      </c>
      <c r="BF90" s="5">
        <f t="shared" si="190"/>
        <v>3</v>
      </c>
      <c r="BG90" s="33">
        <f t="shared" si="141"/>
        <v>13</v>
      </c>
      <c r="BH90" s="6" t="str">
        <f t="shared" si="175"/>
        <v>出怪口错误</v>
      </c>
      <c r="BI90" s="35">
        <v>2</v>
      </c>
      <c r="BJ90" s="33">
        <f t="shared" si="142"/>
        <v>13</v>
      </c>
      <c r="BK90" s="6" t="str">
        <f t="shared" si="215"/>
        <v>出怪口错误</v>
      </c>
      <c r="BL90" s="35">
        <v>3</v>
      </c>
      <c r="BM90" s="33">
        <f t="shared" si="159"/>
        <v>13</v>
      </c>
      <c r="BN90" s="6" t="str">
        <f t="shared" si="216"/>
        <v>出怪口错误</v>
      </c>
      <c r="BO90" s="8">
        <f t="shared" si="228"/>
        <v>20</v>
      </c>
      <c r="BP90" s="5">
        <f t="shared" si="192"/>
        <v>4</v>
      </c>
      <c r="BQ90" s="33">
        <f t="shared" si="144"/>
        <v>16</v>
      </c>
      <c r="BR90" s="6" t="str">
        <f t="shared" si="176"/>
        <v>出怪口错误</v>
      </c>
      <c r="BS90" s="35">
        <v>2</v>
      </c>
      <c r="BT90" s="33">
        <f t="shared" si="145"/>
        <v>16</v>
      </c>
      <c r="BU90" s="6" t="str">
        <f t="shared" si="217"/>
        <v>出怪口错误</v>
      </c>
      <c r="BV90" s="35">
        <v>3</v>
      </c>
      <c r="BW90" s="33">
        <f t="shared" si="146"/>
        <v>16</v>
      </c>
      <c r="BX90" s="6" t="str">
        <f t="shared" si="218"/>
        <v>出怪口错误</v>
      </c>
      <c r="BY90" s="8">
        <f t="shared" si="229"/>
        <v>20</v>
      </c>
      <c r="BZ90" s="5">
        <f t="shared" si="194"/>
        <v>4</v>
      </c>
      <c r="CA90" s="33">
        <f t="shared" si="148"/>
        <v>20</v>
      </c>
      <c r="CB90" s="6" t="str">
        <f t="shared" si="177"/>
        <v>出怪口错误</v>
      </c>
      <c r="CC90" s="35">
        <v>2</v>
      </c>
      <c r="CD90" s="33">
        <f t="shared" si="149"/>
        <v>20</v>
      </c>
      <c r="CE90" s="6" t="str">
        <f t="shared" si="219"/>
        <v>出怪口错误</v>
      </c>
      <c r="CF90" s="35">
        <v>3</v>
      </c>
      <c r="CG90" s="33">
        <f t="shared" si="150"/>
        <v>20</v>
      </c>
      <c r="CH90" s="6" t="str">
        <f t="shared" si="220"/>
        <v>出怪口错误</v>
      </c>
      <c r="CI90" s="8">
        <f t="shared" si="230"/>
        <v>20</v>
      </c>
      <c r="CJ90" s="15">
        <f t="shared" si="196"/>
        <v>1</v>
      </c>
      <c r="CK90" s="33">
        <f t="shared" si="152"/>
        <v>26</v>
      </c>
      <c r="CL90" s="6" t="str">
        <f t="shared" si="178"/>
        <v>出怪口错误</v>
      </c>
      <c r="CM90" s="35">
        <v>2</v>
      </c>
      <c r="CN90" s="33">
        <f t="shared" si="153"/>
        <v>26</v>
      </c>
      <c r="CO90" s="6" t="str">
        <f t="shared" si="221"/>
        <v>出怪口错误</v>
      </c>
      <c r="CP90" s="35">
        <v>3</v>
      </c>
      <c r="CQ90" s="33">
        <f t="shared" si="154"/>
        <v>26</v>
      </c>
      <c r="CR90" s="6" t="str">
        <f t="shared" si="222"/>
        <v>出怪口错误</v>
      </c>
      <c r="CS90" s="8">
        <f t="shared" si="231"/>
        <v>20</v>
      </c>
      <c r="CT90" s="15">
        <f t="shared" si="198"/>
        <v>2</v>
      </c>
      <c r="CU90" s="33">
        <f t="shared" si="201"/>
        <v>46</v>
      </c>
      <c r="CV90" s="6" t="str">
        <f t="shared" si="202"/>
        <v>出怪口错误</v>
      </c>
      <c r="CW90" s="35">
        <v>2</v>
      </c>
      <c r="CX90" s="33">
        <f t="shared" si="156"/>
        <v>31</v>
      </c>
      <c r="CY90" s="6" t="str">
        <f t="shared" si="223"/>
        <v>出怪口错误</v>
      </c>
      <c r="CZ90" s="35">
        <v>3</v>
      </c>
      <c r="DA90" s="33">
        <f t="shared" si="157"/>
        <v>46</v>
      </c>
      <c r="DB90" s="6" t="str">
        <f t="shared" si="224"/>
        <v>出怪口错误</v>
      </c>
      <c r="DC90" s="1">
        <f t="shared" si="232"/>
        <v>20</v>
      </c>
    </row>
    <row r="91" s="2" customFormat="1" spans="5:107">
      <c r="E91" s="25" t="s">
        <v>1316</v>
      </c>
      <c r="F91" s="26"/>
      <c r="G91" s="27"/>
      <c r="H91" s="27"/>
      <c r="I91" s="27"/>
      <c r="J91" s="27"/>
      <c r="K91" s="27"/>
      <c r="L91" s="27"/>
      <c r="M91" s="27"/>
      <c r="N91" s="28"/>
      <c r="O91" s="26"/>
      <c r="P91" s="27"/>
      <c r="Q91" s="27"/>
      <c r="R91" s="29"/>
      <c r="U91" s="2">
        <v>89</v>
      </c>
      <c r="V91" s="1" t="str">
        <f t="shared" si="179"/>
        <v>5</v>
      </c>
      <c r="W91" s="1">
        <v>135</v>
      </c>
      <c r="X91" s="30" t="s">
        <v>1212</v>
      </c>
      <c r="Y91" s="3">
        <f>出怪成长!C90</f>
        <v>15</v>
      </c>
      <c r="Z91" s="31" t="str">
        <f t="shared" si="160"/>
        <v>1:3:出怪口错误|1:13:出怪口错误|2:22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1" s="5">
        <f t="shared" si="200"/>
        <v>1</v>
      </c>
      <c r="AB91" s="32">
        <f t="shared" si="180"/>
        <v>3</v>
      </c>
      <c r="AC91" s="6" t="str">
        <f t="shared" si="170"/>
        <v>出怪口错误</v>
      </c>
      <c r="AD91" s="5">
        <f t="shared" si="181"/>
        <v>1</v>
      </c>
      <c r="AE91" s="32">
        <f t="shared" si="182"/>
        <v>13</v>
      </c>
      <c r="AF91" s="6" t="str">
        <f t="shared" si="183"/>
        <v>出怪口错误</v>
      </c>
      <c r="AG91" s="13">
        <v>10.8</v>
      </c>
      <c r="AH91" s="5">
        <f t="shared" si="184"/>
        <v>2</v>
      </c>
      <c r="AI91" s="32">
        <f t="shared" si="171"/>
        <v>22</v>
      </c>
      <c r="AJ91" s="6" t="str">
        <f t="shared" si="172"/>
        <v>出怪口错误</v>
      </c>
      <c r="AK91" s="34">
        <f>AK83+AK$1</f>
        <v>9.5</v>
      </c>
      <c r="AL91" s="5">
        <f t="shared" si="186"/>
        <v>2</v>
      </c>
      <c r="AM91" s="33">
        <f t="shared" si="133"/>
        <v>12</v>
      </c>
      <c r="AN91" s="6" t="str">
        <f t="shared" si="173"/>
        <v>出怪口错误</v>
      </c>
      <c r="AO91" s="35">
        <v>2</v>
      </c>
      <c r="AP91" s="33">
        <f t="shared" si="134"/>
        <v>12</v>
      </c>
      <c r="AQ91" s="6" t="str">
        <f t="shared" si="211"/>
        <v>出怪口错误</v>
      </c>
      <c r="AR91" s="35">
        <v>3</v>
      </c>
      <c r="AS91" s="33">
        <f t="shared" si="135"/>
        <v>12</v>
      </c>
      <c r="AT91" s="6" t="str">
        <f t="shared" si="212"/>
        <v>出怪口错误</v>
      </c>
      <c r="AU91" s="34">
        <f>AU83+AU$1</f>
        <v>15</v>
      </c>
      <c r="AV91" s="5">
        <f t="shared" si="188"/>
        <v>3</v>
      </c>
      <c r="AW91" s="33">
        <f t="shared" si="137"/>
        <v>11</v>
      </c>
      <c r="AX91" s="6" t="str">
        <f t="shared" si="174"/>
        <v>出怪口错误</v>
      </c>
      <c r="AY91" s="35">
        <v>2</v>
      </c>
      <c r="AZ91" s="33">
        <f t="shared" si="138"/>
        <v>11</v>
      </c>
      <c r="BA91" s="6" t="str">
        <f t="shared" si="213"/>
        <v>出怪口错误</v>
      </c>
      <c r="BB91" s="35">
        <v>3</v>
      </c>
      <c r="BC91" s="33">
        <f t="shared" si="139"/>
        <v>11</v>
      </c>
      <c r="BD91" s="6" t="str">
        <f t="shared" si="214"/>
        <v>出怪口错误</v>
      </c>
      <c r="BE91" s="7">
        <f>BE83+BE$1</f>
        <v>16</v>
      </c>
      <c r="BF91" s="5">
        <f t="shared" si="190"/>
        <v>3</v>
      </c>
      <c r="BG91" s="33">
        <f t="shared" si="141"/>
        <v>14</v>
      </c>
      <c r="BH91" s="6" t="str">
        <f t="shared" si="175"/>
        <v>出怪口错误</v>
      </c>
      <c r="BI91" s="35">
        <v>2</v>
      </c>
      <c r="BJ91" s="33">
        <f t="shared" si="142"/>
        <v>14</v>
      </c>
      <c r="BK91" s="6" t="str">
        <f t="shared" si="215"/>
        <v>出怪口错误</v>
      </c>
      <c r="BL91" s="35">
        <v>3</v>
      </c>
      <c r="BM91" s="33">
        <f t="shared" si="159"/>
        <v>14</v>
      </c>
      <c r="BN91" s="6" t="str">
        <f t="shared" si="216"/>
        <v>出怪口错误</v>
      </c>
      <c r="BO91" s="7">
        <f>BO83+BO$1</f>
        <v>21.5</v>
      </c>
      <c r="BP91" s="5">
        <f t="shared" si="192"/>
        <v>4</v>
      </c>
      <c r="BQ91" s="33">
        <f t="shared" si="144"/>
        <v>17</v>
      </c>
      <c r="BR91" s="6" t="str">
        <f t="shared" si="176"/>
        <v>出怪口错误</v>
      </c>
      <c r="BS91" s="35">
        <v>2</v>
      </c>
      <c r="BT91" s="33">
        <f t="shared" si="145"/>
        <v>17</v>
      </c>
      <c r="BU91" s="6" t="str">
        <f t="shared" si="217"/>
        <v>出怪口错误</v>
      </c>
      <c r="BV91" s="35">
        <v>3</v>
      </c>
      <c r="BW91" s="33">
        <f t="shared" si="146"/>
        <v>17</v>
      </c>
      <c r="BX91" s="6" t="str">
        <f t="shared" si="218"/>
        <v>出怪口错误</v>
      </c>
      <c r="BY91" s="7">
        <f>BY83+BY$1</f>
        <v>21.5</v>
      </c>
      <c r="BZ91" s="5">
        <f t="shared" si="194"/>
        <v>4</v>
      </c>
      <c r="CA91" s="33">
        <f t="shared" si="148"/>
        <v>21</v>
      </c>
      <c r="CB91" s="6" t="str">
        <f t="shared" si="177"/>
        <v>出怪口错误</v>
      </c>
      <c r="CC91" s="35">
        <v>2</v>
      </c>
      <c r="CD91" s="33">
        <f t="shared" si="149"/>
        <v>21</v>
      </c>
      <c r="CE91" s="6" t="str">
        <f t="shared" si="219"/>
        <v>出怪口错误</v>
      </c>
      <c r="CF91" s="35">
        <v>3</v>
      </c>
      <c r="CG91" s="33">
        <f t="shared" si="150"/>
        <v>21</v>
      </c>
      <c r="CH91" s="6" t="str">
        <f t="shared" si="220"/>
        <v>出怪口错误</v>
      </c>
      <c r="CI91" s="7">
        <f>CI83+CI$1</f>
        <v>21.5</v>
      </c>
      <c r="CJ91" s="15">
        <f t="shared" si="196"/>
        <v>1</v>
      </c>
      <c r="CK91" s="33">
        <f t="shared" si="152"/>
        <v>28</v>
      </c>
      <c r="CL91" s="6" t="str">
        <f t="shared" si="178"/>
        <v>出怪口错误</v>
      </c>
      <c r="CM91" s="35">
        <v>2</v>
      </c>
      <c r="CN91" s="33">
        <f t="shared" si="153"/>
        <v>28</v>
      </c>
      <c r="CO91" s="6" t="str">
        <f t="shared" si="221"/>
        <v>出怪口错误</v>
      </c>
      <c r="CP91" s="35">
        <v>3</v>
      </c>
      <c r="CQ91" s="33">
        <f t="shared" si="154"/>
        <v>28</v>
      </c>
      <c r="CR91" s="6" t="str">
        <f t="shared" si="222"/>
        <v>出怪口错误</v>
      </c>
      <c r="CS91" s="7">
        <f>CS83+CS$1</f>
        <v>21.5</v>
      </c>
      <c r="CT91" s="15">
        <f t="shared" si="198"/>
        <v>2</v>
      </c>
      <c r="CU91" s="32">
        <f t="shared" si="201"/>
        <v>49</v>
      </c>
      <c r="CV91" s="6" t="str">
        <f t="shared" si="202"/>
        <v>出怪口错误</v>
      </c>
      <c r="CW91" s="35">
        <v>2</v>
      </c>
      <c r="CX91" s="33">
        <f t="shared" si="156"/>
        <v>33</v>
      </c>
      <c r="CY91" s="6" t="str">
        <f t="shared" si="223"/>
        <v>出怪口错误</v>
      </c>
      <c r="CZ91" s="35">
        <v>3</v>
      </c>
      <c r="DA91" s="33">
        <f t="shared" si="157"/>
        <v>49</v>
      </c>
      <c r="DB91" s="6" t="str">
        <f t="shared" si="224"/>
        <v>出怪口错误</v>
      </c>
      <c r="DC91" s="34">
        <f>DC83+DC$1</f>
        <v>21.5</v>
      </c>
    </row>
    <row r="92" s="2" customFormat="1" spans="5:107">
      <c r="U92" s="2">
        <v>90</v>
      </c>
      <c r="V92" s="1" t="str">
        <f t="shared" si="179"/>
        <v>6</v>
      </c>
      <c r="W92" s="1">
        <v>136</v>
      </c>
      <c r="X92" s="30" t="s">
        <v>1213</v>
      </c>
      <c r="Y92" s="3">
        <f>出怪成长!C91</f>
        <v>15</v>
      </c>
      <c r="Z92" s="31" t="str">
        <f t="shared" si="160"/>
        <v>1:3:出怪口错误|1:13:出怪口错误|2:22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2" s="5">
        <f t="shared" si="200"/>
        <v>1</v>
      </c>
      <c r="AB92" s="32">
        <f t="shared" si="180"/>
        <v>3</v>
      </c>
      <c r="AC92" s="6" t="str">
        <f t="shared" si="170"/>
        <v>出怪口错误</v>
      </c>
      <c r="AD92" s="5">
        <f t="shared" si="181"/>
        <v>1</v>
      </c>
      <c r="AE92" s="32">
        <f t="shared" si="182"/>
        <v>13</v>
      </c>
      <c r="AF92" s="6" t="str">
        <f t="shared" si="183"/>
        <v>出怪口错误</v>
      </c>
      <c r="AG92" s="13">
        <v>10.9</v>
      </c>
      <c r="AH92" s="5">
        <f t="shared" si="184"/>
        <v>2</v>
      </c>
      <c r="AI92" s="32">
        <f t="shared" si="171"/>
        <v>22</v>
      </c>
      <c r="AJ92" s="6" t="str">
        <f t="shared" si="172"/>
        <v>出怪口错误</v>
      </c>
      <c r="AK92" s="1">
        <f t="shared" ref="AK92:AK98" si="233">AK91</f>
        <v>9.5</v>
      </c>
      <c r="AL92" s="5">
        <f t="shared" si="186"/>
        <v>2</v>
      </c>
      <c r="AM92" s="33">
        <f t="shared" si="133"/>
        <v>12</v>
      </c>
      <c r="AN92" s="6" t="str">
        <f t="shared" si="173"/>
        <v>出怪口错误</v>
      </c>
      <c r="AO92" s="35">
        <v>2</v>
      </c>
      <c r="AP92" s="33">
        <f t="shared" si="134"/>
        <v>12</v>
      </c>
      <c r="AQ92" s="6" t="str">
        <f t="shared" si="211"/>
        <v>出怪口错误</v>
      </c>
      <c r="AR92" s="35">
        <v>3</v>
      </c>
      <c r="AS92" s="33">
        <f t="shared" si="135"/>
        <v>12</v>
      </c>
      <c r="AT92" s="6" t="str">
        <f t="shared" si="212"/>
        <v>出怪口错误</v>
      </c>
      <c r="AU92" s="1">
        <f t="shared" ref="AU92:AU98" si="234">AU91</f>
        <v>15</v>
      </c>
      <c r="AV92" s="5">
        <f t="shared" si="188"/>
        <v>3</v>
      </c>
      <c r="AW92" s="33">
        <f t="shared" si="137"/>
        <v>11</v>
      </c>
      <c r="AX92" s="6" t="str">
        <f t="shared" si="174"/>
        <v>出怪口错误</v>
      </c>
      <c r="AY92" s="35">
        <v>2</v>
      </c>
      <c r="AZ92" s="33">
        <f t="shared" si="138"/>
        <v>11</v>
      </c>
      <c r="BA92" s="6" t="str">
        <f t="shared" si="213"/>
        <v>出怪口错误</v>
      </c>
      <c r="BB92" s="35">
        <v>3</v>
      </c>
      <c r="BC92" s="33">
        <f t="shared" si="139"/>
        <v>11</v>
      </c>
      <c r="BD92" s="6" t="str">
        <f t="shared" si="214"/>
        <v>出怪口错误</v>
      </c>
      <c r="BE92" s="8">
        <f t="shared" ref="BE92:BE98" si="235">BE91</f>
        <v>16</v>
      </c>
      <c r="BF92" s="5">
        <f t="shared" si="190"/>
        <v>3</v>
      </c>
      <c r="BG92" s="33">
        <f t="shared" si="141"/>
        <v>14</v>
      </c>
      <c r="BH92" s="6" t="str">
        <f t="shared" si="175"/>
        <v>出怪口错误</v>
      </c>
      <c r="BI92" s="35">
        <v>2</v>
      </c>
      <c r="BJ92" s="33">
        <f t="shared" si="142"/>
        <v>14</v>
      </c>
      <c r="BK92" s="6" t="str">
        <f t="shared" si="215"/>
        <v>出怪口错误</v>
      </c>
      <c r="BL92" s="35">
        <v>3</v>
      </c>
      <c r="BM92" s="33">
        <f t="shared" si="159"/>
        <v>14</v>
      </c>
      <c r="BN92" s="6" t="str">
        <f t="shared" si="216"/>
        <v>出怪口错误</v>
      </c>
      <c r="BO92" s="8">
        <f t="shared" ref="BO92:BO98" si="236">BO91</f>
        <v>21.5</v>
      </c>
      <c r="BP92" s="5">
        <f t="shared" si="192"/>
        <v>4</v>
      </c>
      <c r="BQ92" s="33">
        <f t="shared" si="144"/>
        <v>17</v>
      </c>
      <c r="BR92" s="6" t="str">
        <f t="shared" si="176"/>
        <v>出怪口错误</v>
      </c>
      <c r="BS92" s="35">
        <v>2</v>
      </c>
      <c r="BT92" s="33">
        <f t="shared" si="145"/>
        <v>17</v>
      </c>
      <c r="BU92" s="6" t="str">
        <f t="shared" si="217"/>
        <v>出怪口错误</v>
      </c>
      <c r="BV92" s="35">
        <v>3</v>
      </c>
      <c r="BW92" s="33">
        <f t="shared" si="146"/>
        <v>17</v>
      </c>
      <c r="BX92" s="6" t="str">
        <f t="shared" si="218"/>
        <v>出怪口错误</v>
      </c>
      <c r="BY92" s="8">
        <f t="shared" ref="BY92:BY98" si="237">BY91</f>
        <v>21.5</v>
      </c>
      <c r="BZ92" s="5">
        <f t="shared" si="194"/>
        <v>4</v>
      </c>
      <c r="CA92" s="33">
        <f t="shared" si="148"/>
        <v>21</v>
      </c>
      <c r="CB92" s="6" t="str">
        <f t="shared" si="177"/>
        <v>出怪口错误</v>
      </c>
      <c r="CC92" s="35">
        <v>2</v>
      </c>
      <c r="CD92" s="33">
        <f t="shared" si="149"/>
        <v>21</v>
      </c>
      <c r="CE92" s="6" t="str">
        <f t="shared" si="219"/>
        <v>出怪口错误</v>
      </c>
      <c r="CF92" s="35">
        <v>3</v>
      </c>
      <c r="CG92" s="33">
        <f t="shared" si="150"/>
        <v>21</v>
      </c>
      <c r="CH92" s="6" t="str">
        <f t="shared" si="220"/>
        <v>出怪口错误</v>
      </c>
      <c r="CI92" s="8">
        <f t="shared" ref="CI92:CI98" si="238">CI91</f>
        <v>21.5</v>
      </c>
      <c r="CJ92" s="15">
        <f t="shared" si="196"/>
        <v>1</v>
      </c>
      <c r="CK92" s="33">
        <f t="shared" si="152"/>
        <v>28</v>
      </c>
      <c r="CL92" s="6" t="str">
        <f t="shared" si="178"/>
        <v>出怪口错误</v>
      </c>
      <c r="CM92" s="35">
        <v>2</v>
      </c>
      <c r="CN92" s="33">
        <f t="shared" si="153"/>
        <v>28</v>
      </c>
      <c r="CO92" s="6" t="str">
        <f t="shared" si="221"/>
        <v>出怪口错误</v>
      </c>
      <c r="CP92" s="35">
        <v>3</v>
      </c>
      <c r="CQ92" s="33">
        <f t="shared" si="154"/>
        <v>28</v>
      </c>
      <c r="CR92" s="6" t="str">
        <f t="shared" si="222"/>
        <v>出怪口错误</v>
      </c>
      <c r="CS92" s="8">
        <f t="shared" ref="CS92:CS98" si="239">CS91</f>
        <v>21.5</v>
      </c>
      <c r="CT92" s="15">
        <f t="shared" si="198"/>
        <v>2</v>
      </c>
      <c r="CU92" s="33">
        <f t="shared" si="201"/>
        <v>49</v>
      </c>
      <c r="CV92" s="6" t="str">
        <f t="shared" si="202"/>
        <v>出怪口错误</v>
      </c>
      <c r="CW92" s="35">
        <v>2</v>
      </c>
      <c r="CX92" s="33">
        <f t="shared" si="156"/>
        <v>33</v>
      </c>
      <c r="CY92" s="6" t="str">
        <f t="shared" si="223"/>
        <v>出怪口错误</v>
      </c>
      <c r="CZ92" s="35">
        <v>3</v>
      </c>
      <c r="DA92" s="33">
        <f t="shared" si="157"/>
        <v>49</v>
      </c>
      <c r="DB92" s="6" t="str">
        <f t="shared" si="224"/>
        <v>出怪口错误</v>
      </c>
      <c r="DC92" s="1">
        <f t="shared" ref="DC92:DC98" si="240">DC91</f>
        <v>21.5</v>
      </c>
    </row>
    <row r="93" s="2" customFormat="1" spans="5:107">
      <c r="U93" s="2">
        <v>91</v>
      </c>
      <c r="V93" s="1" t="str">
        <f t="shared" si="179"/>
        <v>1</v>
      </c>
      <c r="W93" s="1">
        <v>141</v>
      </c>
      <c r="X93" s="30" t="s">
        <v>1214</v>
      </c>
      <c r="Y93" s="3">
        <f>出怪成长!C92</f>
        <v>15</v>
      </c>
      <c r="Z93" s="31" t="str">
        <f t="shared" si="160"/>
        <v>1:2:出怪口错误|1:13:出怪口错误|2:22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3" s="5">
        <f t="shared" si="200"/>
        <v>1</v>
      </c>
      <c r="AB93" s="32">
        <f t="shared" si="180"/>
        <v>2</v>
      </c>
      <c r="AC93" s="6" t="str">
        <f t="shared" si="170"/>
        <v>出怪口错误</v>
      </c>
      <c r="AD93" s="5">
        <f t="shared" si="181"/>
        <v>1</v>
      </c>
      <c r="AE93" s="32">
        <f t="shared" si="182"/>
        <v>13</v>
      </c>
      <c r="AF93" s="6" t="str">
        <f t="shared" si="183"/>
        <v>出怪口错误</v>
      </c>
      <c r="AG93" s="13">
        <v>11</v>
      </c>
      <c r="AH93" s="5">
        <f t="shared" si="184"/>
        <v>2</v>
      </c>
      <c r="AI93" s="32">
        <f t="shared" si="171"/>
        <v>22</v>
      </c>
      <c r="AJ93" s="6" t="str">
        <f t="shared" si="172"/>
        <v>出怪口错误</v>
      </c>
      <c r="AK93" s="1">
        <f t="shared" si="233"/>
        <v>9.5</v>
      </c>
      <c r="AL93" s="5">
        <f t="shared" si="186"/>
        <v>2</v>
      </c>
      <c r="AM93" s="33">
        <f t="shared" si="133"/>
        <v>12</v>
      </c>
      <c r="AN93" s="6" t="str">
        <f t="shared" si="173"/>
        <v>出怪口错误</v>
      </c>
      <c r="AO93" s="35">
        <v>2</v>
      </c>
      <c r="AP93" s="33">
        <f t="shared" si="134"/>
        <v>12</v>
      </c>
      <c r="AQ93" s="6" t="str">
        <f t="shared" si="211"/>
        <v>出怪口错误</v>
      </c>
      <c r="AR93" s="35">
        <v>3</v>
      </c>
      <c r="AS93" s="33">
        <f t="shared" si="135"/>
        <v>12</v>
      </c>
      <c r="AT93" s="6" t="str">
        <f t="shared" si="212"/>
        <v>出怪口错误</v>
      </c>
      <c r="AU93" s="1">
        <f t="shared" si="234"/>
        <v>15</v>
      </c>
      <c r="AV93" s="5">
        <f t="shared" si="188"/>
        <v>3</v>
      </c>
      <c r="AW93" s="33">
        <f t="shared" si="137"/>
        <v>11</v>
      </c>
      <c r="AX93" s="6" t="str">
        <f t="shared" si="174"/>
        <v>出怪口错误</v>
      </c>
      <c r="AY93" s="35">
        <v>2</v>
      </c>
      <c r="AZ93" s="33">
        <f t="shared" si="138"/>
        <v>11</v>
      </c>
      <c r="BA93" s="6" t="str">
        <f t="shared" si="213"/>
        <v>出怪口错误</v>
      </c>
      <c r="BB93" s="35">
        <v>3</v>
      </c>
      <c r="BC93" s="33">
        <f t="shared" si="139"/>
        <v>11</v>
      </c>
      <c r="BD93" s="6" t="str">
        <f t="shared" si="214"/>
        <v>出怪口错误</v>
      </c>
      <c r="BE93" s="8">
        <f t="shared" si="235"/>
        <v>16</v>
      </c>
      <c r="BF93" s="5">
        <f t="shared" si="190"/>
        <v>3</v>
      </c>
      <c r="BG93" s="33">
        <f t="shared" si="141"/>
        <v>14</v>
      </c>
      <c r="BH93" s="6" t="str">
        <f t="shared" si="175"/>
        <v>出怪口错误</v>
      </c>
      <c r="BI93" s="35">
        <v>2</v>
      </c>
      <c r="BJ93" s="33">
        <f t="shared" si="142"/>
        <v>14</v>
      </c>
      <c r="BK93" s="6" t="str">
        <f t="shared" si="215"/>
        <v>出怪口错误</v>
      </c>
      <c r="BL93" s="35">
        <v>3</v>
      </c>
      <c r="BM93" s="33">
        <f t="shared" si="159"/>
        <v>14</v>
      </c>
      <c r="BN93" s="6" t="str">
        <f t="shared" si="216"/>
        <v>出怪口错误</v>
      </c>
      <c r="BO93" s="8">
        <f t="shared" si="236"/>
        <v>21.5</v>
      </c>
      <c r="BP93" s="5">
        <f t="shared" si="192"/>
        <v>4</v>
      </c>
      <c r="BQ93" s="33">
        <f t="shared" si="144"/>
        <v>17</v>
      </c>
      <c r="BR93" s="6" t="str">
        <f t="shared" si="176"/>
        <v>出怪口错误</v>
      </c>
      <c r="BS93" s="35">
        <v>2</v>
      </c>
      <c r="BT93" s="33">
        <f t="shared" si="145"/>
        <v>17</v>
      </c>
      <c r="BU93" s="6" t="str">
        <f t="shared" si="217"/>
        <v>出怪口错误</v>
      </c>
      <c r="BV93" s="35">
        <v>3</v>
      </c>
      <c r="BW93" s="33">
        <f t="shared" si="146"/>
        <v>17</v>
      </c>
      <c r="BX93" s="6" t="str">
        <f t="shared" si="218"/>
        <v>出怪口错误</v>
      </c>
      <c r="BY93" s="8">
        <f t="shared" si="237"/>
        <v>21.5</v>
      </c>
      <c r="BZ93" s="5">
        <f t="shared" si="194"/>
        <v>4</v>
      </c>
      <c r="CA93" s="33">
        <f t="shared" si="148"/>
        <v>21</v>
      </c>
      <c r="CB93" s="6" t="str">
        <f t="shared" si="177"/>
        <v>出怪口错误</v>
      </c>
      <c r="CC93" s="35">
        <v>2</v>
      </c>
      <c r="CD93" s="33">
        <f t="shared" si="149"/>
        <v>21</v>
      </c>
      <c r="CE93" s="6" t="str">
        <f t="shared" si="219"/>
        <v>出怪口错误</v>
      </c>
      <c r="CF93" s="35">
        <v>3</v>
      </c>
      <c r="CG93" s="33">
        <f t="shared" si="150"/>
        <v>21</v>
      </c>
      <c r="CH93" s="6" t="str">
        <f t="shared" si="220"/>
        <v>出怪口错误</v>
      </c>
      <c r="CI93" s="8">
        <f t="shared" si="238"/>
        <v>21.5</v>
      </c>
      <c r="CJ93" s="15">
        <f t="shared" si="196"/>
        <v>1</v>
      </c>
      <c r="CK93" s="33">
        <f t="shared" si="152"/>
        <v>28</v>
      </c>
      <c r="CL93" s="6" t="str">
        <f t="shared" si="178"/>
        <v>出怪口错误</v>
      </c>
      <c r="CM93" s="35">
        <v>2</v>
      </c>
      <c r="CN93" s="33">
        <f t="shared" si="153"/>
        <v>28</v>
      </c>
      <c r="CO93" s="6" t="str">
        <f t="shared" si="221"/>
        <v>出怪口错误</v>
      </c>
      <c r="CP93" s="35">
        <v>3</v>
      </c>
      <c r="CQ93" s="33">
        <f t="shared" si="154"/>
        <v>28</v>
      </c>
      <c r="CR93" s="6" t="str">
        <f t="shared" si="222"/>
        <v>出怪口错误</v>
      </c>
      <c r="CS93" s="8">
        <f t="shared" si="239"/>
        <v>21.5</v>
      </c>
      <c r="CT93" s="15">
        <f t="shared" si="198"/>
        <v>2</v>
      </c>
      <c r="CU93" s="32">
        <f t="shared" si="201"/>
        <v>49</v>
      </c>
      <c r="CV93" s="6" t="str">
        <f t="shared" si="202"/>
        <v>出怪口错误</v>
      </c>
      <c r="CW93" s="35">
        <v>2</v>
      </c>
      <c r="CX93" s="33">
        <f t="shared" si="156"/>
        <v>33</v>
      </c>
      <c r="CY93" s="6" t="str">
        <f t="shared" si="223"/>
        <v>出怪口错误</v>
      </c>
      <c r="CZ93" s="35">
        <v>3</v>
      </c>
      <c r="DA93" s="33">
        <f t="shared" si="157"/>
        <v>49</v>
      </c>
      <c r="DB93" s="6" t="str">
        <f t="shared" si="224"/>
        <v>出怪口错误</v>
      </c>
      <c r="DC93" s="1">
        <f t="shared" si="240"/>
        <v>21.5</v>
      </c>
    </row>
    <row r="94" s="2" customFormat="1" spans="5:107">
      <c r="U94" s="2">
        <v>92</v>
      </c>
      <c r="V94" s="1" t="str">
        <f t="shared" si="179"/>
        <v>2</v>
      </c>
      <c r="W94" s="1">
        <v>142</v>
      </c>
      <c r="X94" s="30" t="s">
        <v>1215</v>
      </c>
      <c r="Y94" s="3">
        <f>出怪成长!C93</f>
        <v>15</v>
      </c>
      <c r="Z94" s="31" t="str">
        <f t="shared" si="160"/>
        <v>1:2:出怪口错误|1:13:出怪口错误|2:22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4" s="5">
        <f t="shared" si="200"/>
        <v>1</v>
      </c>
      <c r="AB94" s="32">
        <f t="shared" si="180"/>
        <v>2</v>
      </c>
      <c r="AC94" s="6" t="str">
        <f t="shared" si="170"/>
        <v>出怪口错误</v>
      </c>
      <c r="AD94" s="5">
        <f t="shared" si="181"/>
        <v>1</v>
      </c>
      <c r="AE94" s="32">
        <f t="shared" si="182"/>
        <v>13</v>
      </c>
      <c r="AF94" s="6" t="str">
        <f t="shared" si="183"/>
        <v>出怪口错误</v>
      </c>
      <c r="AG94" s="13">
        <v>11.1</v>
      </c>
      <c r="AH94" s="5">
        <f t="shared" si="184"/>
        <v>2</v>
      </c>
      <c r="AI94" s="32">
        <f t="shared" si="171"/>
        <v>22</v>
      </c>
      <c r="AJ94" s="6" t="str">
        <f t="shared" si="172"/>
        <v>出怪口错误</v>
      </c>
      <c r="AK94" s="1">
        <f t="shared" si="233"/>
        <v>9.5</v>
      </c>
      <c r="AL94" s="5">
        <f t="shared" si="186"/>
        <v>2</v>
      </c>
      <c r="AM94" s="33">
        <f t="shared" si="133"/>
        <v>12</v>
      </c>
      <c r="AN94" s="6" t="str">
        <f t="shared" si="173"/>
        <v>出怪口错误</v>
      </c>
      <c r="AO94" s="35">
        <v>2</v>
      </c>
      <c r="AP94" s="33">
        <f t="shared" si="134"/>
        <v>12</v>
      </c>
      <c r="AQ94" s="6" t="str">
        <f t="shared" si="211"/>
        <v>出怪口错误</v>
      </c>
      <c r="AR94" s="35">
        <v>3</v>
      </c>
      <c r="AS94" s="33">
        <f t="shared" si="135"/>
        <v>12</v>
      </c>
      <c r="AT94" s="6" t="str">
        <f t="shared" si="212"/>
        <v>出怪口错误</v>
      </c>
      <c r="AU94" s="1">
        <f t="shared" si="234"/>
        <v>15</v>
      </c>
      <c r="AV94" s="5">
        <f t="shared" si="188"/>
        <v>3</v>
      </c>
      <c r="AW94" s="33">
        <f t="shared" si="137"/>
        <v>11</v>
      </c>
      <c r="AX94" s="6" t="str">
        <f t="shared" si="174"/>
        <v>出怪口错误</v>
      </c>
      <c r="AY94" s="35">
        <v>2</v>
      </c>
      <c r="AZ94" s="33">
        <f t="shared" si="138"/>
        <v>11</v>
      </c>
      <c r="BA94" s="6" t="str">
        <f t="shared" si="213"/>
        <v>出怪口错误</v>
      </c>
      <c r="BB94" s="35">
        <v>3</v>
      </c>
      <c r="BC94" s="33">
        <f t="shared" si="139"/>
        <v>11</v>
      </c>
      <c r="BD94" s="6" t="str">
        <f t="shared" si="214"/>
        <v>出怪口错误</v>
      </c>
      <c r="BE94" s="8">
        <f t="shared" si="235"/>
        <v>16</v>
      </c>
      <c r="BF94" s="5">
        <f t="shared" si="190"/>
        <v>3</v>
      </c>
      <c r="BG94" s="33">
        <f t="shared" si="141"/>
        <v>14</v>
      </c>
      <c r="BH94" s="6" t="str">
        <f t="shared" si="175"/>
        <v>出怪口错误</v>
      </c>
      <c r="BI94" s="35">
        <v>2</v>
      </c>
      <c r="BJ94" s="33">
        <f t="shared" si="142"/>
        <v>14</v>
      </c>
      <c r="BK94" s="6" t="str">
        <f t="shared" si="215"/>
        <v>出怪口错误</v>
      </c>
      <c r="BL94" s="35">
        <v>3</v>
      </c>
      <c r="BM94" s="33">
        <f t="shared" si="159"/>
        <v>14</v>
      </c>
      <c r="BN94" s="6" t="str">
        <f t="shared" si="216"/>
        <v>出怪口错误</v>
      </c>
      <c r="BO94" s="8">
        <f t="shared" si="236"/>
        <v>21.5</v>
      </c>
      <c r="BP94" s="5">
        <f t="shared" si="192"/>
        <v>4</v>
      </c>
      <c r="BQ94" s="33">
        <f t="shared" si="144"/>
        <v>17</v>
      </c>
      <c r="BR94" s="6" t="str">
        <f t="shared" si="176"/>
        <v>出怪口错误</v>
      </c>
      <c r="BS94" s="35">
        <v>2</v>
      </c>
      <c r="BT94" s="33">
        <f t="shared" si="145"/>
        <v>17</v>
      </c>
      <c r="BU94" s="6" t="str">
        <f t="shared" si="217"/>
        <v>出怪口错误</v>
      </c>
      <c r="BV94" s="35">
        <v>3</v>
      </c>
      <c r="BW94" s="33">
        <f t="shared" si="146"/>
        <v>17</v>
      </c>
      <c r="BX94" s="6" t="str">
        <f t="shared" si="218"/>
        <v>出怪口错误</v>
      </c>
      <c r="BY94" s="8">
        <f t="shared" si="237"/>
        <v>21.5</v>
      </c>
      <c r="BZ94" s="5">
        <f t="shared" si="194"/>
        <v>4</v>
      </c>
      <c r="CA94" s="33">
        <f t="shared" si="148"/>
        <v>21</v>
      </c>
      <c r="CB94" s="6" t="str">
        <f t="shared" si="177"/>
        <v>出怪口错误</v>
      </c>
      <c r="CC94" s="35">
        <v>2</v>
      </c>
      <c r="CD94" s="33">
        <f t="shared" si="149"/>
        <v>21</v>
      </c>
      <c r="CE94" s="6" t="str">
        <f t="shared" si="219"/>
        <v>出怪口错误</v>
      </c>
      <c r="CF94" s="35">
        <v>3</v>
      </c>
      <c r="CG94" s="33">
        <f t="shared" si="150"/>
        <v>21</v>
      </c>
      <c r="CH94" s="6" t="str">
        <f t="shared" si="220"/>
        <v>出怪口错误</v>
      </c>
      <c r="CI94" s="8">
        <f t="shared" si="238"/>
        <v>21.5</v>
      </c>
      <c r="CJ94" s="15">
        <f t="shared" si="196"/>
        <v>1</v>
      </c>
      <c r="CK94" s="33">
        <f t="shared" si="152"/>
        <v>28</v>
      </c>
      <c r="CL94" s="6" t="str">
        <f t="shared" si="178"/>
        <v>出怪口错误</v>
      </c>
      <c r="CM94" s="35">
        <v>2</v>
      </c>
      <c r="CN94" s="33">
        <f t="shared" si="153"/>
        <v>28</v>
      </c>
      <c r="CO94" s="6" t="str">
        <f t="shared" si="221"/>
        <v>出怪口错误</v>
      </c>
      <c r="CP94" s="35">
        <v>3</v>
      </c>
      <c r="CQ94" s="33">
        <f t="shared" si="154"/>
        <v>28</v>
      </c>
      <c r="CR94" s="6" t="str">
        <f t="shared" si="222"/>
        <v>出怪口错误</v>
      </c>
      <c r="CS94" s="8">
        <f t="shared" si="239"/>
        <v>21.5</v>
      </c>
      <c r="CT94" s="15">
        <f t="shared" si="198"/>
        <v>2</v>
      </c>
      <c r="CU94" s="33">
        <f t="shared" si="201"/>
        <v>49</v>
      </c>
      <c r="CV94" s="6" t="str">
        <f t="shared" si="202"/>
        <v>出怪口错误</v>
      </c>
      <c r="CW94" s="35">
        <v>2</v>
      </c>
      <c r="CX94" s="33">
        <f t="shared" si="156"/>
        <v>33</v>
      </c>
      <c r="CY94" s="6" t="str">
        <f t="shared" si="223"/>
        <v>出怪口错误</v>
      </c>
      <c r="CZ94" s="35">
        <v>3</v>
      </c>
      <c r="DA94" s="33">
        <f t="shared" si="157"/>
        <v>49</v>
      </c>
      <c r="DB94" s="6" t="str">
        <f t="shared" si="224"/>
        <v>出怪口错误</v>
      </c>
      <c r="DC94" s="1">
        <f t="shared" si="240"/>
        <v>21.5</v>
      </c>
    </row>
    <row r="95" s="2" customFormat="1" spans="5:107">
      <c r="U95" s="2">
        <v>93</v>
      </c>
      <c r="V95" s="1" t="str">
        <f t="shared" si="179"/>
        <v>3</v>
      </c>
      <c r="W95" s="1">
        <v>143</v>
      </c>
      <c r="X95" s="30" t="s">
        <v>1216</v>
      </c>
      <c r="Y95" s="3">
        <f>出怪成长!C94</f>
        <v>15</v>
      </c>
      <c r="Z95" s="31" t="str">
        <f t="shared" si="160"/>
        <v>1:2:出怪口错误|1:13:出怪口错误|2:22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5" s="5">
        <f t="shared" si="200"/>
        <v>1</v>
      </c>
      <c r="AB95" s="32">
        <f t="shared" si="180"/>
        <v>2</v>
      </c>
      <c r="AC95" s="6" t="str">
        <f t="shared" si="170"/>
        <v>出怪口错误</v>
      </c>
      <c r="AD95" s="5">
        <f t="shared" si="181"/>
        <v>1</v>
      </c>
      <c r="AE95" s="32">
        <f t="shared" si="182"/>
        <v>13</v>
      </c>
      <c r="AF95" s="6" t="str">
        <f t="shared" si="183"/>
        <v>出怪口错误</v>
      </c>
      <c r="AG95" s="13">
        <v>11.2</v>
      </c>
      <c r="AH95" s="5">
        <f t="shared" si="184"/>
        <v>2</v>
      </c>
      <c r="AI95" s="32">
        <f t="shared" si="171"/>
        <v>22</v>
      </c>
      <c r="AJ95" s="6" t="str">
        <f t="shared" si="172"/>
        <v>出怪口错误</v>
      </c>
      <c r="AK95" s="1">
        <f t="shared" si="233"/>
        <v>9.5</v>
      </c>
      <c r="AL95" s="5">
        <f t="shared" si="186"/>
        <v>2</v>
      </c>
      <c r="AM95" s="33">
        <f t="shared" si="133"/>
        <v>12</v>
      </c>
      <c r="AN95" s="6" t="str">
        <f t="shared" si="173"/>
        <v>出怪口错误</v>
      </c>
      <c r="AO95" s="35">
        <v>2</v>
      </c>
      <c r="AP95" s="33">
        <f t="shared" si="134"/>
        <v>12</v>
      </c>
      <c r="AQ95" s="6" t="str">
        <f t="shared" si="211"/>
        <v>出怪口错误</v>
      </c>
      <c r="AR95" s="35">
        <v>3</v>
      </c>
      <c r="AS95" s="33">
        <f t="shared" si="135"/>
        <v>12</v>
      </c>
      <c r="AT95" s="6" t="str">
        <f t="shared" si="212"/>
        <v>出怪口错误</v>
      </c>
      <c r="AU95" s="1">
        <f t="shared" si="234"/>
        <v>15</v>
      </c>
      <c r="AV95" s="5">
        <f t="shared" si="188"/>
        <v>3</v>
      </c>
      <c r="AW95" s="33">
        <f t="shared" si="137"/>
        <v>11</v>
      </c>
      <c r="AX95" s="6" t="str">
        <f t="shared" si="174"/>
        <v>出怪口错误</v>
      </c>
      <c r="AY95" s="35">
        <v>2</v>
      </c>
      <c r="AZ95" s="33">
        <f t="shared" si="138"/>
        <v>11</v>
      </c>
      <c r="BA95" s="6" t="str">
        <f t="shared" si="213"/>
        <v>出怪口错误</v>
      </c>
      <c r="BB95" s="35">
        <v>3</v>
      </c>
      <c r="BC95" s="33">
        <f t="shared" si="139"/>
        <v>11</v>
      </c>
      <c r="BD95" s="6" t="str">
        <f t="shared" si="214"/>
        <v>出怪口错误</v>
      </c>
      <c r="BE95" s="8">
        <f t="shared" si="235"/>
        <v>16</v>
      </c>
      <c r="BF95" s="5">
        <f t="shared" si="190"/>
        <v>3</v>
      </c>
      <c r="BG95" s="33">
        <f t="shared" si="141"/>
        <v>14</v>
      </c>
      <c r="BH95" s="6" t="str">
        <f t="shared" si="175"/>
        <v>出怪口错误</v>
      </c>
      <c r="BI95" s="35">
        <v>2</v>
      </c>
      <c r="BJ95" s="33">
        <f t="shared" si="142"/>
        <v>14</v>
      </c>
      <c r="BK95" s="6" t="str">
        <f t="shared" si="215"/>
        <v>出怪口错误</v>
      </c>
      <c r="BL95" s="35">
        <v>3</v>
      </c>
      <c r="BM95" s="33">
        <f t="shared" si="159"/>
        <v>14</v>
      </c>
      <c r="BN95" s="6" t="str">
        <f t="shared" si="216"/>
        <v>出怪口错误</v>
      </c>
      <c r="BO95" s="8">
        <f t="shared" si="236"/>
        <v>21.5</v>
      </c>
      <c r="BP95" s="5">
        <f t="shared" si="192"/>
        <v>4</v>
      </c>
      <c r="BQ95" s="33">
        <f t="shared" si="144"/>
        <v>17</v>
      </c>
      <c r="BR95" s="6" t="str">
        <f t="shared" si="176"/>
        <v>出怪口错误</v>
      </c>
      <c r="BS95" s="35">
        <v>2</v>
      </c>
      <c r="BT95" s="33">
        <f t="shared" si="145"/>
        <v>17</v>
      </c>
      <c r="BU95" s="6" t="str">
        <f t="shared" si="217"/>
        <v>出怪口错误</v>
      </c>
      <c r="BV95" s="35">
        <v>3</v>
      </c>
      <c r="BW95" s="33">
        <f t="shared" si="146"/>
        <v>17</v>
      </c>
      <c r="BX95" s="6" t="str">
        <f t="shared" si="218"/>
        <v>出怪口错误</v>
      </c>
      <c r="BY95" s="8">
        <f t="shared" si="237"/>
        <v>21.5</v>
      </c>
      <c r="BZ95" s="5">
        <f t="shared" si="194"/>
        <v>4</v>
      </c>
      <c r="CA95" s="33">
        <f t="shared" si="148"/>
        <v>21</v>
      </c>
      <c r="CB95" s="6" t="str">
        <f t="shared" si="177"/>
        <v>出怪口错误</v>
      </c>
      <c r="CC95" s="35">
        <v>2</v>
      </c>
      <c r="CD95" s="33">
        <f t="shared" si="149"/>
        <v>21</v>
      </c>
      <c r="CE95" s="6" t="str">
        <f t="shared" si="219"/>
        <v>出怪口错误</v>
      </c>
      <c r="CF95" s="35">
        <v>3</v>
      </c>
      <c r="CG95" s="33">
        <f t="shared" si="150"/>
        <v>21</v>
      </c>
      <c r="CH95" s="6" t="str">
        <f t="shared" si="220"/>
        <v>出怪口错误</v>
      </c>
      <c r="CI95" s="8">
        <f t="shared" si="238"/>
        <v>21.5</v>
      </c>
      <c r="CJ95" s="15">
        <f t="shared" si="196"/>
        <v>1</v>
      </c>
      <c r="CK95" s="33">
        <f t="shared" si="152"/>
        <v>28</v>
      </c>
      <c r="CL95" s="6" t="str">
        <f t="shared" si="178"/>
        <v>出怪口错误</v>
      </c>
      <c r="CM95" s="35">
        <v>2</v>
      </c>
      <c r="CN95" s="33">
        <f t="shared" si="153"/>
        <v>28</v>
      </c>
      <c r="CO95" s="6" t="str">
        <f t="shared" si="221"/>
        <v>出怪口错误</v>
      </c>
      <c r="CP95" s="35">
        <v>3</v>
      </c>
      <c r="CQ95" s="33">
        <f t="shared" si="154"/>
        <v>28</v>
      </c>
      <c r="CR95" s="6" t="str">
        <f t="shared" si="222"/>
        <v>出怪口错误</v>
      </c>
      <c r="CS95" s="8">
        <f t="shared" si="239"/>
        <v>21.5</v>
      </c>
      <c r="CT95" s="15">
        <f t="shared" si="198"/>
        <v>2</v>
      </c>
      <c r="CU95" s="32">
        <f t="shared" si="201"/>
        <v>49</v>
      </c>
      <c r="CV95" s="6" t="str">
        <f t="shared" si="202"/>
        <v>出怪口错误</v>
      </c>
      <c r="CW95" s="35">
        <v>2</v>
      </c>
      <c r="CX95" s="33">
        <f t="shared" si="156"/>
        <v>33</v>
      </c>
      <c r="CY95" s="6" t="str">
        <f t="shared" si="223"/>
        <v>出怪口错误</v>
      </c>
      <c r="CZ95" s="35">
        <v>3</v>
      </c>
      <c r="DA95" s="33">
        <f t="shared" si="157"/>
        <v>49</v>
      </c>
      <c r="DB95" s="6" t="str">
        <f t="shared" si="224"/>
        <v>出怪口错误</v>
      </c>
      <c r="DC95" s="1">
        <f t="shared" si="240"/>
        <v>21.5</v>
      </c>
    </row>
    <row r="96" s="2" customFormat="1" spans="5:107">
      <c r="U96" s="2">
        <v>94</v>
      </c>
      <c r="V96" s="1" t="str">
        <f t="shared" si="179"/>
        <v>4</v>
      </c>
      <c r="W96" s="1">
        <v>144</v>
      </c>
      <c r="X96" s="30" t="s">
        <v>1217</v>
      </c>
      <c r="Y96" s="3">
        <f>出怪成长!C95</f>
        <v>15</v>
      </c>
      <c r="Z96" s="31" t="str">
        <f t="shared" si="160"/>
        <v>1:2:出怪口错误|1:13:出怪口错误|2:22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6" s="5">
        <f t="shared" si="200"/>
        <v>1</v>
      </c>
      <c r="AB96" s="32">
        <f t="shared" si="180"/>
        <v>2</v>
      </c>
      <c r="AC96" s="6" t="str">
        <f t="shared" si="170"/>
        <v>出怪口错误</v>
      </c>
      <c r="AD96" s="5">
        <f t="shared" si="181"/>
        <v>1</v>
      </c>
      <c r="AE96" s="32">
        <f t="shared" si="182"/>
        <v>13</v>
      </c>
      <c r="AF96" s="6" t="str">
        <f t="shared" si="183"/>
        <v>出怪口错误</v>
      </c>
      <c r="AG96" s="13">
        <v>11.3</v>
      </c>
      <c r="AH96" s="5">
        <f t="shared" si="184"/>
        <v>2</v>
      </c>
      <c r="AI96" s="32">
        <f t="shared" si="171"/>
        <v>22</v>
      </c>
      <c r="AJ96" s="6" t="str">
        <f t="shared" si="172"/>
        <v>出怪口错误</v>
      </c>
      <c r="AK96" s="1">
        <f t="shared" si="233"/>
        <v>9.5</v>
      </c>
      <c r="AL96" s="5">
        <f t="shared" si="186"/>
        <v>2</v>
      </c>
      <c r="AM96" s="33">
        <f t="shared" si="133"/>
        <v>12</v>
      </c>
      <c r="AN96" s="6" t="str">
        <f t="shared" si="173"/>
        <v>出怪口错误</v>
      </c>
      <c r="AO96" s="35">
        <v>2</v>
      </c>
      <c r="AP96" s="33">
        <f t="shared" si="134"/>
        <v>12</v>
      </c>
      <c r="AQ96" s="6" t="str">
        <f t="shared" si="211"/>
        <v>出怪口错误</v>
      </c>
      <c r="AR96" s="35">
        <v>3</v>
      </c>
      <c r="AS96" s="33">
        <f t="shared" si="135"/>
        <v>12</v>
      </c>
      <c r="AT96" s="6" t="str">
        <f t="shared" si="212"/>
        <v>出怪口错误</v>
      </c>
      <c r="AU96" s="1">
        <f t="shared" si="234"/>
        <v>15</v>
      </c>
      <c r="AV96" s="5">
        <f t="shared" si="188"/>
        <v>3</v>
      </c>
      <c r="AW96" s="33">
        <f t="shared" si="137"/>
        <v>11</v>
      </c>
      <c r="AX96" s="6" t="str">
        <f t="shared" si="174"/>
        <v>出怪口错误</v>
      </c>
      <c r="AY96" s="35">
        <v>2</v>
      </c>
      <c r="AZ96" s="33">
        <f t="shared" si="138"/>
        <v>11</v>
      </c>
      <c r="BA96" s="6" t="str">
        <f t="shared" si="213"/>
        <v>出怪口错误</v>
      </c>
      <c r="BB96" s="35">
        <v>3</v>
      </c>
      <c r="BC96" s="33">
        <f t="shared" si="139"/>
        <v>11</v>
      </c>
      <c r="BD96" s="6" t="str">
        <f t="shared" si="214"/>
        <v>出怪口错误</v>
      </c>
      <c r="BE96" s="8">
        <f t="shared" si="235"/>
        <v>16</v>
      </c>
      <c r="BF96" s="5">
        <f t="shared" si="190"/>
        <v>3</v>
      </c>
      <c r="BG96" s="33">
        <f t="shared" si="141"/>
        <v>14</v>
      </c>
      <c r="BH96" s="6" t="str">
        <f t="shared" si="175"/>
        <v>出怪口错误</v>
      </c>
      <c r="BI96" s="35">
        <v>2</v>
      </c>
      <c r="BJ96" s="33">
        <f t="shared" si="142"/>
        <v>14</v>
      </c>
      <c r="BK96" s="6" t="str">
        <f t="shared" si="215"/>
        <v>出怪口错误</v>
      </c>
      <c r="BL96" s="35">
        <v>3</v>
      </c>
      <c r="BM96" s="33">
        <f t="shared" si="159"/>
        <v>14</v>
      </c>
      <c r="BN96" s="6" t="str">
        <f t="shared" si="216"/>
        <v>出怪口错误</v>
      </c>
      <c r="BO96" s="8">
        <f t="shared" si="236"/>
        <v>21.5</v>
      </c>
      <c r="BP96" s="5">
        <f t="shared" si="192"/>
        <v>4</v>
      </c>
      <c r="BQ96" s="33">
        <f t="shared" si="144"/>
        <v>17</v>
      </c>
      <c r="BR96" s="6" t="str">
        <f t="shared" si="176"/>
        <v>出怪口错误</v>
      </c>
      <c r="BS96" s="35">
        <v>2</v>
      </c>
      <c r="BT96" s="33">
        <f t="shared" si="145"/>
        <v>17</v>
      </c>
      <c r="BU96" s="6" t="str">
        <f t="shared" si="217"/>
        <v>出怪口错误</v>
      </c>
      <c r="BV96" s="35">
        <v>3</v>
      </c>
      <c r="BW96" s="33">
        <f t="shared" si="146"/>
        <v>17</v>
      </c>
      <c r="BX96" s="6" t="str">
        <f t="shared" si="218"/>
        <v>出怪口错误</v>
      </c>
      <c r="BY96" s="8">
        <f t="shared" si="237"/>
        <v>21.5</v>
      </c>
      <c r="BZ96" s="5">
        <f t="shared" si="194"/>
        <v>4</v>
      </c>
      <c r="CA96" s="33">
        <f t="shared" si="148"/>
        <v>21</v>
      </c>
      <c r="CB96" s="6" t="str">
        <f t="shared" si="177"/>
        <v>出怪口错误</v>
      </c>
      <c r="CC96" s="35">
        <v>2</v>
      </c>
      <c r="CD96" s="33">
        <f t="shared" si="149"/>
        <v>21</v>
      </c>
      <c r="CE96" s="6" t="str">
        <f t="shared" si="219"/>
        <v>出怪口错误</v>
      </c>
      <c r="CF96" s="35">
        <v>3</v>
      </c>
      <c r="CG96" s="33">
        <f t="shared" si="150"/>
        <v>21</v>
      </c>
      <c r="CH96" s="6" t="str">
        <f t="shared" si="220"/>
        <v>出怪口错误</v>
      </c>
      <c r="CI96" s="8">
        <f t="shared" si="238"/>
        <v>21.5</v>
      </c>
      <c r="CJ96" s="15">
        <f t="shared" si="196"/>
        <v>1</v>
      </c>
      <c r="CK96" s="33">
        <f t="shared" si="152"/>
        <v>28</v>
      </c>
      <c r="CL96" s="6" t="str">
        <f t="shared" si="178"/>
        <v>出怪口错误</v>
      </c>
      <c r="CM96" s="35">
        <v>2</v>
      </c>
      <c r="CN96" s="33">
        <f t="shared" si="153"/>
        <v>28</v>
      </c>
      <c r="CO96" s="6" t="str">
        <f t="shared" si="221"/>
        <v>出怪口错误</v>
      </c>
      <c r="CP96" s="35">
        <v>3</v>
      </c>
      <c r="CQ96" s="33">
        <f t="shared" si="154"/>
        <v>28</v>
      </c>
      <c r="CR96" s="6" t="str">
        <f t="shared" si="222"/>
        <v>出怪口错误</v>
      </c>
      <c r="CS96" s="8">
        <f t="shared" si="239"/>
        <v>21.5</v>
      </c>
      <c r="CT96" s="15">
        <f t="shared" si="198"/>
        <v>2</v>
      </c>
      <c r="CU96" s="33">
        <f t="shared" si="201"/>
        <v>49</v>
      </c>
      <c r="CV96" s="6" t="str">
        <f t="shared" si="202"/>
        <v>出怪口错误</v>
      </c>
      <c r="CW96" s="35">
        <v>2</v>
      </c>
      <c r="CX96" s="33">
        <f t="shared" si="156"/>
        <v>33</v>
      </c>
      <c r="CY96" s="6" t="str">
        <f t="shared" si="223"/>
        <v>出怪口错误</v>
      </c>
      <c r="CZ96" s="35">
        <v>3</v>
      </c>
      <c r="DA96" s="33">
        <f t="shared" si="157"/>
        <v>49</v>
      </c>
      <c r="DB96" s="6" t="str">
        <f t="shared" si="224"/>
        <v>出怪口错误</v>
      </c>
      <c r="DC96" s="1">
        <f t="shared" si="240"/>
        <v>21.5</v>
      </c>
    </row>
    <row r="97" s="2" customFormat="1" spans="21:107">
      <c r="U97" s="2">
        <v>95</v>
      </c>
      <c r="V97" s="1" t="str">
        <f t="shared" si="179"/>
        <v>5</v>
      </c>
      <c r="W97" s="1">
        <v>145</v>
      </c>
      <c r="X97" s="30" t="s">
        <v>1218</v>
      </c>
      <c r="Y97" s="3">
        <f>出怪成长!C96</f>
        <v>15</v>
      </c>
      <c r="Z97" s="31" t="str">
        <f t="shared" si="160"/>
        <v>1:3:出怪口错误|1:14:出怪口错误|2:23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7" s="5">
        <f t="shared" si="200"/>
        <v>1</v>
      </c>
      <c r="AB97" s="32">
        <f t="shared" si="180"/>
        <v>3</v>
      </c>
      <c r="AC97" s="6" t="str">
        <f t="shared" si="170"/>
        <v>出怪口错误</v>
      </c>
      <c r="AD97" s="5">
        <f t="shared" si="181"/>
        <v>1</v>
      </c>
      <c r="AE97" s="32">
        <f t="shared" si="182"/>
        <v>14</v>
      </c>
      <c r="AF97" s="6" t="str">
        <f t="shared" si="183"/>
        <v>出怪口错误</v>
      </c>
      <c r="AG97" s="13">
        <v>11.4</v>
      </c>
      <c r="AH97" s="5">
        <f t="shared" si="184"/>
        <v>2</v>
      </c>
      <c r="AI97" s="32">
        <f t="shared" si="171"/>
        <v>23</v>
      </c>
      <c r="AJ97" s="6" t="str">
        <f t="shared" si="172"/>
        <v>出怪口错误</v>
      </c>
      <c r="AK97" s="1">
        <f t="shared" si="233"/>
        <v>9.5</v>
      </c>
      <c r="AL97" s="5">
        <f t="shared" si="186"/>
        <v>2</v>
      </c>
      <c r="AM97" s="33">
        <f t="shared" si="133"/>
        <v>12</v>
      </c>
      <c r="AN97" s="6" t="str">
        <f t="shared" si="173"/>
        <v>出怪口错误</v>
      </c>
      <c r="AO97" s="35">
        <v>2</v>
      </c>
      <c r="AP97" s="33">
        <f t="shared" si="134"/>
        <v>12</v>
      </c>
      <c r="AQ97" s="6" t="str">
        <f t="shared" si="211"/>
        <v>出怪口错误</v>
      </c>
      <c r="AR97" s="35">
        <v>3</v>
      </c>
      <c r="AS97" s="33">
        <f t="shared" si="135"/>
        <v>12</v>
      </c>
      <c r="AT97" s="6" t="str">
        <f t="shared" si="212"/>
        <v>出怪口错误</v>
      </c>
      <c r="AU97" s="1">
        <f t="shared" si="234"/>
        <v>15</v>
      </c>
      <c r="AV97" s="5">
        <f t="shared" si="188"/>
        <v>3</v>
      </c>
      <c r="AW97" s="33">
        <f t="shared" si="137"/>
        <v>11</v>
      </c>
      <c r="AX97" s="6" t="str">
        <f t="shared" si="174"/>
        <v>出怪口错误</v>
      </c>
      <c r="AY97" s="35">
        <v>2</v>
      </c>
      <c r="AZ97" s="33">
        <f t="shared" si="138"/>
        <v>11</v>
      </c>
      <c r="BA97" s="6" t="str">
        <f t="shared" si="213"/>
        <v>出怪口错误</v>
      </c>
      <c r="BB97" s="35">
        <v>3</v>
      </c>
      <c r="BC97" s="33">
        <f t="shared" si="139"/>
        <v>11</v>
      </c>
      <c r="BD97" s="6" t="str">
        <f t="shared" si="214"/>
        <v>出怪口错误</v>
      </c>
      <c r="BE97" s="8">
        <f t="shared" si="235"/>
        <v>16</v>
      </c>
      <c r="BF97" s="5">
        <f t="shared" si="190"/>
        <v>3</v>
      </c>
      <c r="BG97" s="33">
        <f t="shared" si="141"/>
        <v>14</v>
      </c>
      <c r="BH97" s="6" t="str">
        <f t="shared" si="175"/>
        <v>出怪口错误</v>
      </c>
      <c r="BI97" s="35">
        <v>2</v>
      </c>
      <c r="BJ97" s="33">
        <f t="shared" si="142"/>
        <v>14</v>
      </c>
      <c r="BK97" s="6" t="str">
        <f t="shared" si="215"/>
        <v>出怪口错误</v>
      </c>
      <c r="BL97" s="35">
        <v>3</v>
      </c>
      <c r="BM97" s="33">
        <f t="shared" si="159"/>
        <v>14</v>
      </c>
      <c r="BN97" s="6" t="str">
        <f t="shared" si="216"/>
        <v>出怪口错误</v>
      </c>
      <c r="BO97" s="8">
        <f t="shared" si="236"/>
        <v>21.5</v>
      </c>
      <c r="BP97" s="5">
        <f t="shared" si="192"/>
        <v>4</v>
      </c>
      <c r="BQ97" s="33">
        <f t="shared" si="144"/>
        <v>17</v>
      </c>
      <c r="BR97" s="6" t="str">
        <f t="shared" si="176"/>
        <v>出怪口错误</v>
      </c>
      <c r="BS97" s="35">
        <v>2</v>
      </c>
      <c r="BT97" s="33">
        <f t="shared" si="145"/>
        <v>17</v>
      </c>
      <c r="BU97" s="6" t="str">
        <f t="shared" si="217"/>
        <v>出怪口错误</v>
      </c>
      <c r="BV97" s="35">
        <v>3</v>
      </c>
      <c r="BW97" s="33">
        <f t="shared" si="146"/>
        <v>17</v>
      </c>
      <c r="BX97" s="6" t="str">
        <f t="shared" si="218"/>
        <v>出怪口错误</v>
      </c>
      <c r="BY97" s="8">
        <f t="shared" si="237"/>
        <v>21.5</v>
      </c>
      <c r="BZ97" s="5">
        <f t="shared" si="194"/>
        <v>4</v>
      </c>
      <c r="CA97" s="33">
        <f t="shared" si="148"/>
        <v>21</v>
      </c>
      <c r="CB97" s="6" t="str">
        <f t="shared" si="177"/>
        <v>出怪口错误</v>
      </c>
      <c r="CC97" s="35">
        <v>2</v>
      </c>
      <c r="CD97" s="33">
        <f t="shared" si="149"/>
        <v>21</v>
      </c>
      <c r="CE97" s="6" t="str">
        <f t="shared" si="219"/>
        <v>出怪口错误</v>
      </c>
      <c r="CF97" s="35">
        <v>3</v>
      </c>
      <c r="CG97" s="33">
        <f t="shared" si="150"/>
        <v>21</v>
      </c>
      <c r="CH97" s="6" t="str">
        <f t="shared" si="220"/>
        <v>出怪口错误</v>
      </c>
      <c r="CI97" s="8">
        <f t="shared" si="238"/>
        <v>21.5</v>
      </c>
      <c r="CJ97" s="15">
        <f t="shared" si="196"/>
        <v>1</v>
      </c>
      <c r="CK97" s="33">
        <f t="shared" si="152"/>
        <v>28</v>
      </c>
      <c r="CL97" s="6" t="str">
        <f t="shared" si="178"/>
        <v>出怪口错误</v>
      </c>
      <c r="CM97" s="35">
        <v>2</v>
      </c>
      <c r="CN97" s="33">
        <f t="shared" si="153"/>
        <v>28</v>
      </c>
      <c r="CO97" s="6" t="str">
        <f t="shared" si="221"/>
        <v>出怪口错误</v>
      </c>
      <c r="CP97" s="35">
        <v>3</v>
      </c>
      <c r="CQ97" s="33">
        <f t="shared" si="154"/>
        <v>28</v>
      </c>
      <c r="CR97" s="6" t="str">
        <f t="shared" si="222"/>
        <v>出怪口错误</v>
      </c>
      <c r="CS97" s="8">
        <f t="shared" si="239"/>
        <v>21.5</v>
      </c>
      <c r="CT97" s="15">
        <f t="shared" si="198"/>
        <v>2</v>
      </c>
      <c r="CU97" s="32">
        <f t="shared" si="201"/>
        <v>49</v>
      </c>
      <c r="CV97" s="6" t="str">
        <f t="shared" si="202"/>
        <v>出怪口错误</v>
      </c>
      <c r="CW97" s="35">
        <v>2</v>
      </c>
      <c r="CX97" s="33">
        <f t="shared" si="156"/>
        <v>33</v>
      </c>
      <c r="CY97" s="6" t="str">
        <f t="shared" si="223"/>
        <v>出怪口错误</v>
      </c>
      <c r="CZ97" s="35">
        <v>3</v>
      </c>
      <c r="DA97" s="33">
        <f t="shared" si="157"/>
        <v>49</v>
      </c>
      <c r="DB97" s="6" t="str">
        <f t="shared" si="224"/>
        <v>出怪口错误</v>
      </c>
      <c r="DC97" s="1">
        <f t="shared" si="240"/>
        <v>21.5</v>
      </c>
    </row>
    <row r="98" s="2" customFormat="1" spans="21:107">
      <c r="U98" s="2">
        <v>96</v>
      </c>
      <c r="V98" s="1" t="str">
        <f t="shared" si="179"/>
        <v>6</v>
      </c>
      <c r="W98" s="1">
        <v>146</v>
      </c>
      <c r="X98" s="30" t="s">
        <v>1219</v>
      </c>
      <c r="Y98" s="3">
        <f>出怪成长!C97</f>
        <v>15</v>
      </c>
      <c r="Z98" s="31" t="str">
        <f t="shared" si="160"/>
        <v>1:3:出怪口错误|1:14:出怪口错误|2:23:出怪口错误|2:12:出怪口错误#2:12:出怪口错误#3:12:出怪口错误|3:11:出怪口错误#2:11:出怪口错误#3:11:出怪口错误|3:14:出怪口错误#2:14:出怪口错误#3:14:出怪口错误|4:17:出怪口错误#2:17:出怪口错误#3:17:出怪口错误|4:21:出怪口错误#2:21:出怪口错误#3:21:出怪口错误|1:28:出怪口错误#2:28:出怪口错误#3:28:出怪口错误|2:49:出怪口错误#2:33:出怪口错误#3:49:出怪口错误</v>
      </c>
      <c r="AA98" s="5">
        <f t="shared" si="200"/>
        <v>1</v>
      </c>
      <c r="AB98" s="32">
        <f t="shared" si="180"/>
        <v>3</v>
      </c>
      <c r="AC98" s="6" t="str">
        <f t="shared" si="170"/>
        <v>出怪口错误</v>
      </c>
      <c r="AD98" s="5">
        <f t="shared" si="181"/>
        <v>1</v>
      </c>
      <c r="AE98" s="32">
        <f t="shared" si="182"/>
        <v>14</v>
      </c>
      <c r="AF98" s="6" t="str">
        <f t="shared" si="183"/>
        <v>出怪口错误</v>
      </c>
      <c r="AG98" s="13">
        <v>11.5</v>
      </c>
      <c r="AH98" s="5">
        <f t="shared" si="184"/>
        <v>2</v>
      </c>
      <c r="AI98" s="32">
        <f t="shared" si="171"/>
        <v>23</v>
      </c>
      <c r="AJ98" s="6" t="str">
        <f t="shared" si="172"/>
        <v>出怪口错误</v>
      </c>
      <c r="AK98" s="1">
        <f t="shared" si="233"/>
        <v>9.5</v>
      </c>
      <c r="AL98" s="5">
        <f t="shared" si="186"/>
        <v>2</v>
      </c>
      <c r="AM98" s="33">
        <f t="shared" si="133"/>
        <v>12</v>
      </c>
      <c r="AN98" s="6" t="str">
        <f t="shared" si="173"/>
        <v>出怪口错误</v>
      </c>
      <c r="AO98" s="35">
        <v>2</v>
      </c>
      <c r="AP98" s="33">
        <f t="shared" si="134"/>
        <v>12</v>
      </c>
      <c r="AQ98" s="6" t="str">
        <f t="shared" si="211"/>
        <v>出怪口错误</v>
      </c>
      <c r="AR98" s="35">
        <v>3</v>
      </c>
      <c r="AS98" s="33">
        <f t="shared" si="135"/>
        <v>12</v>
      </c>
      <c r="AT98" s="6" t="str">
        <f t="shared" si="212"/>
        <v>出怪口错误</v>
      </c>
      <c r="AU98" s="1">
        <f t="shared" si="234"/>
        <v>15</v>
      </c>
      <c r="AV98" s="5">
        <f t="shared" si="188"/>
        <v>3</v>
      </c>
      <c r="AW98" s="33">
        <f t="shared" si="137"/>
        <v>11</v>
      </c>
      <c r="AX98" s="6" t="str">
        <f t="shared" si="174"/>
        <v>出怪口错误</v>
      </c>
      <c r="AY98" s="35">
        <v>2</v>
      </c>
      <c r="AZ98" s="33">
        <f t="shared" si="138"/>
        <v>11</v>
      </c>
      <c r="BA98" s="6" t="str">
        <f t="shared" si="213"/>
        <v>出怪口错误</v>
      </c>
      <c r="BB98" s="35">
        <v>3</v>
      </c>
      <c r="BC98" s="33">
        <f t="shared" si="139"/>
        <v>11</v>
      </c>
      <c r="BD98" s="6" t="str">
        <f t="shared" si="214"/>
        <v>出怪口错误</v>
      </c>
      <c r="BE98" s="8">
        <f t="shared" si="235"/>
        <v>16</v>
      </c>
      <c r="BF98" s="5">
        <f t="shared" si="190"/>
        <v>3</v>
      </c>
      <c r="BG98" s="33">
        <f t="shared" si="141"/>
        <v>14</v>
      </c>
      <c r="BH98" s="6" t="str">
        <f t="shared" si="175"/>
        <v>出怪口错误</v>
      </c>
      <c r="BI98" s="35">
        <v>2</v>
      </c>
      <c r="BJ98" s="33">
        <f t="shared" si="142"/>
        <v>14</v>
      </c>
      <c r="BK98" s="6" t="str">
        <f t="shared" si="215"/>
        <v>出怪口错误</v>
      </c>
      <c r="BL98" s="35">
        <v>3</v>
      </c>
      <c r="BM98" s="33">
        <f t="shared" si="159"/>
        <v>14</v>
      </c>
      <c r="BN98" s="6" t="str">
        <f t="shared" si="216"/>
        <v>出怪口错误</v>
      </c>
      <c r="BO98" s="8">
        <f t="shared" si="236"/>
        <v>21.5</v>
      </c>
      <c r="BP98" s="5">
        <f t="shared" si="192"/>
        <v>4</v>
      </c>
      <c r="BQ98" s="33">
        <f t="shared" si="144"/>
        <v>17</v>
      </c>
      <c r="BR98" s="6" t="str">
        <f t="shared" si="176"/>
        <v>出怪口错误</v>
      </c>
      <c r="BS98" s="35">
        <v>2</v>
      </c>
      <c r="BT98" s="33">
        <f t="shared" si="145"/>
        <v>17</v>
      </c>
      <c r="BU98" s="6" t="str">
        <f t="shared" si="217"/>
        <v>出怪口错误</v>
      </c>
      <c r="BV98" s="35">
        <v>3</v>
      </c>
      <c r="BW98" s="33">
        <f t="shared" si="146"/>
        <v>17</v>
      </c>
      <c r="BX98" s="6" t="str">
        <f t="shared" si="218"/>
        <v>出怪口错误</v>
      </c>
      <c r="BY98" s="8">
        <f t="shared" si="237"/>
        <v>21.5</v>
      </c>
      <c r="BZ98" s="5">
        <f t="shared" si="194"/>
        <v>4</v>
      </c>
      <c r="CA98" s="33">
        <f t="shared" si="148"/>
        <v>21</v>
      </c>
      <c r="CB98" s="6" t="str">
        <f t="shared" si="177"/>
        <v>出怪口错误</v>
      </c>
      <c r="CC98" s="35">
        <v>2</v>
      </c>
      <c r="CD98" s="33">
        <f t="shared" si="149"/>
        <v>21</v>
      </c>
      <c r="CE98" s="6" t="str">
        <f t="shared" si="219"/>
        <v>出怪口错误</v>
      </c>
      <c r="CF98" s="35">
        <v>3</v>
      </c>
      <c r="CG98" s="33">
        <f t="shared" si="150"/>
        <v>21</v>
      </c>
      <c r="CH98" s="6" t="str">
        <f t="shared" si="220"/>
        <v>出怪口错误</v>
      </c>
      <c r="CI98" s="8">
        <f t="shared" si="238"/>
        <v>21.5</v>
      </c>
      <c r="CJ98" s="15">
        <f t="shared" si="196"/>
        <v>1</v>
      </c>
      <c r="CK98" s="33">
        <f t="shared" si="152"/>
        <v>28</v>
      </c>
      <c r="CL98" s="6" t="str">
        <f t="shared" si="178"/>
        <v>出怪口错误</v>
      </c>
      <c r="CM98" s="35">
        <v>2</v>
      </c>
      <c r="CN98" s="33">
        <f t="shared" si="153"/>
        <v>28</v>
      </c>
      <c r="CO98" s="6" t="str">
        <f t="shared" si="221"/>
        <v>出怪口错误</v>
      </c>
      <c r="CP98" s="35">
        <v>3</v>
      </c>
      <c r="CQ98" s="33">
        <f t="shared" si="154"/>
        <v>28</v>
      </c>
      <c r="CR98" s="6" t="str">
        <f t="shared" si="222"/>
        <v>出怪口错误</v>
      </c>
      <c r="CS98" s="8">
        <f t="shared" si="239"/>
        <v>21.5</v>
      </c>
      <c r="CT98" s="15">
        <f t="shared" si="198"/>
        <v>2</v>
      </c>
      <c r="CU98" s="33">
        <f t="shared" si="201"/>
        <v>49</v>
      </c>
      <c r="CV98" s="6" t="str">
        <f t="shared" si="202"/>
        <v>出怪口错误</v>
      </c>
      <c r="CW98" s="35">
        <v>2</v>
      </c>
      <c r="CX98" s="33">
        <f t="shared" si="156"/>
        <v>33</v>
      </c>
      <c r="CY98" s="6" t="str">
        <f t="shared" si="223"/>
        <v>出怪口错误</v>
      </c>
      <c r="CZ98" s="35">
        <v>3</v>
      </c>
      <c r="DA98" s="33">
        <f t="shared" si="157"/>
        <v>49</v>
      </c>
      <c r="DB98" s="6" t="str">
        <f t="shared" si="224"/>
        <v>出怪口错误</v>
      </c>
      <c r="DC98" s="1">
        <f t="shared" si="240"/>
        <v>21.5</v>
      </c>
    </row>
    <row r="99" s="2" customFormat="1" spans="21:107">
      <c r="V99" s="1"/>
      <c r="W99" s="1"/>
      <c r="X99" s="1"/>
      <c r="Y99" s="3"/>
      <c r="Z99" s="4"/>
      <c r="AA99" s="5"/>
      <c r="AB99" s="1"/>
      <c r="AC99" s="6"/>
      <c r="AD99" s="5"/>
      <c r="AE99" s="1"/>
      <c r="AF99" s="6"/>
      <c r="AG99" s="7"/>
      <c r="AH99" s="5"/>
      <c r="AI99" s="1"/>
      <c r="AJ99" s="6"/>
      <c r="AK99" s="1"/>
      <c r="AL99" s="5"/>
      <c r="AM99" s="1"/>
      <c r="AN99" s="6"/>
      <c r="AO99" s="6"/>
      <c r="AP99" s="6"/>
      <c r="AQ99" s="6"/>
      <c r="AR99" s="6"/>
      <c r="AS99" s="6"/>
      <c r="AT99" s="6"/>
      <c r="AU99" s="1"/>
      <c r="AV99" s="5"/>
      <c r="AW99" s="1"/>
      <c r="AX99" s="6"/>
      <c r="AY99" s="6"/>
      <c r="AZ99" s="6"/>
      <c r="BA99" s="6"/>
      <c r="BB99" s="6"/>
      <c r="BC99" s="6"/>
      <c r="BD99" s="6"/>
      <c r="BE99" s="8"/>
      <c r="BF99" s="5"/>
      <c r="BG99" s="1"/>
      <c r="BH99" s="6"/>
      <c r="BI99" s="6"/>
      <c r="BJ99" s="6"/>
      <c r="BK99" s="6"/>
      <c r="BL99" s="6"/>
      <c r="BM99" s="6"/>
      <c r="BN99" s="6"/>
      <c r="BO99" s="8"/>
      <c r="BP99" s="5"/>
      <c r="BR99" s="6"/>
      <c r="BS99" s="6"/>
      <c r="BT99" s="6"/>
      <c r="BU99" s="6"/>
      <c r="BV99" s="6"/>
      <c r="BW99" s="6"/>
      <c r="BX99" s="6"/>
      <c r="BY99" s="9"/>
      <c r="BZ99" s="10"/>
      <c r="CB99" s="6"/>
      <c r="CC99" s="6"/>
      <c r="CD99" s="6"/>
      <c r="CE99" s="6"/>
      <c r="CF99" s="6"/>
      <c r="CG99" s="6"/>
      <c r="CH99" s="6"/>
      <c r="CI99" s="9"/>
      <c r="CJ99" s="11"/>
      <c r="CL99" s="6"/>
      <c r="CM99" s="6"/>
      <c r="CN99" s="6"/>
      <c r="CO99" s="6"/>
      <c r="CP99" s="6"/>
      <c r="CQ99" s="6"/>
      <c r="CR99" s="6"/>
      <c r="CS99" s="9"/>
      <c r="CT99" s="11"/>
      <c r="CV99" s="6"/>
      <c r="DB99" s="9"/>
    </row>
    <row r="100" s="2" customFormat="1" spans="21:107">
      <c r="V100" s="1"/>
      <c r="W100" s="1"/>
      <c r="X100" s="1"/>
      <c r="Y100" s="3"/>
      <c r="Z100" s="4"/>
      <c r="AA100" s="5"/>
      <c r="AB100" s="1"/>
      <c r="AC100" s="6"/>
      <c r="AD100" s="5"/>
      <c r="AE100" s="1"/>
      <c r="AF100" s="6"/>
      <c r="AG100" s="7"/>
      <c r="AH100" s="5"/>
      <c r="AI100" s="6"/>
      <c r="AJ100" s="6"/>
      <c r="AK100" s="1"/>
      <c r="AL100" s="5"/>
      <c r="AM100" s="1"/>
      <c r="AN100" s="6"/>
      <c r="AO100" s="6"/>
      <c r="AP100" s="6"/>
      <c r="AQ100" s="6"/>
      <c r="AR100" s="6"/>
      <c r="AS100" s="6"/>
      <c r="AT100" s="6"/>
      <c r="AU100" s="1"/>
      <c r="AV100" s="5"/>
      <c r="AW100" s="1"/>
      <c r="AX100" s="6"/>
      <c r="AY100" s="6"/>
      <c r="AZ100" s="6"/>
      <c r="BA100" s="6"/>
      <c r="BB100" s="6"/>
      <c r="BC100" s="6"/>
      <c r="BD100" s="6"/>
      <c r="BE100" s="8"/>
      <c r="BF100" s="5"/>
      <c r="BG100" s="1"/>
      <c r="BH100" s="6"/>
      <c r="BI100" s="6"/>
      <c r="BJ100" s="6"/>
      <c r="BK100" s="6"/>
      <c r="BL100" s="6"/>
      <c r="BM100" s="6"/>
      <c r="BN100" s="6"/>
      <c r="BO100" s="8"/>
      <c r="BP100" s="5"/>
      <c r="BR100" s="6"/>
      <c r="BS100" s="6"/>
      <c r="BT100" s="6"/>
      <c r="BU100" s="6"/>
      <c r="BV100" s="6"/>
      <c r="BW100" s="6"/>
      <c r="BX100" s="6"/>
      <c r="BY100" s="9"/>
      <c r="BZ100" s="10"/>
      <c r="CB100" s="6"/>
      <c r="CC100" s="6"/>
      <c r="CD100" s="6"/>
      <c r="CE100" s="6"/>
      <c r="CF100" s="6"/>
      <c r="CG100" s="6"/>
      <c r="CH100" s="6"/>
      <c r="CI100" s="9"/>
      <c r="CJ100" s="11"/>
      <c r="CL100" s="6"/>
      <c r="CM100" s="6"/>
      <c r="CN100" s="6"/>
      <c r="CO100" s="6"/>
      <c r="CP100" s="6"/>
      <c r="CQ100" s="6"/>
      <c r="CR100" s="6"/>
      <c r="CS100" s="9"/>
      <c r="CT100" s="11"/>
      <c r="CV100" s="6"/>
      <c r="DB100" s="9"/>
    </row>
    <row r="101" s="2" customFormat="1" spans="21:107">
      <c r="V101" s="1"/>
      <c r="W101" s="1"/>
      <c r="X101" s="1"/>
      <c r="Y101" s="3"/>
      <c r="Z101" s="4"/>
      <c r="AA101" s="5"/>
      <c r="AB101" s="1"/>
      <c r="AC101" s="6"/>
      <c r="AD101" s="5"/>
      <c r="AE101" s="1"/>
      <c r="AF101" s="6"/>
      <c r="AG101" s="7"/>
      <c r="AH101" s="5"/>
      <c r="AI101" s="1"/>
      <c r="AK101" s="1"/>
      <c r="AL101" s="5"/>
      <c r="AM101" s="1"/>
      <c r="AN101" s="6"/>
      <c r="AO101" s="6"/>
      <c r="AP101" s="6"/>
      <c r="AQ101" s="6"/>
      <c r="AR101" s="6"/>
      <c r="AS101" s="6"/>
      <c r="AT101" s="6"/>
      <c r="AU101" s="1"/>
      <c r="AV101" s="5"/>
      <c r="AW101" s="1"/>
      <c r="AX101" s="6"/>
      <c r="AY101" s="6"/>
      <c r="AZ101" s="6"/>
      <c r="BA101" s="6"/>
      <c r="BB101" s="6"/>
      <c r="BC101" s="6"/>
      <c r="BD101" s="6"/>
      <c r="BE101" s="8"/>
      <c r="BF101" s="5"/>
      <c r="BG101" s="1"/>
      <c r="BH101" s="6"/>
      <c r="BI101" s="6"/>
      <c r="BJ101" s="6"/>
      <c r="BK101" s="6"/>
      <c r="BL101" s="6"/>
      <c r="BM101" s="6"/>
      <c r="BN101" s="6"/>
      <c r="BO101" s="8"/>
      <c r="BP101" s="5"/>
      <c r="BR101" s="6"/>
      <c r="BS101" s="6"/>
      <c r="BT101" s="6"/>
      <c r="BU101" s="6"/>
      <c r="BV101" s="6"/>
      <c r="BW101" s="6"/>
      <c r="BX101" s="6"/>
      <c r="BY101" s="9"/>
      <c r="BZ101" s="10"/>
      <c r="CB101" s="6"/>
      <c r="CC101" s="6"/>
      <c r="CD101" s="6"/>
      <c r="CE101" s="6"/>
      <c r="CF101" s="6"/>
      <c r="CG101" s="6"/>
      <c r="CH101" s="6"/>
      <c r="CI101" s="9"/>
      <c r="CJ101" s="11"/>
      <c r="CL101" s="6"/>
      <c r="CM101" s="6"/>
      <c r="CN101" s="6"/>
      <c r="CO101" s="6"/>
      <c r="CP101" s="6"/>
      <c r="CQ101" s="6"/>
      <c r="CR101" s="6"/>
      <c r="CS101" s="9"/>
      <c r="CT101" s="11"/>
      <c r="CV101" s="6"/>
      <c r="DB101" s="9"/>
    </row>
    <row r="102" s="2" customFormat="1" spans="21:107">
      <c r="V102" s="1"/>
      <c r="W102" s="1"/>
      <c r="X102" s="1"/>
      <c r="Y102" s="3"/>
      <c r="Z102" s="4"/>
      <c r="AA102" s="5"/>
      <c r="AB102" s="1"/>
      <c r="AC102" s="6"/>
      <c r="AD102" s="5"/>
      <c r="AE102" s="1"/>
      <c r="AF102" s="6"/>
      <c r="AG102" s="7"/>
      <c r="AH102" s="5"/>
      <c r="AI102" s="1"/>
      <c r="AJ102" s="6"/>
      <c r="AK102" s="1"/>
      <c r="AL102" s="5"/>
      <c r="AM102" s="1"/>
      <c r="AN102" s="6"/>
      <c r="AO102" s="6"/>
      <c r="AP102" s="6"/>
      <c r="AQ102" s="6"/>
      <c r="AR102" s="6"/>
      <c r="AS102" s="6"/>
      <c r="AT102" s="6"/>
      <c r="AU102" s="1"/>
      <c r="AV102" s="5"/>
      <c r="AW102" s="1"/>
      <c r="AX102" s="6"/>
      <c r="AY102" s="6"/>
      <c r="AZ102" s="6"/>
      <c r="BA102" s="6"/>
      <c r="BB102" s="6"/>
      <c r="BC102" s="6"/>
      <c r="BD102" s="6"/>
      <c r="BE102" s="8"/>
      <c r="BF102" s="5"/>
      <c r="BG102" s="1"/>
      <c r="BH102" s="6"/>
      <c r="BI102" s="6"/>
      <c r="BJ102" s="6"/>
      <c r="BK102" s="6"/>
      <c r="BL102" s="6"/>
      <c r="BM102" s="6"/>
      <c r="BN102" s="6"/>
      <c r="BO102" s="8"/>
      <c r="BP102" s="5"/>
      <c r="BR102" s="6"/>
      <c r="BS102" s="6"/>
      <c r="BT102" s="6"/>
      <c r="BU102" s="6"/>
      <c r="BV102" s="6"/>
      <c r="BW102" s="6"/>
      <c r="BX102" s="6"/>
      <c r="BY102" s="9"/>
      <c r="BZ102" s="10"/>
      <c r="CB102" s="6"/>
      <c r="CC102" s="6"/>
      <c r="CD102" s="6"/>
      <c r="CE102" s="6"/>
      <c r="CF102" s="6"/>
      <c r="CG102" s="6"/>
      <c r="CH102" s="6"/>
      <c r="CI102" s="9"/>
      <c r="CJ102" s="11"/>
      <c r="CL102" s="6"/>
      <c r="CM102" s="6"/>
      <c r="CN102" s="6"/>
      <c r="CO102" s="6"/>
      <c r="CP102" s="6"/>
      <c r="CQ102" s="6"/>
      <c r="CR102" s="6"/>
      <c r="CS102" s="9"/>
      <c r="CT102" s="11"/>
      <c r="CV102" s="6"/>
      <c r="DB102" s="9"/>
    </row>
    <row r="103" s="2" customFormat="1" spans="21:107">
      <c r="V103" s="1"/>
      <c r="W103" s="1"/>
      <c r="X103" s="1"/>
      <c r="Y103" s="3"/>
      <c r="Z103" s="4"/>
      <c r="AA103" s="5"/>
      <c r="AB103" s="1"/>
      <c r="AC103" s="6"/>
      <c r="AD103" s="5"/>
      <c r="AE103" s="1"/>
      <c r="AF103" s="6"/>
      <c r="AG103" s="7"/>
      <c r="AH103" s="5"/>
      <c r="AI103" s="1"/>
      <c r="AJ103" s="6"/>
      <c r="AK103" s="1"/>
      <c r="AL103" s="5"/>
      <c r="AM103" s="1"/>
      <c r="AN103" s="6"/>
      <c r="AO103" s="6"/>
      <c r="AP103" s="6"/>
      <c r="AQ103" s="6"/>
      <c r="AR103" s="6"/>
      <c r="AS103" s="6"/>
      <c r="AT103" s="6"/>
      <c r="AU103" s="1"/>
      <c r="AV103" s="5"/>
      <c r="AW103" s="1"/>
      <c r="AX103" s="6"/>
      <c r="AY103" s="6"/>
      <c r="AZ103" s="6"/>
      <c r="BA103" s="6"/>
      <c r="BB103" s="6"/>
      <c r="BC103" s="6"/>
      <c r="BD103" s="6"/>
      <c r="BE103" s="8"/>
      <c r="BF103" s="5"/>
      <c r="BG103" s="1"/>
      <c r="BH103" s="6"/>
      <c r="BI103" s="6"/>
      <c r="BJ103" s="6"/>
      <c r="BK103" s="6"/>
      <c r="BL103" s="6"/>
      <c r="BM103" s="6"/>
      <c r="BN103" s="6"/>
      <c r="BO103" s="8"/>
      <c r="BP103" s="5"/>
      <c r="BR103" s="6"/>
      <c r="BS103" s="6"/>
      <c r="BT103" s="6"/>
      <c r="BU103" s="6"/>
      <c r="BV103" s="6"/>
      <c r="BW103" s="6"/>
      <c r="BX103" s="6"/>
      <c r="BY103" s="9"/>
      <c r="BZ103" s="10"/>
      <c r="CB103" s="6"/>
      <c r="CC103" s="6"/>
      <c r="CD103" s="6"/>
      <c r="CE103" s="6"/>
      <c r="CF103" s="6"/>
      <c r="CG103" s="6"/>
      <c r="CH103" s="6"/>
      <c r="CI103" s="9"/>
      <c r="CJ103" s="11"/>
      <c r="CL103" s="6"/>
      <c r="CM103" s="6"/>
      <c r="CN103" s="6"/>
      <c r="CO103" s="6"/>
      <c r="CP103" s="6"/>
      <c r="CQ103" s="6"/>
      <c r="CR103" s="6"/>
      <c r="CS103" s="9"/>
      <c r="CT103" s="11"/>
      <c r="CV103" s="6"/>
      <c r="DB103" s="9"/>
    </row>
    <row r="104" s="2" customFormat="1" spans="21:107">
      <c r="V104" s="1"/>
      <c r="W104" s="1"/>
      <c r="X104" s="1"/>
      <c r="Y104" s="3"/>
      <c r="Z104" s="4"/>
      <c r="AA104" s="5"/>
      <c r="AB104" s="1"/>
      <c r="AC104" s="6"/>
      <c r="AD104" s="5"/>
      <c r="AE104" s="1"/>
      <c r="AF104" s="6"/>
      <c r="AG104" s="7"/>
      <c r="AH104" s="5"/>
      <c r="AI104" s="1"/>
      <c r="AJ104" s="6"/>
      <c r="AK104" s="1"/>
      <c r="AL104" s="5"/>
      <c r="AM104" s="1"/>
      <c r="AN104" s="6"/>
      <c r="AO104" s="6"/>
      <c r="AP104" s="6"/>
      <c r="AQ104" s="6"/>
      <c r="AR104" s="6"/>
      <c r="AS104" s="6"/>
      <c r="AT104" s="6"/>
      <c r="AU104" s="1"/>
      <c r="AV104" s="5"/>
      <c r="AW104" s="1"/>
      <c r="AX104" s="6"/>
      <c r="AY104" s="6"/>
      <c r="AZ104" s="6"/>
      <c r="BA104" s="6"/>
      <c r="BB104" s="6"/>
      <c r="BC104" s="6"/>
      <c r="BD104" s="6"/>
      <c r="BE104" s="8"/>
      <c r="BF104" s="5"/>
      <c r="BG104" s="1"/>
      <c r="BH104" s="6"/>
      <c r="BI104" s="6"/>
      <c r="BJ104" s="6"/>
      <c r="BK104" s="6"/>
      <c r="BL104" s="6"/>
      <c r="BM104" s="6"/>
      <c r="BN104" s="6"/>
      <c r="BO104" s="8"/>
      <c r="BP104" s="5"/>
      <c r="BR104" s="6"/>
      <c r="BS104" s="6"/>
      <c r="BT104" s="6"/>
      <c r="BU104" s="6"/>
      <c r="BV104" s="6"/>
      <c r="BW104" s="6"/>
      <c r="BX104" s="6"/>
      <c r="BY104" s="9"/>
      <c r="BZ104" s="10"/>
      <c r="CB104" s="6"/>
      <c r="CC104" s="6"/>
      <c r="CD104" s="6"/>
      <c r="CE104" s="6"/>
      <c r="CF104" s="6"/>
      <c r="CG104" s="6"/>
      <c r="CH104" s="6"/>
      <c r="CI104" s="9"/>
      <c r="CJ104" s="11"/>
      <c r="CL104" s="6"/>
      <c r="CM104" s="6"/>
      <c r="CN104" s="6"/>
      <c r="CO104" s="6"/>
      <c r="CP104" s="6"/>
      <c r="CQ104" s="6"/>
      <c r="CR104" s="6"/>
      <c r="CS104" s="9"/>
      <c r="CT104" s="11"/>
      <c r="CV104" s="6"/>
      <c r="DB104" s="9"/>
    </row>
  </sheetData>
  <mergeCells count="2">
    <mergeCell ref="F2:N2"/>
    <mergeCell ref="O2:R2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I107"/>
  <sheetViews>
    <sheetView topLeftCell="A79" workbookViewId="0">
      <selection activeCell="G119" sqref="G119"/>
    </sheetView>
  </sheetViews>
  <sheetFormatPr defaultColWidth="9" defaultRowHeight="13.5"/>
  <sheetData>
    <row r="1" spans="5:9">
      <c r="F1" t="s">
        <v>1317</v>
      </c>
      <c r="H1" t="s">
        <v>1318</v>
      </c>
    </row>
    <row r="2" spans="5:9">
      <c r="E2">
        <v>1</v>
      </c>
      <c r="G2">
        <v>1</v>
      </c>
      <c r="I2" t="str">
        <f>$F$1&amp;G2&amp;$H$1</f>
        <v>第1章</v>
      </c>
    </row>
    <row r="3" spans="5:9">
      <c r="E3">
        <v>2</v>
      </c>
      <c r="G3">
        <v>2</v>
      </c>
      <c r="I3" t="str">
        <f t="shared" ref="I3:I38" si="0">$F$1&amp;G3&amp;$H$1</f>
        <v>第2章</v>
      </c>
    </row>
    <row r="4" spans="5:9">
      <c r="E4">
        <v>3</v>
      </c>
      <c r="G4">
        <v>3</v>
      </c>
      <c r="I4" t="str">
        <f t="shared" si="0"/>
        <v>第3章</v>
      </c>
    </row>
    <row r="5" spans="5:9">
      <c r="E5">
        <v>4</v>
      </c>
      <c r="G5">
        <v>4</v>
      </c>
      <c r="I5" t="str">
        <f t="shared" si="0"/>
        <v>第4章</v>
      </c>
    </row>
    <row r="6" spans="5:9">
      <c r="E6">
        <v>5</v>
      </c>
      <c r="G6">
        <v>5</v>
      </c>
      <c r="I6" t="str">
        <f t="shared" si="0"/>
        <v>第5章</v>
      </c>
    </row>
    <row r="7" spans="5:9">
      <c r="E7">
        <v>6</v>
      </c>
      <c r="G7">
        <v>6</v>
      </c>
      <c r="I7" t="str">
        <f t="shared" si="0"/>
        <v>第6章</v>
      </c>
    </row>
    <row r="8" spans="5:9">
      <c r="E8">
        <v>7</v>
      </c>
      <c r="G8">
        <v>7</v>
      </c>
      <c r="I8" t="str">
        <f t="shared" si="0"/>
        <v>第7章</v>
      </c>
    </row>
    <row r="9" spans="5:9">
      <c r="E9">
        <v>8</v>
      </c>
      <c r="G9">
        <v>8</v>
      </c>
      <c r="I9" t="str">
        <f t="shared" si="0"/>
        <v>第8章</v>
      </c>
    </row>
    <row r="10" spans="5:9">
      <c r="E10">
        <v>9</v>
      </c>
      <c r="G10">
        <v>9</v>
      </c>
      <c r="I10" t="str">
        <f t="shared" si="0"/>
        <v>第9章</v>
      </c>
    </row>
    <row r="11" spans="5:9">
      <c r="E11">
        <v>10</v>
      </c>
      <c r="G11">
        <v>10</v>
      </c>
      <c r="I11" t="str">
        <f t="shared" si="0"/>
        <v>第10章</v>
      </c>
    </row>
    <row r="12" spans="5:9">
      <c r="E12">
        <v>11</v>
      </c>
      <c r="G12">
        <v>11</v>
      </c>
      <c r="I12" t="str">
        <f t="shared" si="0"/>
        <v>第11章</v>
      </c>
    </row>
    <row r="13" spans="5:9">
      <c r="E13">
        <v>12</v>
      </c>
      <c r="G13">
        <v>12</v>
      </c>
      <c r="I13" t="str">
        <f t="shared" si="0"/>
        <v>第12章</v>
      </c>
    </row>
    <row r="14" spans="5:9">
      <c r="E14">
        <v>13</v>
      </c>
      <c r="G14">
        <v>13</v>
      </c>
      <c r="I14" t="str">
        <f t="shared" si="0"/>
        <v>第13章</v>
      </c>
    </row>
    <row r="15" spans="5:9">
      <c r="E15">
        <v>14</v>
      </c>
      <c r="G15">
        <v>14</v>
      </c>
      <c r="I15" t="str">
        <f t="shared" si="0"/>
        <v>第14章</v>
      </c>
    </row>
    <row r="16" spans="5:9">
      <c r="E16">
        <v>15</v>
      </c>
      <c r="G16">
        <v>15</v>
      </c>
      <c r="I16" t="str">
        <f t="shared" si="0"/>
        <v>第15章</v>
      </c>
    </row>
    <row r="17" spans="5:9">
      <c r="E17">
        <v>16</v>
      </c>
      <c r="G17">
        <v>16</v>
      </c>
      <c r="I17" t="str">
        <f t="shared" si="0"/>
        <v>第16章</v>
      </c>
    </row>
    <row r="18" spans="5:9">
      <c r="E18">
        <v>17</v>
      </c>
      <c r="G18">
        <v>17</v>
      </c>
      <c r="I18" t="str">
        <f t="shared" si="0"/>
        <v>第17章</v>
      </c>
    </row>
    <row r="19" spans="5:9">
      <c r="E19">
        <v>18</v>
      </c>
      <c r="G19">
        <v>18</v>
      </c>
      <c r="I19" t="str">
        <f t="shared" si="0"/>
        <v>第18章</v>
      </c>
    </row>
    <row r="20" spans="5:9">
      <c r="E20">
        <v>19</v>
      </c>
      <c r="G20">
        <v>19</v>
      </c>
      <c r="I20" t="str">
        <f t="shared" si="0"/>
        <v>第19章</v>
      </c>
    </row>
    <row r="21" spans="5:9">
      <c r="E21">
        <v>20</v>
      </c>
      <c r="G21">
        <v>20</v>
      </c>
      <c r="I21" t="str">
        <f t="shared" si="0"/>
        <v>第20章</v>
      </c>
    </row>
    <row r="22" spans="5:9">
      <c r="E22">
        <v>21</v>
      </c>
      <c r="G22">
        <v>21</v>
      </c>
      <c r="I22" t="str">
        <f t="shared" si="0"/>
        <v>第21章</v>
      </c>
    </row>
    <row r="23" spans="5:9">
      <c r="E23">
        <v>22</v>
      </c>
      <c r="G23">
        <v>22</v>
      </c>
      <c r="I23" t="str">
        <f t="shared" si="0"/>
        <v>第22章</v>
      </c>
    </row>
    <row r="24" spans="5:9">
      <c r="E24">
        <v>23</v>
      </c>
      <c r="G24">
        <v>23</v>
      </c>
      <c r="I24" t="str">
        <f t="shared" si="0"/>
        <v>第23章</v>
      </c>
    </row>
    <row r="25" spans="5:9">
      <c r="E25">
        <v>24</v>
      </c>
      <c r="G25">
        <v>24</v>
      </c>
      <c r="I25" t="str">
        <f t="shared" si="0"/>
        <v>第24章</v>
      </c>
    </row>
    <row r="26" spans="5:9">
      <c r="E26">
        <v>25</v>
      </c>
      <c r="G26">
        <v>25</v>
      </c>
      <c r="I26" t="str">
        <f t="shared" si="0"/>
        <v>第25章</v>
      </c>
    </row>
    <row r="27" spans="5:9">
      <c r="E27">
        <v>26</v>
      </c>
      <c r="G27">
        <v>26</v>
      </c>
      <c r="I27" t="str">
        <f t="shared" si="0"/>
        <v>第26章</v>
      </c>
    </row>
    <row r="28" spans="5:9">
      <c r="E28">
        <v>27</v>
      </c>
      <c r="G28">
        <v>27</v>
      </c>
      <c r="I28" t="str">
        <f t="shared" si="0"/>
        <v>第27章</v>
      </c>
    </row>
    <row r="29" spans="5:9">
      <c r="E29">
        <v>28</v>
      </c>
      <c r="G29">
        <v>28</v>
      </c>
      <c r="I29" t="str">
        <f t="shared" si="0"/>
        <v>第28章</v>
      </c>
    </row>
    <row r="30" spans="5:9">
      <c r="E30">
        <v>29</v>
      </c>
      <c r="G30">
        <v>29</v>
      </c>
      <c r="I30" t="str">
        <f t="shared" si="0"/>
        <v>第29章</v>
      </c>
    </row>
    <row r="31" spans="5:9">
      <c r="E31">
        <v>30</v>
      </c>
      <c r="G31">
        <v>30</v>
      </c>
      <c r="I31" t="str">
        <f t="shared" si="0"/>
        <v>第30章</v>
      </c>
    </row>
    <row r="32" spans="5:9">
      <c r="E32">
        <v>31</v>
      </c>
      <c r="G32">
        <v>31</v>
      </c>
      <c r="I32" t="str">
        <f t="shared" si="0"/>
        <v>第31章</v>
      </c>
    </row>
    <row r="33" spans="5:9">
      <c r="E33">
        <v>32</v>
      </c>
      <c r="G33">
        <v>32</v>
      </c>
      <c r="I33" t="str">
        <f t="shared" si="0"/>
        <v>第32章</v>
      </c>
    </row>
    <row r="34" spans="5:9">
      <c r="E34">
        <v>33</v>
      </c>
      <c r="G34">
        <v>33</v>
      </c>
      <c r="I34" t="str">
        <f t="shared" si="0"/>
        <v>第33章</v>
      </c>
    </row>
    <row r="35" spans="5:9">
      <c r="E35">
        <v>34</v>
      </c>
      <c r="G35">
        <v>34</v>
      </c>
      <c r="I35" t="str">
        <f t="shared" si="0"/>
        <v>第34章</v>
      </c>
    </row>
    <row r="36" spans="5:9">
      <c r="E36">
        <v>35</v>
      </c>
      <c r="G36">
        <v>35</v>
      </c>
      <c r="I36" t="str">
        <f t="shared" si="0"/>
        <v>第35章</v>
      </c>
    </row>
    <row r="37" spans="5:9">
      <c r="E37">
        <v>36</v>
      </c>
      <c r="G37">
        <v>36</v>
      </c>
      <c r="I37" t="str">
        <f t="shared" si="0"/>
        <v>第36章</v>
      </c>
    </row>
    <row r="38" spans="5:9">
      <c r="E38">
        <v>37</v>
      </c>
      <c r="G38">
        <v>37</v>
      </c>
      <c r="I38" t="str">
        <f t="shared" si="0"/>
        <v>第37章</v>
      </c>
    </row>
    <row r="39" spans="5:9">
      <c r="E39">
        <v>38</v>
      </c>
      <c r="G39">
        <v>38</v>
      </c>
      <c r="I39" t="str">
        <f t="shared" ref="I39:I72" si="1">$F$1&amp;G39&amp;$H$1</f>
        <v>第38章</v>
      </c>
    </row>
    <row r="40" spans="5:9">
      <c r="E40">
        <v>39</v>
      </c>
      <c r="G40">
        <v>39</v>
      </c>
      <c r="I40" t="str">
        <f t="shared" si="1"/>
        <v>第39章</v>
      </c>
    </row>
    <row r="41" spans="5:9">
      <c r="E41">
        <v>40</v>
      </c>
      <c r="G41">
        <v>40</v>
      </c>
      <c r="I41" t="str">
        <f t="shared" si="1"/>
        <v>第40章</v>
      </c>
    </row>
    <row r="42" spans="5:9">
      <c r="E42">
        <v>41</v>
      </c>
      <c r="G42">
        <v>41</v>
      </c>
      <c r="I42" t="str">
        <f t="shared" si="1"/>
        <v>第41章</v>
      </c>
    </row>
    <row r="43" spans="5:9">
      <c r="E43">
        <v>42</v>
      </c>
      <c r="G43">
        <v>42</v>
      </c>
      <c r="I43" t="str">
        <f t="shared" si="1"/>
        <v>第42章</v>
      </c>
    </row>
    <row r="44" spans="5:9">
      <c r="E44">
        <v>43</v>
      </c>
      <c r="G44">
        <v>43</v>
      </c>
      <c r="I44" t="str">
        <f t="shared" si="1"/>
        <v>第43章</v>
      </c>
    </row>
    <row r="45" spans="5:9">
      <c r="E45">
        <v>44</v>
      </c>
      <c r="G45">
        <v>44</v>
      </c>
      <c r="I45" t="str">
        <f t="shared" si="1"/>
        <v>第44章</v>
      </c>
    </row>
    <row r="46" spans="5:9">
      <c r="E46">
        <v>45</v>
      </c>
      <c r="G46">
        <v>45</v>
      </c>
      <c r="I46" t="str">
        <f t="shared" si="1"/>
        <v>第45章</v>
      </c>
    </row>
    <row r="47" spans="5:9">
      <c r="E47">
        <v>46</v>
      </c>
      <c r="G47">
        <v>46</v>
      </c>
      <c r="I47" t="str">
        <f t="shared" si="1"/>
        <v>第46章</v>
      </c>
    </row>
    <row r="48" spans="5:9">
      <c r="E48">
        <v>47</v>
      </c>
      <c r="G48">
        <v>47</v>
      </c>
      <c r="I48" t="str">
        <f t="shared" si="1"/>
        <v>第47章</v>
      </c>
    </row>
    <row r="49" spans="5:9">
      <c r="E49">
        <v>48</v>
      </c>
      <c r="G49">
        <v>48</v>
      </c>
      <c r="I49" t="str">
        <f t="shared" si="1"/>
        <v>第48章</v>
      </c>
    </row>
    <row r="50" spans="5:9">
      <c r="E50">
        <v>49</v>
      </c>
      <c r="G50">
        <v>49</v>
      </c>
      <c r="I50" t="str">
        <f t="shared" si="1"/>
        <v>第49章</v>
      </c>
    </row>
    <row r="51" spans="5:9">
      <c r="E51">
        <v>50</v>
      </c>
      <c r="G51">
        <v>50</v>
      </c>
      <c r="I51" t="str">
        <f t="shared" si="1"/>
        <v>第50章</v>
      </c>
    </row>
    <row r="52" spans="5:9">
      <c r="E52">
        <v>51</v>
      </c>
      <c r="G52">
        <v>51</v>
      </c>
      <c r="I52" t="str">
        <f t="shared" si="1"/>
        <v>第51章</v>
      </c>
    </row>
    <row r="53" spans="5:9">
      <c r="E53">
        <v>52</v>
      </c>
      <c r="G53">
        <v>52</v>
      </c>
      <c r="I53" t="str">
        <f t="shared" si="1"/>
        <v>第52章</v>
      </c>
    </row>
    <row r="54" spans="5:9">
      <c r="E54">
        <v>53</v>
      </c>
      <c r="G54">
        <v>53</v>
      </c>
      <c r="I54" t="str">
        <f t="shared" si="1"/>
        <v>第53章</v>
      </c>
    </row>
    <row r="55" spans="5:9">
      <c r="E55">
        <v>54</v>
      </c>
      <c r="G55">
        <v>54</v>
      </c>
      <c r="I55" t="str">
        <f t="shared" si="1"/>
        <v>第54章</v>
      </c>
    </row>
    <row r="56" spans="5:9">
      <c r="E56">
        <v>55</v>
      </c>
      <c r="G56">
        <v>55</v>
      </c>
      <c r="I56" t="str">
        <f t="shared" si="1"/>
        <v>第55章</v>
      </c>
    </row>
    <row r="57" spans="5:9">
      <c r="E57">
        <v>56</v>
      </c>
      <c r="G57">
        <v>56</v>
      </c>
      <c r="I57" t="str">
        <f t="shared" si="1"/>
        <v>第56章</v>
      </c>
    </row>
    <row r="58" spans="5:9">
      <c r="E58">
        <v>57</v>
      </c>
      <c r="G58">
        <v>57</v>
      </c>
      <c r="I58" t="str">
        <f t="shared" si="1"/>
        <v>第57章</v>
      </c>
    </row>
    <row r="59" spans="5:9">
      <c r="E59">
        <v>58</v>
      </c>
      <c r="G59">
        <v>58</v>
      </c>
      <c r="I59" t="str">
        <f t="shared" si="1"/>
        <v>第58章</v>
      </c>
    </row>
    <row r="60" spans="5:9">
      <c r="E60">
        <v>59</v>
      </c>
      <c r="G60">
        <v>59</v>
      </c>
      <c r="I60" t="str">
        <f t="shared" si="1"/>
        <v>第59章</v>
      </c>
    </row>
    <row r="61" spans="5:9">
      <c r="E61">
        <v>60</v>
      </c>
      <c r="G61">
        <v>60</v>
      </c>
      <c r="I61" t="str">
        <f t="shared" si="1"/>
        <v>第60章</v>
      </c>
    </row>
    <row r="62" spans="5:9">
      <c r="E62">
        <v>61</v>
      </c>
      <c r="G62">
        <v>61</v>
      </c>
      <c r="I62" t="str">
        <f t="shared" si="1"/>
        <v>第61章</v>
      </c>
    </row>
    <row r="63" spans="5:9">
      <c r="E63">
        <v>62</v>
      </c>
      <c r="G63">
        <v>62</v>
      </c>
      <c r="I63" t="str">
        <f t="shared" si="1"/>
        <v>第62章</v>
      </c>
    </row>
    <row r="64" spans="5:9">
      <c r="E64">
        <v>63</v>
      </c>
      <c r="G64">
        <v>63</v>
      </c>
      <c r="I64" t="str">
        <f t="shared" si="1"/>
        <v>第63章</v>
      </c>
    </row>
    <row r="65" spans="5:9">
      <c r="E65">
        <v>64</v>
      </c>
      <c r="G65">
        <v>64</v>
      </c>
      <c r="I65" t="str">
        <f t="shared" si="1"/>
        <v>第64章</v>
      </c>
    </row>
    <row r="66" spans="5:9">
      <c r="E66">
        <v>65</v>
      </c>
      <c r="G66">
        <v>65</v>
      </c>
      <c r="I66" t="str">
        <f t="shared" si="1"/>
        <v>第65章</v>
      </c>
    </row>
    <row r="67" spans="5:9">
      <c r="E67">
        <v>66</v>
      </c>
      <c r="G67">
        <v>66</v>
      </c>
      <c r="I67" t="str">
        <f t="shared" si="1"/>
        <v>第66章</v>
      </c>
    </row>
    <row r="68" spans="5:9">
      <c r="E68">
        <v>67</v>
      </c>
      <c r="G68">
        <v>67</v>
      </c>
      <c r="I68" t="str">
        <f t="shared" si="1"/>
        <v>第67章</v>
      </c>
    </row>
    <row r="69" spans="5:9">
      <c r="E69">
        <v>68</v>
      </c>
      <c r="G69">
        <v>68</v>
      </c>
      <c r="I69" t="str">
        <f t="shared" si="1"/>
        <v>第68章</v>
      </c>
    </row>
    <row r="70" spans="5:9">
      <c r="E70">
        <v>69</v>
      </c>
      <c r="G70">
        <v>69</v>
      </c>
      <c r="I70" t="str">
        <f t="shared" si="1"/>
        <v>第69章</v>
      </c>
    </row>
    <row r="71" spans="5:9">
      <c r="E71">
        <v>70</v>
      </c>
      <c r="G71">
        <v>70</v>
      </c>
      <c r="I71" t="str">
        <f t="shared" si="1"/>
        <v>第70章</v>
      </c>
    </row>
    <row r="72" spans="5:9">
      <c r="E72">
        <v>71</v>
      </c>
      <c r="G72">
        <v>71</v>
      </c>
      <c r="I72" t="str">
        <f t="shared" si="1"/>
        <v>第71章</v>
      </c>
    </row>
    <row r="73" spans="5:9">
      <c r="E73">
        <v>72</v>
      </c>
      <c r="G73">
        <v>72</v>
      </c>
      <c r="I73" t="str">
        <f t="shared" ref="I73:I107" si="2">$F$1&amp;G73&amp;$H$1</f>
        <v>第72章</v>
      </c>
    </row>
    <row r="74" spans="5:9">
      <c r="E74">
        <v>73</v>
      </c>
      <c r="G74">
        <v>73</v>
      </c>
      <c r="I74" t="str">
        <f t="shared" si="2"/>
        <v>第73章</v>
      </c>
    </row>
    <row r="75" spans="5:9">
      <c r="E75">
        <v>74</v>
      </c>
      <c r="G75">
        <v>74</v>
      </c>
      <c r="I75" t="str">
        <f t="shared" si="2"/>
        <v>第74章</v>
      </c>
    </row>
    <row r="76" spans="5:9">
      <c r="E76">
        <v>75</v>
      </c>
      <c r="G76">
        <v>75</v>
      </c>
      <c r="I76" t="str">
        <f t="shared" si="2"/>
        <v>第75章</v>
      </c>
    </row>
    <row r="77" spans="5:9">
      <c r="E77">
        <v>76</v>
      </c>
      <c r="G77">
        <v>76</v>
      </c>
      <c r="I77" t="str">
        <f t="shared" si="2"/>
        <v>第76章</v>
      </c>
    </row>
    <row r="78" spans="5:9">
      <c r="E78">
        <v>77</v>
      </c>
      <c r="G78">
        <v>77</v>
      </c>
      <c r="I78" t="str">
        <f t="shared" si="2"/>
        <v>第77章</v>
      </c>
    </row>
    <row r="79" spans="5:9">
      <c r="E79">
        <v>78</v>
      </c>
      <c r="G79">
        <v>78</v>
      </c>
      <c r="I79" t="str">
        <f t="shared" si="2"/>
        <v>第78章</v>
      </c>
    </row>
    <row r="80" spans="5:9">
      <c r="E80">
        <v>79</v>
      </c>
      <c r="G80">
        <v>79</v>
      </c>
      <c r="I80" t="str">
        <f t="shared" si="2"/>
        <v>第79章</v>
      </c>
    </row>
    <row r="81" spans="5:9">
      <c r="E81">
        <v>80</v>
      </c>
      <c r="G81">
        <v>80</v>
      </c>
      <c r="I81" t="str">
        <f t="shared" si="2"/>
        <v>第80章</v>
      </c>
    </row>
    <row r="82" spans="5:9">
      <c r="E82">
        <v>81</v>
      </c>
      <c r="G82">
        <v>81</v>
      </c>
      <c r="I82" t="str">
        <f t="shared" si="2"/>
        <v>第81章</v>
      </c>
    </row>
    <row r="83" spans="5:9">
      <c r="E83">
        <v>82</v>
      </c>
      <c r="G83">
        <v>82</v>
      </c>
      <c r="I83" t="str">
        <f t="shared" si="2"/>
        <v>第82章</v>
      </c>
    </row>
    <row r="84" spans="5:9">
      <c r="E84">
        <v>83</v>
      </c>
      <c r="G84">
        <v>83</v>
      </c>
      <c r="I84" t="str">
        <f t="shared" si="2"/>
        <v>第83章</v>
      </c>
    </row>
    <row r="85" spans="5:9">
      <c r="E85">
        <v>84</v>
      </c>
      <c r="G85">
        <v>84</v>
      </c>
      <c r="I85" t="str">
        <f t="shared" si="2"/>
        <v>第84章</v>
      </c>
    </row>
    <row r="86" spans="5:9">
      <c r="E86">
        <v>85</v>
      </c>
      <c r="G86">
        <v>85</v>
      </c>
      <c r="I86" t="str">
        <f t="shared" si="2"/>
        <v>第85章</v>
      </c>
    </row>
    <row r="87" spans="5:9">
      <c r="E87">
        <v>86</v>
      </c>
      <c r="G87">
        <v>86</v>
      </c>
      <c r="I87" t="str">
        <f t="shared" si="2"/>
        <v>第86章</v>
      </c>
    </row>
    <row r="88" spans="5:9">
      <c r="E88">
        <v>87</v>
      </c>
      <c r="G88">
        <v>87</v>
      </c>
      <c r="I88" t="str">
        <f t="shared" si="2"/>
        <v>第87章</v>
      </c>
    </row>
    <row r="89" spans="5:9">
      <c r="E89">
        <v>88</v>
      </c>
      <c r="G89">
        <v>88</v>
      </c>
      <c r="I89" t="str">
        <f t="shared" si="2"/>
        <v>第88章</v>
      </c>
    </row>
    <row r="90" spans="5:9">
      <c r="E90">
        <v>89</v>
      </c>
      <c r="G90">
        <v>89</v>
      </c>
      <c r="I90" t="str">
        <f t="shared" si="2"/>
        <v>第89章</v>
      </c>
    </row>
    <row r="91" spans="5:9">
      <c r="E91">
        <v>90</v>
      </c>
      <c r="G91">
        <v>90</v>
      </c>
      <c r="I91" t="str">
        <f t="shared" si="2"/>
        <v>第90章</v>
      </c>
    </row>
    <row r="92" spans="5:9">
      <c r="E92">
        <v>91</v>
      </c>
      <c r="G92">
        <v>91</v>
      </c>
      <c r="I92" t="str">
        <f t="shared" si="2"/>
        <v>第91章</v>
      </c>
    </row>
    <row r="93" spans="5:9">
      <c r="E93">
        <v>92</v>
      </c>
      <c r="G93">
        <v>92</v>
      </c>
      <c r="I93" t="str">
        <f t="shared" si="2"/>
        <v>第92章</v>
      </c>
    </row>
    <row r="94" spans="5:9">
      <c r="E94">
        <v>93</v>
      </c>
      <c r="G94">
        <v>93</v>
      </c>
      <c r="I94" t="str">
        <f t="shared" si="2"/>
        <v>第93章</v>
      </c>
    </row>
    <row r="95" spans="5:9">
      <c r="E95">
        <v>94</v>
      </c>
      <c r="G95">
        <v>94</v>
      </c>
      <c r="I95" t="str">
        <f t="shared" si="2"/>
        <v>第94章</v>
      </c>
    </row>
    <row r="96" spans="5:9">
      <c r="E96">
        <v>95</v>
      </c>
      <c r="G96">
        <v>95</v>
      </c>
      <c r="I96" t="str">
        <f t="shared" si="2"/>
        <v>第95章</v>
      </c>
    </row>
    <row r="97" spans="5:9">
      <c r="E97">
        <v>96</v>
      </c>
      <c r="G97">
        <v>96</v>
      </c>
      <c r="I97" t="str">
        <f t="shared" si="2"/>
        <v>第96章</v>
      </c>
    </row>
    <row r="98" spans="5:9">
      <c r="E98">
        <v>97</v>
      </c>
      <c r="G98">
        <v>97</v>
      </c>
      <c r="I98" t="str">
        <f t="shared" si="2"/>
        <v>第97章</v>
      </c>
    </row>
    <row r="99" spans="5:9">
      <c r="E99">
        <v>98</v>
      </c>
      <c r="G99">
        <v>98</v>
      </c>
      <c r="I99" t="str">
        <f t="shared" si="2"/>
        <v>第98章</v>
      </c>
    </row>
    <row r="100" spans="5:9">
      <c r="E100">
        <v>99</v>
      </c>
      <c r="G100">
        <v>99</v>
      </c>
      <c r="I100" t="str">
        <f t="shared" si="2"/>
        <v>第99章</v>
      </c>
    </row>
    <row r="101" spans="5:9">
      <c r="E101">
        <v>100</v>
      </c>
      <c r="G101">
        <v>100</v>
      </c>
      <c r="I101" t="str">
        <f t="shared" si="2"/>
        <v>第100章</v>
      </c>
    </row>
    <row r="102" spans="5:9">
      <c r="E102">
        <v>101</v>
      </c>
      <c r="G102">
        <v>101</v>
      </c>
      <c r="I102" t="str">
        <f t="shared" si="2"/>
        <v>第101章</v>
      </c>
    </row>
    <row r="103" spans="5:9">
      <c r="E103">
        <v>102</v>
      </c>
      <c r="G103">
        <v>102</v>
      </c>
      <c r="I103" t="str">
        <f t="shared" si="2"/>
        <v>第102章</v>
      </c>
    </row>
    <row r="104" spans="5:9">
      <c r="E104">
        <v>103</v>
      </c>
      <c r="G104">
        <v>103</v>
      </c>
      <c r="I104" t="str">
        <f t="shared" si="2"/>
        <v>第103章</v>
      </c>
    </row>
    <row r="105" spans="5:9">
      <c r="E105">
        <v>104</v>
      </c>
      <c r="G105">
        <v>104</v>
      </c>
      <c r="I105" t="str">
        <f t="shared" si="2"/>
        <v>第104章</v>
      </c>
    </row>
    <row r="106" spans="5:9">
      <c r="E106">
        <v>105</v>
      </c>
      <c r="G106">
        <v>105</v>
      </c>
      <c r="I106" t="str">
        <f t="shared" si="2"/>
        <v>第105章</v>
      </c>
    </row>
    <row r="107" spans="5:9">
      <c r="E107">
        <v>106</v>
      </c>
      <c r="G107">
        <v>106</v>
      </c>
      <c r="I107" t="str">
        <f t="shared" si="2"/>
        <v>第106章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Migong</vt:lpstr>
      <vt:lpstr>辅助</vt:lpstr>
      <vt:lpstr>每波成长</vt:lpstr>
      <vt:lpstr>部队设定</vt:lpstr>
      <vt:lpstr>出怪成长</vt:lpstr>
      <vt:lpstr>出怪数量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2020-12-02T08:05:00Z</dcterms:created>
  <dcterms:modified xsi:type="dcterms:W3CDTF">2026-03-21T03:25:25Z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C98B2D6A29FB4C8A8B1E47DD06D9F796_13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