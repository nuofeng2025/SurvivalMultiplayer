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75" tabRatio="750"/>
  </bookViews>
  <sheets>
    <sheet name="Dungeon" sheetId="1" r:id="rId1"/>
    <sheet name="辅助" sheetId="2" r:id="rId2"/>
    <sheet name="Sheet1" sheetId="3" r:id="rId3"/>
  </sheets>
  <definedNames>
    <definedName name="_xlnm._FilterDatabase" localSheetId="0" hidden="1">Dungeon!$A$1:$BT$162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B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1.金币+经验副本
2.士兵科技副本
3.装备副本</t>
        </r>
      </text>
    </comment>
    <comment ref="F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对应关卡id</t>
        </r>
      </text>
    </comment>
    <comment ref="H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根据等级来计算怪物属性</t>
        </r>
      </text>
    </comment>
    <comment ref="J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0代表永久开放
填几代表周几开</t>
        </r>
      </text>
    </comment>
    <comment ref="L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几波</t>
        </r>
      </text>
    </comment>
    <comment ref="M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对应波次怪物id，数量</t>
        </r>
      </text>
    </comment>
    <comment ref="N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对应波次怪物经过等级增幅后的属性在*系数=最终属性</t>
        </r>
      </text>
    </comment>
    <comment ref="O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展示奖励用来显示在副本入口上的</t>
        </r>
      </text>
    </comment>
    <comment ref="P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展示奖励用来显示在副本入口上的</t>
        </r>
      </text>
    </comment>
    <comment ref="Q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展示奖励用来显示在副本入口上的</t>
        </r>
      </text>
    </comment>
    <comment ref="R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展示奖励用来显示在副本入口上的</t>
        </r>
      </text>
    </comment>
    <comment ref="S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展示奖励用来显示在副本入口上的</t>
        </r>
      </text>
    </comment>
    <comment ref="T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展示奖励用来显示在副本入口上的</t>
        </r>
      </text>
    </comment>
    <comment ref="U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展示奖励用来显示在副本入口上的</t>
        </r>
      </text>
    </comment>
    <comment ref="V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实际发的奖励</t>
        </r>
      </text>
    </comment>
    <comment ref="W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实际发的奖励</t>
        </r>
      </text>
    </comment>
    <comment ref="X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实际发的奖励</t>
        </r>
      </text>
    </comment>
    <comment ref="Y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实际发的奖励</t>
        </r>
      </text>
    </comment>
    <comment ref="Z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实际发的奖励</t>
        </r>
      </text>
    </comment>
    <comment ref="AA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实际发的奖励</t>
        </r>
      </text>
    </comment>
    <comment ref="AB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实际发的奖励</t>
        </r>
      </text>
    </comment>
  </commentList>
</comments>
</file>

<file path=xl/sharedStrings.xml><?xml version="1.0" encoding="utf-8"?>
<sst xmlns="http://schemas.openxmlformats.org/spreadsheetml/2006/main" count="811" uniqueCount="245">
  <si>
    <t>Id</t>
  </si>
  <si>
    <t>type</t>
  </si>
  <si>
    <t>Name</t>
  </si>
  <si>
    <t>Difficulty</t>
  </si>
  <si>
    <t>Map</t>
  </si>
  <si>
    <t>Unlock</t>
  </si>
  <si>
    <t>Unlocklv</t>
  </si>
  <si>
    <t>Level</t>
  </si>
  <si>
    <t>Consume</t>
  </si>
  <si>
    <t>Opentime</t>
  </si>
  <si>
    <t>Opentimedesc</t>
  </si>
  <si>
    <t>Wave</t>
  </si>
  <si>
    <t>Wavemonster</t>
  </si>
  <si>
    <t>Factor</t>
  </si>
  <si>
    <t>Rewardshow1</t>
  </si>
  <si>
    <t>Rewardshow2</t>
  </si>
  <si>
    <t>Rewardshow3</t>
  </si>
  <si>
    <t>Rewardshow4</t>
  </si>
  <si>
    <t>Rewardshow5</t>
  </si>
  <si>
    <t>Rewardshow6</t>
  </si>
  <si>
    <t>Rewardshow7</t>
  </si>
  <si>
    <t>Reward1</t>
  </si>
  <si>
    <t>Reward2</t>
  </si>
  <si>
    <t>Reward3</t>
  </si>
  <si>
    <t>Reward4</t>
  </si>
  <si>
    <t>Reward5</t>
  </si>
  <si>
    <t>Reward6</t>
  </si>
  <si>
    <t>Reward7</t>
  </si>
  <si>
    <t>int</t>
  </si>
  <si>
    <t>string</t>
  </si>
  <si>
    <t>副本id</t>
  </si>
  <si>
    <t>副本类型</t>
  </si>
  <si>
    <t>副本名称</t>
  </si>
  <si>
    <t>副本难度</t>
  </si>
  <si>
    <t>地图</t>
  </si>
  <si>
    <t>解锁条件</t>
  </si>
  <si>
    <t>副本解锁等级</t>
  </si>
  <si>
    <t>副本等级</t>
  </si>
  <si>
    <t>消耗体力</t>
  </si>
  <si>
    <t>开放时间</t>
  </si>
  <si>
    <t>开放时间描述</t>
  </si>
  <si>
    <t>波次</t>
  </si>
  <si>
    <t>波次怪物</t>
  </si>
  <si>
    <t>增幅系数</t>
  </si>
  <si>
    <t>奖励展示周一</t>
  </si>
  <si>
    <t>奖励展示周二</t>
  </si>
  <si>
    <t>奖励展示周三</t>
  </si>
  <si>
    <t>奖励展示周四</t>
  </si>
  <si>
    <t>奖励展示周五</t>
  </si>
  <si>
    <t>奖励展示周六</t>
  </si>
  <si>
    <t>奖励展示周七</t>
  </si>
  <si>
    <t>通关奖励周一</t>
  </si>
  <si>
    <t>通关奖励周二</t>
  </si>
  <si>
    <t>通关奖励周三</t>
  </si>
  <si>
    <t>通关奖励周四</t>
  </si>
  <si>
    <t>通关奖励周五</t>
  </si>
  <si>
    <t>通关奖励周六</t>
  </si>
  <si>
    <t>通关奖励周日</t>
  </si>
  <si>
    <t>金币副本</t>
  </si>
  <si>
    <t>bingxuemap</t>
  </si>
  <si>
    <t>10001:5|10001:5,10002:5|10003:5|10004:5|10005:5</t>
  </si>
  <si>
    <t>20001|20002|12</t>
  </si>
  <si>
    <t>2001:10|2002:8|1001:1</t>
  </si>
  <si>
    <t>2001:15|2002:12|1002:1</t>
  </si>
  <si>
    <t>2001:20|2002:16|1003:1</t>
  </si>
  <si>
    <t>2001:25|2002:20|1004:1</t>
  </si>
  <si>
    <t>20002|20003|12</t>
  </si>
  <si>
    <t>2002:10|2003:5|1005:1</t>
  </si>
  <si>
    <t>2002:11|2003:6|1006:1</t>
  </si>
  <si>
    <t>2002:12|2003:7|1007:1</t>
  </si>
  <si>
    <t>2002:13|2003:8|1008:1</t>
  </si>
  <si>
    <t>20002|20003|20004|12</t>
  </si>
  <si>
    <t>2002:2|2003:7|2004:2|1009:1</t>
  </si>
  <si>
    <t>2002:1|2003:6|2004:3|1010:1</t>
  </si>
  <si>
    <t>20003|20004|12</t>
  </si>
  <si>
    <t>2003:5|2004:4|1011:1</t>
  </si>
  <si>
    <t>2002:1|2003:6|2004:4|1012:1</t>
  </si>
  <si>
    <t>2003:5|2004:5|1013:1</t>
  </si>
  <si>
    <t>科技副本</t>
  </si>
  <si>
    <t>10101|10119|10122</t>
  </si>
  <si>
    <t>10102|10119|10122</t>
  </si>
  <si>
    <t>10103|10119|10122</t>
  </si>
  <si>
    <t>10104|10119|10122</t>
  </si>
  <si>
    <t>10105|10119|10122</t>
  </si>
  <si>
    <t>10106|10119|10122</t>
  </si>
  <si>
    <t>3001:5|3301:10|3304:10</t>
  </si>
  <si>
    <t>3002:5|3301:10|3304:10</t>
  </si>
  <si>
    <t>3003:5|3301:10|3304:10</t>
  </si>
  <si>
    <t>3004:5|3301:10|3304:10</t>
  </si>
  <si>
    <t>3005:5|3301:10|3304:10</t>
  </si>
  <si>
    <t>3006:5|3301:10|3304:10</t>
  </si>
  <si>
    <t>3007:5|3301:10|3304:10</t>
  </si>
  <si>
    <t>3001:7|3301:15|3304:15</t>
  </si>
  <si>
    <t>3002:7|3301:15|3304:15</t>
  </si>
  <si>
    <t>3003:7|3301:15|3304:15</t>
  </si>
  <si>
    <t>3004:7|3301:15|3304:15</t>
  </si>
  <si>
    <t>3005:7|3301:15|3304:15</t>
  </si>
  <si>
    <t>3006:7|3301:15|3304:15</t>
  </si>
  <si>
    <t>3007:7|3301:15|3304:15</t>
  </si>
  <si>
    <t>3001:10|3301:20|3304:20</t>
  </si>
  <si>
    <t>3002:10|3301:20|3304:20</t>
  </si>
  <si>
    <t>3003:10|3301:20|3304:20</t>
  </si>
  <si>
    <t>3004:10|3301:20|3304:20</t>
  </si>
  <si>
    <t>3005:10|3301:20|3304:20</t>
  </si>
  <si>
    <t>3006:10|3301:20|3304:20</t>
  </si>
  <si>
    <t>3007:10|3301:20|3304:20</t>
  </si>
  <si>
    <t>3001:13|3301:25|3304:25</t>
  </si>
  <si>
    <t>3002:13|3301:25|3304:25</t>
  </si>
  <si>
    <t>3003:13|3301:25|3304:25</t>
  </si>
  <si>
    <t>3004:13|3301:25|3304:25</t>
  </si>
  <si>
    <t>3005:13|3301:25|3304:25</t>
  </si>
  <si>
    <t>3006:13|3301:25|3304:25</t>
  </si>
  <si>
    <t>3007:13|3301:25|3304:25</t>
  </si>
  <si>
    <t>10107|10120|10123</t>
  </si>
  <si>
    <t>10108|10120|10123</t>
  </si>
  <si>
    <t>10109|10120|10123</t>
  </si>
  <si>
    <t>10110|10120|10123</t>
  </si>
  <si>
    <t>10111|10120|10123</t>
  </si>
  <si>
    <t>10112|10120|10123</t>
  </si>
  <si>
    <t>3101:10|3302:20|3305:20</t>
  </si>
  <si>
    <t>3102:10|3302:20|3305:20</t>
  </si>
  <si>
    <t>3103:10|3302:20|3305:20</t>
  </si>
  <si>
    <t>3104:10|3302:20|3305:20</t>
  </si>
  <si>
    <t>3105:10|3302:20|3305:20</t>
  </si>
  <si>
    <t>3106:10|3302:20|3305:20</t>
  </si>
  <si>
    <t>3107:10|3302:20|3305:20</t>
  </si>
  <si>
    <t>3101:13|3302:25|3305:25</t>
  </si>
  <si>
    <t>3102:13|3302:25|3305:25</t>
  </si>
  <si>
    <t>3103:13|3302:25|3305:25</t>
  </si>
  <si>
    <t>3104:13|3302:25|3305:25</t>
  </si>
  <si>
    <t>3105:13|3302:25|3305:25</t>
  </si>
  <si>
    <t>3106:13|3302:25|3305:25</t>
  </si>
  <si>
    <t>3107:13|3302:25|3305:25</t>
  </si>
  <si>
    <t>3101:15|3302:30|3305:30</t>
  </si>
  <si>
    <t>3102:15|3302:30|3305:30</t>
  </si>
  <si>
    <t>3103:15|3302:30|3305:30</t>
  </si>
  <si>
    <t>3104:15|3302:30|3305:30</t>
  </si>
  <si>
    <t>3105:15|3302:30|3305:30</t>
  </si>
  <si>
    <t>3106:15|3302:30|3305:30</t>
  </si>
  <si>
    <t>3107:15|3302:30|3305:30</t>
  </si>
  <si>
    <t>3101:20|3302:35|3305:35</t>
  </si>
  <si>
    <t>3102:20|3302:35|3305:35</t>
  </si>
  <si>
    <t>3103:20|3302:35|3305:35</t>
  </si>
  <si>
    <t>3104:20|3302:35|3305:35</t>
  </si>
  <si>
    <t>3105:20|3302:35|3305:35</t>
  </si>
  <si>
    <t>3106:20|3302:35|3305:35</t>
  </si>
  <si>
    <t>3107:20|3302:35|3305:35</t>
  </si>
  <si>
    <t>10113|10121|10124</t>
  </si>
  <si>
    <t>10114|10121|10124</t>
  </si>
  <si>
    <t>10115|10121|10124</t>
  </si>
  <si>
    <t>10116|10121|10124</t>
  </si>
  <si>
    <t>10117|10121|10124</t>
  </si>
  <si>
    <t>10118|10121|10124</t>
  </si>
  <si>
    <t>3201:15|3303:25|3306:25</t>
  </si>
  <si>
    <t>3202:15|3303:25|3306:25</t>
  </si>
  <si>
    <t>3203:15|3303:25|3306:25</t>
  </si>
  <si>
    <t>3204:15|3303:25|3306:25</t>
  </si>
  <si>
    <t>3205:15|3303:25|3306:25</t>
  </si>
  <si>
    <t>3206:15|3303:25|3306:25</t>
  </si>
  <si>
    <t>3207:15|3303:25|3306:25</t>
  </si>
  <si>
    <t>3201:17|3303:30|3306:30</t>
  </si>
  <si>
    <t>3202:17|3303:30|3306:30</t>
  </si>
  <si>
    <t>3203:17|3303:30|3306:30</t>
  </si>
  <si>
    <t>3204:17|3303:30|3306:30</t>
  </si>
  <si>
    <t>3205:17|3303:30|3306:30</t>
  </si>
  <si>
    <t>3206:17|3303:30|3306:30</t>
  </si>
  <si>
    <t>3207:17|3303:30|3306:30</t>
  </si>
  <si>
    <t>3201:20|3303:35|3306:35</t>
  </si>
  <si>
    <t>3202:20|3303:35|3306:35</t>
  </si>
  <si>
    <t>3203:20|3303:35|3306:35</t>
  </si>
  <si>
    <t>3204:20|3303:35|3306:35</t>
  </si>
  <si>
    <t>3205:20|3303:35|3306:35</t>
  </si>
  <si>
    <t>3206:20|3303:35|3306:35</t>
  </si>
  <si>
    <t>3207:20|3303:35|3306:35</t>
  </si>
  <si>
    <t>3201:22|3303:40|3306:40</t>
  </si>
  <si>
    <t>3202:22|3303:40|3306:40</t>
  </si>
  <si>
    <t>3203:22|3303:40|3306:40</t>
  </si>
  <si>
    <t>3204:22|3303:40|3306:40</t>
  </si>
  <si>
    <t>3205:22|3303:40|3306:40</t>
  </si>
  <si>
    <t>3206:22|3303:40|3306:40</t>
  </si>
  <si>
    <t>3207:22|3303:40|3306:40</t>
  </si>
  <si>
    <t>3201:25|3303:45|3306:45</t>
  </si>
  <si>
    <t>3202:25|3303:45|3306:45</t>
  </si>
  <si>
    <t>3203:25|3303:45|3306:45</t>
  </si>
  <si>
    <t>3204:25|3303:45|3306:45</t>
  </si>
  <si>
    <t>3205:25|3303:45|3306:45</t>
  </si>
  <si>
    <t>3206:25|3303:45|3306:45</t>
  </si>
  <si>
    <t>3207:25|3303:45|3306:45</t>
  </si>
  <si>
    <t>装备副本</t>
  </si>
  <si>
    <t>1010104|2010104|10201</t>
  </si>
  <si>
    <t>4001:2|4014:2</t>
  </si>
  <si>
    <t>4002:2|4014:2</t>
  </si>
  <si>
    <t>1010104|2010104|3010104|10201</t>
  </si>
  <si>
    <t>4003:2|4014:4</t>
  </si>
  <si>
    <t>1010104|2010104|3010104|4010104|10201</t>
  </si>
  <si>
    <t>4004:2|4014:4</t>
  </si>
  <si>
    <t>4005:3|4014:6</t>
  </si>
  <si>
    <t>4006:3|4014:6</t>
  </si>
  <si>
    <t>4007:3|4014:8</t>
  </si>
  <si>
    <t>4008:3|4014:8</t>
  </si>
  <si>
    <t>4009:4|4014:10</t>
  </si>
  <si>
    <t>4010:4|4014:10</t>
  </si>
  <si>
    <t>4011:4|4014:12</t>
  </si>
  <si>
    <t>4012:4|4014:12</t>
  </si>
  <si>
    <t>4013:5|4014:15</t>
  </si>
  <si>
    <t>部队级别对应难度系数</t>
  </si>
  <si>
    <t>hero</t>
  </si>
  <si>
    <t>mos</t>
  </si>
  <si>
    <t>floor</t>
  </si>
  <si>
    <t>部队1Id</t>
  </si>
  <si>
    <t>部队2Id</t>
  </si>
  <si>
    <t>部队3Id</t>
  </si>
  <si>
    <t>队1修正</t>
  </si>
  <si>
    <t>队2修正</t>
  </si>
  <si>
    <t>队3修正</t>
  </si>
  <si>
    <t>英雄修正</t>
  </si>
  <si>
    <t>层数修正1</t>
  </si>
  <si>
    <t>层数修正2</t>
  </si>
  <si>
    <t>难度提升</t>
  </si>
  <si>
    <t>黑之术</t>
  </si>
  <si>
    <t>黑之序曲</t>
  </si>
  <si>
    <t>浮游之心</t>
  </si>
  <si>
    <t>次元波</t>
  </si>
  <si>
    <t>冰域</t>
  </si>
  <si>
    <t>地狱使者</t>
  </si>
  <si>
    <t>地狱之路</t>
  </si>
  <si>
    <t>分裂箭</t>
  </si>
  <si>
    <t>雷鸣</t>
  </si>
  <si>
    <t>冰晶击</t>
  </si>
  <si>
    <t>歌颂者</t>
  </si>
  <si>
    <t>攻速提升</t>
  </si>
  <si>
    <t>攻击力</t>
  </si>
  <si>
    <t>极限攻速</t>
  </si>
  <si>
    <t>516:103:181:147:151:149:212</t>
  </si>
  <si>
    <t>516:103:181:147:151:149:212:905:142:143</t>
  </si>
  <si>
    <t>召唤契约</t>
  </si>
  <si>
    <t>召唤之力</t>
  </si>
  <si>
    <t>召唤术</t>
  </si>
  <si>
    <t>学识</t>
  </si>
  <si>
    <t>智慧羽</t>
  </si>
  <si>
    <t>远古知识</t>
  </si>
  <si>
    <t>516:103:181:147:151:149:212:905:142:143:527:528</t>
  </si>
  <si>
    <t>565:571:563</t>
  </si>
  <si>
    <t>568:567</t>
  </si>
  <si>
    <t>529:530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</si>
</sst>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5" applyNumberFormat="0" applyAlignment="0" applyProtection="0">
      <alignment vertical="center"/>
    </xf>
    <xf numFmtId="0" fontId="10" fillId="9" borderId="6" applyNumberFormat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10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0" borderId="0" xfId="0" applyAlignment="1">
      <alignment vertical="center"/>
    </xf>
    <xf numFmtId="0" fontId="0" fillId="6" borderId="0" xfId="0" applyFill="1" applyAlignment="1">
      <alignment vertical="center"/>
    </xf>
    <xf numFmtId="0" fontId="0" fillId="6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62"/>
  <sheetViews>
    <sheetView tabSelected="1" workbookViewId="0">
      <pane xSplit="4" ySplit="3" topLeftCell="P4" activePane="bottomRight" state="frozen"/>
      <selection/>
      <selection pane="topRight"/>
      <selection pane="bottomLeft"/>
      <selection pane="bottomRight" activeCell="U4" sqref="U4:U16"/>
    </sheetView>
  </sheetViews>
  <sheetFormatPr defaultColWidth="9" defaultRowHeight="13.5"/>
  <cols>
    <col min="1" max="3" width="10.875" customWidth="1"/>
    <col min="4" max="7" width="13.875" customWidth="1"/>
    <col min="8" max="11" width="20" customWidth="1"/>
    <col min="12" max="12" width="15.375" customWidth="1"/>
    <col min="13" max="14" width="17.75" customWidth="1"/>
    <col min="15" max="15" width="17.625" style="7" customWidth="1"/>
    <col min="16" max="28" width="17.75" customWidth="1"/>
    <col min="29" max="29" width="13.375" customWidth="1"/>
    <col min="30" max="30" width="9.875" customWidth="1"/>
    <col min="31" max="31" width="12" customWidth="1"/>
    <col min="32" max="33" width="12.875" customWidth="1"/>
    <col min="34" max="34" width="11.375" customWidth="1"/>
    <col min="35" max="35" width="55.125" customWidth="1"/>
    <col min="36" max="36" width="51.5" customWidth="1"/>
    <col min="37" max="37" width="38.375" customWidth="1"/>
    <col min="38" max="39" width="42.75" customWidth="1"/>
    <col min="40" max="40" width="71.125" customWidth="1"/>
    <col min="41" max="41" width="40.125" customWidth="1"/>
    <col min="42" max="42" width="42.75" customWidth="1"/>
    <col min="43" max="43" width="16.25" customWidth="1"/>
    <col min="44" max="44" width="21.125" customWidth="1"/>
    <col min="45" max="45" width="57.25" customWidth="1"/>
    <col min="46" max="46" width="10.25" customWidth="1"/>
    <col min="47" max="47" width="40.875" customWidth="1"/>
    <col min="48" max="48" width="57.25" customWidth="1"/>
    <col min="49" max="49" width="47.25" customWidth="1"/>
    <col min="50" max="50" width="34.125" customWidth="1"/>
    <col min="51" max="51" width="72" customWidth="1"/>
    <col min="52" max="52" width="17.75" customWidth="1"/>
    <col min="53" max="53" width="51.875" customWidth="1"/>
    <col min="54" max="54" width="88.75" customWidth="1"/>
    <col min="55" max="55" width="12.625"/>
    <col min="56" max="56" width="23.375" customWidth="1"/>
    <col min="57" max="57" width="12.625"/>
    <col min="58" max="58" width="17.625" customWidth="1"/>
    <col min="59" max="59" width="12.5" customWidth="1"/>
    <col min="60" max="60" width="66" customWidth="1"/>
    <col min="61" max="61" width="12.5" customWidth="1"/>
    <col min="62" max="62" width="12.625"/>
    <col min="63" max="63" width="23.375" customWidth="1"/>
    <col min="67" max="67" width="12.625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7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28</v>
      </c>
      <c r="C2" t="s">
        <v>29</v>
      </c>
      <c r="D2" t="s">
        <v>28</v>
      </c>
      <c r="E2" t="s">
        <v>29</v>
      </c>
      <c r="F2" t="s">
        <v>28</v>
      </c>
      <c r="G2" t="s">
        <v>28</v>
      </c>
      <c r="H2" t="s">
        <v>28</v>
      </c>
      <c r="I2" t="s">
        <v>28</v>
      </c>
      <c r="J2" t="s">
        <v>29</v>
      </c>
      <c r="K2" t="s">
        <v>29</v>
      </c>
      <c r="L2" t="s">
        <v>28</v>
      </c>
      <c r="M2" t="s">
        <v>29</v>
      </c>
      <c r="N2" t="s">
        <v>29</v>
      </c>
      <c r="O2" s="7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X2" t="s">
        <v>29</v>
      </c>
      <c r="Y2" t="s">
        <v>29</v>
      </c>
      <c r="Z2" t="s">
        <v>29</v>
      </c>
      <c r="AA2" t="s">
        <v>29</v>
      </c>
      <c r="AB2" t="s">
        <v>29</v>
      </c>
    </row>
    <row r="3" spans="1:28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s="7" t="s">
        <v>44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</row>
    <row r="4" customFormat="1" spans="1:28">
      <c r="A4">
        <v>1001</v>
      </c>
      <c r="B4">
        <v>1</v>
      </c>
      <c r="C4" t="s">
        <v>58</v>
      </c>
      <c r="D4">
        <v>1</v>
      </c>
      <c r="E4" t="s">
        <v>59</v>
      </c>
      <c r="F4">
        <v>11</v>
      </c>
      <c r="G4">
        <v>10</v>
      </c>
      <c r="H4">
        <v>10</v>
      </c>
      <c r="I4">
        <v>10</v>
      </c>
      <c r="J4">
        <v>0</v>
      </c>
      <c r="K4">
        <v>0</v>
      </c>
      <c r="L4">
        <v>5</v>
      </c>
      <c r="M4" t="s">
        <v>60</v>
      </c>
      <c r="N4">
        <v>110</v>
      </c>
      <c r="O4" s="7" t="s">
        <v>61</v>
      </c>
      <c r="P4" s="7" t="s">
        <v>61</v>
      </c>
      <c r="Q4" s="7" t="s">
        <v>61</v>
      </c>
      <c r="R4" s="7" t="s">
        <v>61</v>
      </c>
      <c r="S4" s="7" t="s">
        <v>61</v>
      </c>
      <c r="T4" s="7" t="s">
        <v>61</v>
      </c>
      <c r="U4" s="7" t="s">
        <v>61</v>
      </c>
      <c r="V4" t="s">
        <v>62</v>
      </c>
      <c r="W4" t="s">
        <v>62</v>
      </c>
      <c r="X4" t="s">
        <v>62</v>
      </c>
      <c r="Y4" t="s">
        <v>62</v>
      </c>
      <c r="Z4" t="s">
        <v>62</v>
      </c>
      <c r="AA4" t="s">
        <v>62</v>
      </c>
      <c r="AB4" t="s">
        <v>62</v>
      </c>
    </row>
    <row r="5" customFormat="1" spans="1:28">
      <c r="A5">
        <v>1002</v>
      </c>
      <c r="B5">
        <v>1</v>
      </c>
      <c r="C5" t="s">
        <v>58</v>
      </c>
      <c r="D5">
        <v>2</v>
      </c>
      <c r="E5" t="s">
        <v>59</v>
      </c>
      <c r="F5">
        <v>11</v>
      </c>
      <c r="G5">
        <v>15</v>
      </c>
      <c r="H5">
        <v>15</v>
      </c>
      <c r="I5">
        <v>10</v>
      </c>
      <c r="J5">
        <v>0</v>
      </c>
      <c r="K5">
        <v>0</v>
      </c>
      <c r="L5">
        <v>5</v>
      </c>
      <c r="M5" t="s">
        <v>60</v>
      </c>
      <c r="N5">
        <v>110</v>
      </c>
      <c r="O5" s="7" t="s">
        <v>61</v>
      </c>
      <c r="P5" s="7" t="s">
        <v>61</v>
      </c>
      <c r="Q5" s="7" t="s">
        <v>61</v>
      </c>
      <c r="R5" s="7" t="s">
        <v>61</v>
      </c>
      <c r="S5" s="7" t="s">
        <v>61</v>
      </c>
      <c r="T5" s="7" t="s">
        <v>61</v>
      </c>
      <c r="U5" s="7" t="s">
        <v>61</v>
      </c>
      <c r="V5" t="s">
        <v>63</v>
      </c>
      <c r="W5" t="s">
        <v>63</v>
      </c>
      <c r="X5" t="s">
        <v>63</v>
      </c>
      <c r="Y5" t="s">
        <v>63</v>
      </c>
      <c r="Z5" t="s">
        <v>63</v>
      </c>
      <c r="AA5" t="s">
        <v>63</v>
      </c>
      <c r="AB5" t="s">
        <v>63</v>
      </c>
    </row>
    <row r="6" customFormat="1" spans="1:28">
      <c r="A6">
        <v>1003</v>
      </c>
      <c r="B6">
        <v>1</v>
      </c>
      <c r="C6" t="s">
        <v>58</v>
      </c>
      <c r="D6">
        <v>3</v>
      </c>
      <c r="E6" t="s">
        <v>59</v>
      </c>
      <c r="F6">
        <v>11</v>
      </c>
      <c r="G6">
        <v>20</v>
      </c>
      <c r="H6">
        <v>20</v>
      </c>
      <c r="I6">
        <v>10</v>
      </c>
      <c r="J6">
        <v>0</v>
      </c>
      <c r="K6">
        <v>0</v>
      </c>
      <c r="L6">
        <v>5</v>
      </c>
      <c r="M6" t="s">
        <v>60</v>
      </c>
      <c r="N6">
        <v>110</v>
      </c>
      <c r="O6" s="7" t="s">
        <v>61</v>
      </c>
      <c r="P6" s="7" t="s">
        <v>61</v>
      </c>
      <c r="Q6" s="7" t="s">
        <v>61</v>
      </c>
      <c r="R6" s="7" t="s">
        <v>61</v>
      </c>
      <c r="S6" s="7" t="s">
        <v>61</v>
      </c>
      <c r="T6" s="7" t="s">
        <v>61</v>
      </c>
      <c r="U6" s="7" t="s">
        <v>61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</row>
    <row r="7" customFormat="1" spans="1:28">
      <c r="A7">
        <v>1004</v>
      </c>
      <c r="B7">
        <v>1</v>
      </c>
      <c r="C7" t="s">
        <v>58</v>
      </c>
      <c r="D7">
        <v>4</v>
      </c>
      <c r="E7" t="s">
        <v>59</v>
      </c>
      <c r="F7">
        <v>11</v>
      </c>
      <c r="G7">
        <v>25</v>
      </c>
      <c r="H7">
        <v>25</v>
      </c>
      <c r="I7">
        <v>10</v>
      </c>
      <c r="J7">
        <v>0</v>
      </c>
      <c r="K7">
        <v>0</v>
      </c>
      <c r="L7">
        <v>5</v>
      </c>
      <c r="M7" t="s">
        <v>60</v>
      </c>
      <c r="N7">
        <v>110</v>
      </c>
      <c r="O7" s="7" t="s">
        <v>61</v>
      </c>
      <c r="P7" s="7" t="s">
        <v>61</v>
      </c>
      <c r="Q7" s="7" t="s">
        <v>61</v>
      </c>
      <c r="R7" s="7" t="s">
        <v>61</v>
      </c>
      <c r="S7" s="7" t="s">
        <v>61</v>
      </c>
      <c r="T7" s="7" t="s">
        <v>61</v>
      </c>
      <c r="U7" s="7" t="s">
        <v>61</v>
      </c>
      <c r="V7" t="s">
        <v>65</v>
      </c>
      <c r="W7" t="s">
        <v>65</v>
      </c>
      <c r="X7" t="s">
        <v>65</v>
      </c>
      <c r="Y7" t="s">
        <v>65</v>
      </c>
      <c r="Z7" t="s">
        <v>65</v>
      </c>
      <c r="AA7" t="s">
        <v>65</v>
      </c>
      <c r="AB7" t="s">
        <v>65</v>
      </c>
    </row>
    <row r="8" customFormat="1" spans="1:28">
      <c r="A8">
        <v>1005</v>
      </c>
      <c r="B8">
        <v>1</v>
      </c>
      <c r="C8" t="s">
        <v>58</v>
      </c>
      <c r="D8">
        <v>5</v>
      </c>
      <c r="E8" t="s">
        <v>59</v>
      </c>
      <c r="F8">
        <v>11</v>
      </c>
      <c r="G8">
        <v>30</v>
      </c>
      <c r="H8">
        <v>30</v>
      </c>
      <c r="I8">
        <v>10</v>
      </c>
      <c r="J8">
        <v>0</v>
      </c>
      <c r="K8">
        <v>0</v>
      </c>
      <c r="L8">
        <v>5</v>
      </c>
      <c r="M8" t="s">
        <v>60</v>
      </c>
      <c r="N8">
        <v>110</v>
      </c>
      <c r="O8" s="7" t="s">
        <v>66</v>
      </c>
      <c r="P8" s="7" t="s">
        <v>66</v>
      </c>
      <c r="Q8" s="7" t="s">
        <v>66</v>
      </c>
      <c r="R8" s="7" t="s">
        <v>66</v>
      </c>
      <c r="S8" s="7" t="s">
        <v>66</v>
      </c>
      <c r="T8" s="7" t="s">
        <v>66</v>
      </c>
      <c r="U8" s="7" t="s">
        <v>66</v>
      </c>
      <c r="V8" t="s">
        <v>67</v>
      </c>
      <c r="W8" t="s">
        <v>67</v>
      </c>
      <c r="X8" t="s">
        <v>67</v>
      </c>
      <c r="Y8" t="s">
        <v>67</v>
      </c>
      <c r="Z8" t="s">
        <v>67</v>
      </c>
      <c r="AA8" t="s">
        <v>67</v>
      </c>
      <c r="AB8" t="s">
        <v>67</v>
      </c>
    </row>
    <row r="9" customFormat="1" spans="1:28">
      <c r="A9">
        <v>1006</v>
      </c>
      <c r="B9">
        <v>1</v>
      </c>
      <c r="C9" t="s">
        <v>58</v>
      </c>
      <c r="D9">
        <v>6</v>
      </c>
      <c r="E9" t="s">
        <v>59</v>
      </c>
      <c r="F9">
        <v>11</v>
      </c>
      <c r="G9">
        <v>35</v>
      </c>
      <c r="H9">
        <v>35</v>
      </c>
      <c r="I9">
        <v>10</v>
      </c>
      <c r="J9">
        <v>0</v>
      </c>
      <c r="K9">
        <v>0</v>
      </c>
      <c r="L9">
        <v>5</v>
      </c>
      <c r="M9" t="s">
        <v>60</v>
      </c>
      <c r="N9">
        <v>110</v>
      </c>
      <c r="O9" s="7" t="s">
        <v>66</v>
      </c>
      <c r="P9" s="7" t="s">
        <v>66</v>
      </c>
      <c r="Q9" s="7" t="s">
        <v>66</v>
      </c>
      <c r="R9" s="7" t="s">
        <v>66</v>
      </c>
      <c r="S9" s="7" t="s">
        <v>66</v>
      </c>
      <c r="T9" s="7" t="s">
        <v>66</v>
      </c>
      <c r="U9" s="7" t="s">
        <v>66</v>
      </c>
      <c r="V9" t="s">
        <v>68</v>
      </c>
      <c r="W9" t="s">
        <v>68</v>
      </c>
      <c r="X9" t="s">
        <v>68</v>
      </c>
      <c r="Y9" t="s">
        <v>68</v>
      </c>
      <c r="Z9" t="s">
        <v>68</v>
      </c>
      <c r="AA9" t="s">
        <v>68</v>
      </c>
      <c r="AB9" t="s">
        <v>68</v>
      </c>
    </row>
    <row r="10" customFormat="1" spans="1:28">
      <c r="A10">
        <v>1007</v>
      </c>
      <c r="B10">
        <v>1</v>
      </c>
      <c r="C10" t="s">
        <v>58</v>
      </c>
      <c r="D10">
        <v>7</v>
      </c>
      <c r="E10" t="s">
        <v>59</v>
      </c>
      <c r="F10">
        <v>11</v>
      </c>
      <c r="G10">
        <v>40</v>
      </c>
      <c r="H10">
        <v>40</v>
      </c>
      <c r="I10">
        <v>10</v>
      </c>
      <c r="J10">
        <v>0</v>
      </c>
      <c r="K10">
        <v>0</v>
      </c>
      <c r="L10">
        <v>5</v>
      </c>
      <c r="M10" t="s">
        <v>60</v>
      </c>
      <c r="N10">
        <v>110</v>
      </c>
      <c r="O10" s="7" t="s">
        <v>66</v>
      </c>
      <c r="P10" s="7" t="s">
        <v>66</v>
      </c>
      <c r="Q10" s="7" t="s">
        <v>66</v>
      </c>
      <c r="R10" s="7" t="s">
        <v>66</v>
      </c>
      <c r="S10" s="7" t="s">
        <v>66</v>
      </c>
      <c r="T10" s="7" t="s">
        <v>66</v>
      </c>
      <c r="U10" s="7" t="s">
        <v>66</v>
      </c>
      <c r="V10" t="s">
        <v>69</v>
      </c>
      <c r="W10" t="s">
        <v>69</v>
      </c>
      <c r="X10" t="s">
        <v>69</v>
      </c>
      <c r="Y10" t="s">
        <v>69</v>
      </c>
      <c r="Z10" t="s">
        <v>69</v>
      </c>
      <c r="AA10" t="s">
        <v>69</v>
      </c>
      <c r="AB10" t="s">
        <v>69</v>
      </c>
    </row>
    <row r="11" customFormat="1" spans="1:28">
      <c r="A11">
        <v>1008</v>
      </c>
      <c r="B11">
        <v>1</v>
      </c>
      <c r="C11" t="s">
        <v>58</v>
      </c>
      <c r="D11">
        <v>8</v>
      </c>
      <c r="E11" t="s">
        <v>59</v>
      </c>
      <c r="F11">
        <v>11</v>
      </c>
      <c r="G11">
        <v>45</v>
      </c>
      <c r="H11">
        <v>45</v>
      </c>
      <c r="I11">
        <v>10</v>
      </c>
      <c r="J11">
        <v>0</v>
      </c>
      <c r="K11">
        <v>0</v>
      </c>
      <c r="L11">
        <v>5</v>
      </c>
      <c r="M11" t="s">
        <v>60</v>
      </c>
      <c r="N11">
        <v>110</v>
      </c>
      <c r="O11" s="7" t="s">
        <v>66</v>
      </c>
      <c r="P11" s="7" t="s">
        <v>66</v>
      </c>
      <c r="Q11" s="7" t="s">
        <v>66</v>
      </c>
      <c r="R11" s="7" t="s">
        <v>66</v>
      </c>
      <c r="S11" s="7" t="s">
        <v>66</v>
      </c>
      <c r="T11" s="7" t="s">
        <v>66</v>
      </c>
      <c r="U11" s="7" t="s">
        <v>66</v>
      </c>
      <c r="V11" t="s">
        <v>70</v>
      </c>
      <c r="W11" t="s">
        <v>70</v>
      </c>
      <c r="X11" t="s">
        <v>70</v>
      </c>
      <c r="Y11" t="s">
        <v>70</v>
      </c>
      <c r="Z11" t="s">
        <v>70</v>
      </c>
      <c r="AA11" t="s">
        <v>70</v>
      </c>
      <c r="AB11" t="s">
        <v>70</v>
      </c>
    </row>
    <row r="12" customFormat="1" spans="1:28">
      <c r="A12">
        <v>1009</v>
      </c>
      <c r="B12">
        <v>1</v>
      </c>
      <c r="C12" t="s">
        <v>58</v>
      </c>
      <c r="D12">
        <v>9</v>
      </c>
      <c r="E12" t="s">
        <v>59</v>
      </c>
      <c r="F12">
        <v>11</v>
      </c>
      <c r="G12">
        <v>50</v>
      </c>
      <c r="H12">
        <v>50</v>
      </c>
      <c r="I12">
        <v>10</v>
      </c>
      <c r="J12">
        <v>0</v>
      </c>
      <c r="K12">
        <v>0</v>
      </c>
      <c r="L12">
        <v>5</v>
      </c>
      <c r="M12" t="s">
        <v>60</v>
      </c>
      <c r="N12">
        <v>110</v>
      </c>
      <c r="O12" s="7" t="s">
        <v>71</v>
      </c>
      <c r="P12" s="7" t="s">
        <v>71</v>
      </c>
      <c r="Q12" s="7" t="s">
        <v>71</v>
      </c>
      <c r="R12" s="7" t="s">
        <v>71</v>
      </c>
      <c r="S12" s="7" t="s">
        <v>71</v>
      </c>
      <c r="T12" s="7" t="s">
        <v>71</v>
      </c>
      <c r="U12" s="7" t="s">
        <v>71</v>
      </c>
      <c r="V12" t="s">
        <v>72</v>
      </c>
      <c r="W12" t="s">
        <v>72</v>
      </c>
      <c r="X12" t="s">
        <v>72</v>
      </c>
      <c r="Y12" t="s">
        <v>72</v>
      </c>
      <c r="Z12" t="s">
        <v>72</v>
      </c>
      <c r="AA12" t="s">
        <v>72</v>
      </c>
      <c r="AB12" t="s">
        <v>72</v>
      </c>
    </row>
    <row r="13" customFormat="1" spans="1:28">
      <c r="A13">
        <v>1010</v>
      </c>
      <c r="B13">
        <v>1</v>
      </c>
      <c r="C13" t="s">
        <v>58</v>
      </c>
      <c r="D13">
        <v>10</v>
      </c>
      <c r="E13" t="s">
        <v>59</v>
      </c>
      <c r="F13">
        <v>11</v>
      </c>
      <c r="G13">
        <v>55</v>
      </c>
      <c r="H13">
        <v>55</v>
      </c>
      <c r="I13">
        <v>10</v>
      </c>
      <c r="J13">
        <v>0</v>
      </c>
      <c r="K13">
        <v>0</v>
      </c>
      <c r="L13">
        <v>5</v>
      </c>
      <c r="M13" t="s">
        <v>60</v>
      </c>
      <c r="N13">
        <v>110</v>
      </c>
      <c r="O13" s="7" t="s">
        <v>71</v>
      </c>
      <c r="P13" s="7" t="s">
        <v>71</v>
      </c>
      <c r="Q13" s="7" t="s">
        <v>71</v>
      </c>
      <c r="R13" s="7" t="s">
        <v>71</v>
      </c>
      <c r="S13" s="7" t="s">
        <v>71</v>
      </c>
      <c r="T13" s="7" t="s">
        <v>71</v>
      </c>
      <c r="U13" s="7" t="s">
        <v>71</v>
      </c>
      <c r="V13" t="s">
        <v>73</v>
      </c>
      <c r="W13" t="s">
        <v>73</v>
      </c>
      <c r="X13" t="s">
        <v>73</v>
      </c>
      <c r="Y13" t="s">
        <v>73</v>
      </c>
      <c r="Z13" t="s">
        <v>73</v>
      </c>
      <c r="AA13" t="s">
        <v>73</v>
      </c>
      <c r="AB13" t="s">
        <v>73</v>
      </c>
    </row>
    <row r="14" customFormat="1" spans="1:28">
      <c r="A14">
        <v>1011</v>
      </c>
      <c r="B14">
        <v>1</v>
      </c>
      <c r="C14" t="s">
        <v>58</v>
      </c>
      <c r="D14">
        <v>11</v>
      </c>
      <c r="E14" t="s">
        <v>59</v>
      </c>
      <c r="F14">
        <v>11</v>
      </c>
      <c r="G14">
        <v>60</v>
      </c>
      <c r="H14">
        <v>60</v>
      </c>
      <c r="I14">
        <v>10</v>
      </c>
      <c r="J14">
        <v>0</v>
      </c>
      <c r="K14">
        <v>0</v>
      </c>
      <c r="L14">
        <v>5</v>
      </c>
      <c r="M14" t="s">
        <v>60</v>
      </c>
      <c r="N14">
        <v>110</v>
      </c>
      <c r="O14" s="7" t="s">
        <v>74</v>
      </c>
      <c r="P14" s="7" t="s">
        <v>74</v>
      </c>
      <c r="Q14" s="7" t="s">
        <v>74</v>
      </c>
      <c r="R14" s="7" t="s">
        <v>74</v>
      </c>
      <c r="S14" s="7" t="s">
        <v>74</v>
      </c>
      <c r="T14" s="7" t="s">
        <v>74</v>
      </c>
      <c r="U14" s="7" t="s">
        <v>74</v>
      </c>
      <c r="V14" t="s">
        <v>75</v>
      </c>
      <c r="W14" t="s">
        <v>75</v>
      </c>
      <c r="X14" t="s">
        <v>75</v>
      </c>
      <c r="Y14" t="s">
        <v>75</v>
      </c>
      <c r="Z14" t="s">
        <v>75</v>
      </c>
      <c r="AA14" t="s">
        <v>75</v>
      </c>
      <c r="AB14" t="s">
        <v>75</v>
      </c>
    </row>
    <row r="15" customFormat="1" spans="1:28">
      <c r="A15">
        <v>1012</v>
      </c>
      <c r="B15">
        <v>1</v>
      </c>
      <c r="C15" t="s">
        <v>58</v>
      </c>
      <c r="D15">
        <v>12</v>
      </c>
      <c r="E15" t="s">
        <v>59</v>
      </c>
      <c r="F15">
        <v>11</v>
      </c>
      <c r="G15">
        <v>65</v>
      </c>
      <c r="H15">
        <v>65</v>
      </c>
      <c r="I15">
        <v>10</v>
      </c>
      <c r="J15">
        <v>0</v>
      </c>
      <c r="K15">
        <v>0</v>
      </c>
      <c r="L15">
        <v>5</v>
      </c>
      <c r="M15" t="s">
        <v>60</v>
      </c>
      <c r="N15">
        <v>110</v>
      </c>
      <c r="O15" s="7" t="s">
        <v>71</v>
      </c>
      <c r="P15" s="7" t="s">
        <v>71</v>
      </c>
      <c r="Q15" s="7" t="s">
        <v>71</v>
      </c>
      <c r="R15" s="7" t="s">
        <v>71</v>
      </c>
      <c r="S15" s="7" t="s">
        <v>71</v>
      </c>
      <c r="T15" s="7" t="s">
        <v>71</v>
      </c>
      <c r="U15" s="7" t="s">
        <v>71</v>
      </c>
      <c r="V15" t="s">
        <v>76</v>
      </c>
      <c r="W15" t="s">
        <v>76</v>
      </c>
      <c r="X15" t="s">
        <v>76</v>
      </c>
      <c r="Y15" t="s">
        <v>76</v>
      </c>
      <c r="Z15" t="s">
        <v>76</v>
      </c>
      <c r="AA15" t="s">
        <v>76</v>
      </c>
      <c r="AB15" t="s">
        <v>76</v>
      </c>
    </row>
    <row r="16" customFormat="1" spans="1:28">
      <c r="A16">
        <v>1013</v>
      </c>
      <c r="B16">
        <v>1</v>
      </c>
      <c r="C16" t="s">
        <v>58</v>
      </c>
      <c r="D16">
        <v>13</v>
      </c>
      <c r="E16" t="s">
        <v>59</v>
      </c>
      <c r="F16">
        <v>11</v>
      </c>
      <c r="G16">
        <v>70</v>
      </c>
      <c r="H16">
        <v>70</v>
      </c>
      <c r="I16">
        <v>10</v>
      </c>
      <c r="J16">
        <v>0</v>
      </c>
      <c r="K16">
        <v>0</v>
      </c>
      <c r="L16">
        <v>5</v>
      </c>
      <c r="M16" t="s">
        <v>60</v>
      </c>
      <c r="N16">
        <v>110</v>
      </c>
      <c r="O16" s="7" t="s">
        <v>74</v>
      </c>
      <c r="P16" s="7" t="s">
        <v>74</v>
      </c>
      <c r="Q16" s="7" t="s">
        <v>74</v>
      </c>
      <c r="R16" s="7" t="s">
        <v>74</v>
      </c>
      <c r="S16" s="7" t="s">
        <v>74</v>
      </c>
      <c r="T16" s="7" t="s">
        <v>74</v>
      </c>
      <c r="U16" s="7" t="s">
        <v>74</v>
      </c>
      <c r="V16" t="s">
        <v>77</v>
      </c>
      <c r="W16" t="s">
        <v>77</v>
      </c>
      <c r="X16" t="s">
        <v>77</v>
      </c>
      <c r="Y16" t="s">
        <v>77</v>
      </c>
      <c r="Z16" t="s">
        <v>77</v>
      </c>
      <c r="AA16" t="s">
        <v>77</v>
      </c>
      <c r="AB16" t="s">
        <v>77</v>
      </c>
    </row>
    <row r="17" s="6" customFormat="1" spans="1:28">
      <c r="A17" s="6">
        <v>2001</v>
      </c>
      <c r="B17" s="6">
        <v>2</v>
      </c>
      <c r="C17" s="6" t="s">
        <v>78</v>
      </c>
      <c r="D17" s="6">
        <v>1</v>
      </c>
      <c r="E17" s="6" t="s">
        <v>59</v>
      </c>
      <c r="F17" s="6">
        <v>11</v>
      </c>
      <c r="G17" s="6">
        <v>10</v>
      </c>
      <c r="H17" s="6">
        <v>10</v>
      </c>
      <c r="I17" s="6">
        <v>10</v>
      </c>
      <c r="J17" s="6">
        <v>0</v>
      </c>
      <c r="K17" s="6">
        <v>0</v>
      </c>
      <c r="L17" s="6">
        <v>5</v>
      </c>
      <c r="M17" s="6" t="s">
        <v>60</v>
      </c>
      <c r="N17" s="6">
        <v>110</v>
      </c>
      <c r="O17" s="8" t="s">
        <v>79</v>
      </c>
      <c r="P17" s="9" t="s">
        <v>80</v>
      </c>
      <c r="Q17" s="9" t="s">
        <v>81</v>
      </c>
      <c r="R17" s="9" t="s">
        <v>82</v>
      </c>
      <c r="S17" s="9" t="s">
        <v>83</v>
      </c>
      <c r="T17" s="9" t="s">
        <v>84</v>
      </c>
      <c r="U17" s="9" t="s">
        <v>84</v>
      </c>
      <c r="V17" s="6" t="s">
        <v>85</v>
      </c>
      <c r="W17" s="6" t="s">
        <v>86</v>
      </c>
      <c r="X17" s="6" t="s">
        <v>87</v>
      </c>
      <c r="Y17" s="6" t="s">
        <v>88</v>
      </c>
      <c r="Z17" s="6" t="s">
        <v>89</v>
      </c>
      <c r="AA17" s="6" t="s">
        <v>90</v>
      </c>
      <c r="AB17" s="6" t="s">
        <v>91</v>
      </c>
    </row>
    <row r="18" s="6" customFormat="1" spans="1:28">
      <c r="A18" s="6">
        <v>2002</v>
      </c>
      <c r="B18" s="6">
        <v>2</v>
      </c>
      <c r="C18" s="6" t="s">
        <v>78</v>
      </c>
      <c r="D18" s="6">
        <v>2</v>
      </c>
      <c r="E18" s="6" t="s">
        <v>59</v>
      </c>
      <c r="F18" s="6">
        <v>11</v>
      </c>
      <c r="G18" s="6">
        <v>15</v>
      </c>
      <c r="H18" s="6">
        <v>15</v>
      </c>
      <c r="I18" s="6">
        <v>10</v>
      </c>
      <c r="J18" s="6">
        <v>0</v>
      </c>
      <c r="K18" s="6">
        <v>0</v>
      </c>
      <c r="L18" s="6">
        <v>5</v>
      </c>
      <c r="M18" s="6" t="s">
        <v>60</v>
      </c>
      <c r="N18" s="6">
        <v>110</v>
      </c>
      <c r="O18" s="8" t="s">
        <v>79</v>
      </c>
      <c r="P18" s="9" t="s">
        <v>80</v>
      </c>
      <c r="Q18" s="9" t="s">
        <v>81</v>
      </c>
      <c r="R18" s="9" t="s">
        <v>82</v>
      </c>
      <c r="S18" s="9" t="s">
        <v>83</v>
      </c>
      <c r="T18" s="9" t="s">
        <v>84</v>
      </c>
      <c r="U18" s="9" t="s">
        <v>84</v>
      </c>
      <c r="V18" s="6" t="s">
        <v>92</v>
      </c>
      <c r="W18" s="6" t="s">
        <v>93</v>
      </c>
      <c r="X18" s="6" t="s">
        <v>94</v>
      </c>
      <c r="Y18" s="6" t="s">
        <v>95</v>
      </c>
      <c r="Z18" s="6" t="s">
        <v>96</v>
      </c>
      <c r="AA18" s="6" t="s">
        <v>97</v>
      </c>
      <c r="AB18" s="6" t="s">
        <v>98</v>
      </c>
    </row>
    <row r="19" s="6" customFormat="1" spans="1:28">
      <c r="A19" s="6">
        <v>2003</v>
      </c>
      <c r="B19" s="6">
        <v>2</v>
      </c>
      <c r="C19" s="6" t="s">
        <v>78</v>
      </c>
      <c r="D19" s="6">
        <v>3</v>
      </c>
      <c r="E19" s="6" t="s">
        <v>59</v>
      </c>
      <c r="F19" s="6">
        <v>11</v>
      </c>
      <c r="G19" s="6">
        <v>20</v>
      </c>
      <c r="H19" s="6">
        <v>20</v>
      </c>
      <c r="I19" s="6">
        <v>10</v>
      </c>
      <c r="J19" s="6">
        <v>0</v>
      </c>
      <c r="K19" s="6">
        <v>0</v>
      </c>
      <c r="L19" s="6">
        <v>5</v>
      </c>
      <c r="M19" s="6" t="s">
        <v>60</v>
      </c>
      <c r="N19" s="6">
        <v>110</v>
      </c>
      <c r="O19" s="8" t="s">
        <v>79</v>
      </c>
      <c r="P19" s="9" t="s">
        <v>80</v>
      </c>
      <c r="Q19" s="9" t="s">
        <v>81</v>
      </c>
      <c r="R19" s="9" t="s">
        <v>82</v>
      </c>
      <c r="S19" s="9" t="s">
        <v>83</v>
      </c>
      <c r="T19" s="9" t="s">
        <v>84</v>
      </c>
      <c r="U19" s="9" t="s">
        <v>84</v>
      </c>
      <c r="V19" s="6" t="s">
        <v>99</v>
      </c>
      <c r="W19" s="6" t="s">
        <v>100</v>
      </c>
      <c r="X19" s="6" t="s">
        <v>101</v>
      </c>
      <c r="Y19" s="6" t="s">
        <v>102</v>
      </c>
      <c r="Z19" s="6" t="s">
        <v>103</v>
      </c>
      <c r="AA19" s="6" t="s">
        <v>104</v>
      </c>
      <c r="AB19" s="6" t="s">
        <v>105</v>
      </c>
    </row>
    <row r="20" s="6" customFormat="1" spans="1:28">
      <c r="A20" s="6">
        <v>2004</v>
      </c>
      <c r="B20" s="6">
        <v>2</v>
      </c>
      <c r="C20" s="6" t="s">
        <v>78</v>
      </c>
      <c r="D20" s="6">
        <v>4</v>
      </c>
      <c r="E20" s="6" t="s">
        <v>59</v>
      </c>
      <c r="F20" s="6">
        <v>11</v>
      </c>
      <c r="G20" s="6">
        <v>25</v>
      </c>
      <c r="H20" s="6">
        <v>25</v>
      </c>
      <c r="I20" s="6">
        <v>10</v>
      </c>
      <c r="J20" s="6">
        <v>0</v>
      </c>
      <c r="K20" s="6">
        <v>0</v>
      </c>
      <c r="L20" s="6">
        <v>5</v>
      </c>
      <c r="M20" s="6" t="s">
        <v>60</v>
      </c>
      <c r="N20" s="6">
        <v>110</v>
      </c>
      <c r="O20" s="8" t="s">
        <v>79</v>
      </c>
      <c r="P20" s="9" t="s">
        <v>80</v>
      </c>
      <c r="Q20" s="9" t="s">
        <v>81</v>
      </c>
      <c r="R20" s="9" t="s">
        <v>82</v>
      </c>
      <c r="S20" s="9" t="s">
        <v>83</v>
      </c>
      <c r="T20" s="9" t="s">
        <v>84</v>
      </c>
      <c r="U20" s="9" t="s">
        <v>84</v>
      </c>
      <c r="V20" s="6" t="s">
        <v>106</v>
      </c>
      <c r="W20" s="6" t="s">
        <v>107</v>
      </c>
      <c r="X20" s="6" t="s">
        <v>108</v>
      </c>
      <c r="Y20" s="6" t="s">
        <v>109</v>
      </c>
      <c r="Z20" s="6" t="s">
        <v>110</v>
      </c>
      <c r="AA20" s="6" t="s">
        <v>111</v>
      </c>
      <c r="AB20" s="6" t="s">
        <v>112</v>
      </c>
    </row>
    <row r="21" s="6" customFormat="1" spans="1:28">
      <c r="A21" s="6">
        <v>2005</v>
      </c>
      <c r="B21" s="6">
        <v>2</v>
      </c>
      <c r="C21" s="6" t="s">
        <v>78</v>
      </c>
      <c r="D21" s="6">
        <v>5</v>
      </c>
      <c r="E21" s="6" t="s">
        <v>59</v>
      </c>
      <c r="F21" s="6">
        <v>11</v>
      </c>
      <c r="G21" s="6">
        <v>30</v>
      </c>
      <c r="H21" s="6">
        <v>30</v>
      </c>
      <c r="I21" s="6">
        <v>10</v>
      </c>
      <c r="J21" s="6">
        <v>0</v>
      </c>
      <c r="K21" s="6">
        <v>0</v>
      </c>
      <c r="L21" s="6">
        <v>5</v>
      </c>
      <c r="M21" s="6" t="s">
        <v>60</v>
      </c>
      <c r="N21" s="6">
        <v>110</v>
      </c>
      <c r="O21" s="8" t="s">
        <v>113</v>
      </c>
      <c r="P21" s="9" t="s">
        <v>114</v>
      </c>
      <c r="Q21" s="9" t="s">
        <v>115</v>
      </c>
      <c r="R21" s="9" t="s">
        <v>116</v>
      </c>
      <c r="S21" s="9" t="s">
        <v>117</v>
      </c>
      <c r="T21" s="9" t="s">
        <v>118</v>
      </c>
      <c r="U21" s="9" t="s">
        <v>118</v>
      </c>
      <c r="V21" s="6" t="s">
        <v>119</v>
      </c>
      <c r="W21" s="6" t="s">
        <v>120</v>
      </c>
      <c r="X21" s="6" t="s">
        <v>121</v>
      </c>
      <c r="Y21" s="6" t="s">
        <v>122</v>
      </c>
      <c r="Z21" s="6" t="s">
        <v>123</v>
      </c>
      <c r="AA21" s="6" t="s">
        <v>124</v>
      </c>
      <c r="AB21" s="6" t="s">
        <v>125</v>
      </c>
    </row>
    <row r="22" s="6" customFormat="1" spans="1:28">
      <c r="A22" s="6">
        <v>2006</v>
      </c>
      <c r="B22" s="6">
        <v>2</v>
      </c>
      <c r="C22" s="6" t="s">
        <v>78</v>
      </c>
      <c r="D22" s="6">
        <v>6</v>
      </c>
      <c r="E22" s="6" t="s">
        <v>59</v>
      </c>
      <c r="F22" s="6">
        <v>11</v>
      </c>
      <c r="G22" s="6">
        <v>35</v>
      </c>
      <c r="H22" s="6">
        <v>35</v>
      </c>
      <c r="I22" s="6">
        <v>10</v>
      </c>
      <c r="J22" s="6">
        <v>0</v>
      </c>
      <c r="K22" s="6">
        <v>0</v>
      </c>
      <c r="L22" s="6">
        <v>5</v>
      </c>
      <c r="M22" s="6" t="s">
        <v>60</v>
      </c>
      <c r="N22" s="6">
        <v>110</v>
      </c>
      <c r="O22" s="8" t="s">
        <v>113</v>
      </c>
      <c r="P22" s="9" t="s">
        <v>114</v>
      </c>
      <c r="Q22" s="9" t="s">
        <v>115</v>
      </c>
      <c r="R22" s="9" t="s">
        <v>116</v>
      </c>
      <c r="S22" s="9" t="s">
        <v>117</v>
      </c>
      <c r="T22" s="9" t="s">
        <v>118</v>
      </c>
      <c r="U22" s="9" t="s">
        <v>118</v>
      </c>
      <c r="V22" s="6" t="s">
        <v>126</v>
      </c>
      <c r="W22" s="6" t="s">
        <v>127</v>
      </c>
      <c r="X22" s="6" t="s">
        <v>128</v>
      </c>
      <c r="Y22" s="6" t="s">
        <v>129</v>
      </c>
      <c r="Z22" s="6" t="s">
        <v>130</v>
      </c>
      <c r="AA22" s="6" t="s">
        <v>131</v>
      </c>
      <c r="AB22" s="6" t="s">
        <v>132</v>
      </c>
    </row>
    <row r="23" s="6" customFormat="1" spans="1:28">
      <c r="A23" s="6">
        <v>2007</v>
      </c>
      <c r="B23" s="6">
        <v>2</v>
      </c>
      <c r="C23" s="6" t="s">
        <v>78</v>
      </c>
      <c r="D23" s="6">
        <v>7</v>
      </c>
      <c r="E23" s="6" t="s">
        <v>59</v>
      </c>
      <c r="F23" s="6">
        <v>11</v>
      </c>
      <c r="G23" s="6">
        <v>40</v>
      </c>
      <c r="H23" s="6">
        <v>40</v>
      </c>
      <c r="I23" s="6">
        <v>10</v>
      </c>
      <c r="J23" s="6">
        <v>0</v>
      </c>
      <c r="K23" s="6">
        <v>0</v>
      </c>
      <c r="L23" s="6">
        <v>5</v>
      </c>
      <c r="M23" s="6" t="s">
        <v>60</v>
      </c>
      <c r="N23" s="6">
        <v>110</v>
      </c>
      <c r="O23" s="8" t="s">
        <v>113</v>
      </c>
      <c r="P23" s="9" t="s">
        <v>114</v>
      </c>
      <c r="Q23" s="9" t="s">
        <v>115</v>
      </c>
      <c r="R23" s="9" t="s">
        <v>116</v>
      </c>
      <c r="S23" s="9" t="s">
        <v>117</v>
      </c>
      <c r="T23" s="9" t="s">
        <v>118</v>
      </c>
      <c r="U23" s="9" t="s">
        <v>118</v>
      </c>
      <c r="V23" s="6" t="s">
        <v>133</v>
      </c>
      <c r="W23" s="6" t="s">
        <v>134</v>
      </c>
      <c r="X23" s="6" t="s">
        <v>135</v>
      </c>
      <c r="Y23" s="6" t="s">
        <v>136</v>
      </c>
      <c r="Z23" s="6" t="s">
        <v>137</v>
      </c>
      <c r="AA23" s="6" t="s">
        <v>138</v>
      </c>
      <c r="AB23" s="6" t="s">
        <v>139</v>
      </c>
    </row>
    <row r="24" s="6" customFormat="1" spans="1:28">
      <c r="A24" s="6">
        <v>2008</v>
      </c>
      <c r="B24" s="6">
        <v>2</v>
      </c>
      <c r="C24" s="6" t="s">
        <v>78</v>
      </c>
      <c r="D24" s="6">
        <v>8</v>
      </c>
      <c r="E24" s="6" t="s">
        <v>59</v>
      </c>
      <c r="F24" s="6">
        <v>11</v>
      </c>
      <c r="G24" s="6">
        <v>45</v>
      </c>
      <c r="H24" s="6">
        <v>45</v>
      </c>
      <c r="I24" s="6">
        <v>10</v>
      </c>
      <c r="J24" s="6">
        <v>0</v>
      </c>
      <c r="K24" s="6">
        <v>0</v>
      </c>
      <c r="L24" s="6">
        <v>5</v>
      </c>
      <c r="M24" s="6" t="s">
        <v>60</v>
      </c>
      <c r="N24" s="6">
        <v>110</v>
      </c>
      <c r="O24" s="8" t="s">
        <v>113</v>
      </c>
      <c r="P24" s="9" t="s">
        <v>114</v>
      </c>
      <c r="Q24" s="9" t="s">
        <v>115</v>
      </c>
      <c r="R24" s="9" t="s">
        <v>116</v>
      </c>
      <c r="S24" s="9" t="s">
        <v>117</v>
      </c>
      <c r="T24" s="9" t="s">
        <v>118</v>
      </c>
      <c r="U24" s="9" t="s">
        <v>118</v>
      </c>
      <c r="V24" s="6" t="s">
        <v>140</v>
      </c>
      <c r="W24" s="6" t="s">
        <v>141</v>
      </c>
      <c r="X24" s="6" t="s">
        <v>142</v>
      </c>
      <c r="Y24" s="6" t="s">
        <v>143</v>
      </c>
      <c r="Z24" s="6" t="s">
        <v>144</v>
      </c>
      <c r="AA24" s="6" t="s">
        <v>145</v>
      </c>
      <c r="AB24" s="6" t="s">
        <v>146</v>
      </c>
    </row>
    <row r="25" s="6" customFormat="1" spans="1:28">
      <c r="A25" s="6">
        <v>2009</v>
      </c>
      <c r="B25" s="6">
        <v>2</v>
      </c>
      <c r="C25" s="6" t="s">
        <v>78</v>
      </c>
      <c r="D25" s="6">
        <v>9</v>
      </c>
      <c r="E25" s="6" t="s">
        <v>59</v>
      </c>
      <c r="F25" s="6">
        <v>11</v>
      </c>
      <c r="G25" s="6">
        <v>50</v>
      </c>
      <c r="H25" s="6">
        <v>50</v>
      </c>
      <c r="I25" s="6">
        <v>10</v>
      </c>
      <c r="J25" s="6">
        <v>0</v>
      </c>
      <c r="K25" s="6">
        <v>0</v>
      </c>
      <c r="L25" s="6">
        <v>5</v>
      </c>
      <c r="M25" s="6" t="s">
        <v>60</v>
      </c>
      <c r="N25" s="6">
        <v>110</v>
      </c>
      <c r="O25" s="8" t="s">
        <v>147</v>
      </c>
      <c r="P25" s="9" t="s">
        <v>148</v>
      </c>
      <c r="Q25" s="9" t="s">
        <v>149</v>
      </c>
      <c r="R25" s="9" t="s">
        <v>150</v>
      </c>
      <c r="S25" s="9" t="s">
        <v>151</v>
      </c>
      <c r="T25" s="9" t="s">
        <v>152</v>
      </c>
      <c r="U25" s="9" t="s">
        <v>152</v>
      </c>
      <c r="V25" s="6" t="s">
        <v>153</v>
      </c>
      <c r="W25" s="6" t="s">
        <v>154</v>
      </c>
      <c r="X25" s="6" t="s">
        <v>155</v>
      </c>
      <c r="Y25" s="6" t="s">
        <v>156</v>
      </c>
      <c r="Z25" s="6" t="s">
        <v>157</v>
      </c>
      <c r="AA25" s="6" t="s">
        <v>158</v>
      </c>
      <c r="AB25" s="6" t="s">
        <v>159</v>
      </c>
    </row>
    <row r="26" s="6" customFormat="1" spans="1:28">
      <c r="A26" s="6">
        <v>2010</v>
      </c>
      <c r="B26" s="6">
        <v>2</v>
      </c>
      <c r="C26" s="6" t="s">
        <v>78</v>
      </c>
      <c r="D26" s="6">
        <v>10</v>
      </c>
      <c r="E26" s="6" t="s">
        <v>59</v>
      </c>
      <c r="F26" s="6">
        <v>11</v>
      </c>
      <c r="G26" s="6">
        <v>55</v>
      </c>
      <c r="H26" s="6">
        <v>55</v>
      </c>
      <c r="I26" s="6">
        <v>10</v>
      </c>
      <c r="J26" s="6">
        <v>0</v>
      </c>
      <c r="K26" s="6">
        <v>0</v>
      </c>
      <c r="L26" s="6">
        <v>5</v>
      </c>
      <c r="M26" s="6" t="s">
        <v>60</v>
      </c>
      <c r="N26" s="6">
        <v>110</v>
      </c>
      <c r="O26" s="8" t="s">
        <v>147</v>
      </c>
      <c r="P26" s="9" t="s">
        <v>148</v>
      </c>
      <c r="Q26" s="9" t="s">
        <v>149</v>
      </c>
      <c r="R26" s="9" t="s">
        <v>150</v>
      </c>
      <c r="S26" s="9" t="s">
        <v>151</v>
      </c>
      <c r="T26" s="9" t="s">
        <v>152</v>
      </c>
      <c r="U26" s="9" t="s">
        <v>152</v>
      </c>
      <c r="V26" s="6" t="s">
        <v>160</v>
      </c>
      <c r="W26" s="6" t="s">
        <v>161</v>
      </c>
      <c r="X26" s="6" t="s">
        <v>162</v>
      </c>
      <c r="Y26" s="6" t="s">
        <v>163</v>
      </c>
      <c r="Z26" s="6" t="s">
        <v>164</v>
      </c>
      <c r="AA26" s="6" t="s">
        <v>165</v>
      </c>
      <c r="AB26" s="6" t="s">
        <v>166</v>
      </c>
    </row>
    <row r="27" s="6" customFormat="1" spans="1:28">
      <c r="A27" s="6">
        <v>2011</v>
      </c>
      <c r="B27" s="6">
        <v>2</v>
      </c>
      <c r="C27" s="6" t="s">
        <v>78</v>
      </c>
      <c r="D27" s="6">
        <v>11</v>
      </c>
      <c r="E27" s="6" t="s">
        <v>59</v>
      </c>
      <c r="F27" s="6">
        <v>11</v>
      </c>
      <c r="G27" s="6">
        <v>60</v>
      </c>
      <c r="H27" s="6">
        <v>60</v>
      </c>
      <c r="I27" s="6">
        <v>10</v>
      </c>
      <c r="J27" s="6">
        <v>0</v>
      </c>
      <c r="K27" s="6">
        <v>0</v>
      </c>
      <c r="L27" s="6">
        <v>5</v>
      </c>
      <c r="M27" s="6" t="s">
        <v>60</v>
      </c>
      <c r="N27" s="6">
        <v>110</v>
      </c>
      <c r="O27" s="8" t="s">
        <v>147</v>
      </c>
      <c r="P27" s="9" t="s">
        <v>148</v>
      </c>
      <c r="Q27" s="9" t="s">
        <v>149</v>
      </c>
      <c r="R27" s="9" t="s">
        <v>150</v>
      </c>
      <c r="S27" s="9" t="s">
        <v>151</v>
      </c>
      <c r="T27" s="9" t="s">
        <v>152</v>
      </c>
      <c r="U27" s="9" t="s">
        <v>152</v>
      </c>
      <c r="V27" s="6" t="s">
        <v>167</v>
      </c>
      <c r="W27" s="6" t="s">
        <v>168</v>
      </c>
      <c r="X27" s="6" t="s">
        <v>169</v>
      </c>
      <c r="Y27" s="6" t="s">
        <v>170</v>
      </c>
      <c r="Z27" s="6" t="s">
        <v>171</v>
      </c>
      <c r="AA27" s="6" t="s">
        <v>172</v>
      </c>
      <c r="AB27" s="6" t="s">
        <v>173</v>
      </c>
    </row>
    <row r="28" s="6" customFormat="1" spans="1:28">
      <c r="A28" s="6">
        <v>2012</v>
      </c>
      <c r="B28" s="6">
        <v>2</v>
      </c>
      <c r="C28" s="6" t="s">
        <v>78</v>
      </c>
      <c r="D28" s="6">
        <v>12</v>
      </c>
      <c r="E28" s="6" t="s">
        <v>59</v>
      </c>
      <c r="F28" s="6">
        <v>11</v>
      </c>
      <c r="G28" s="6">
        <v>65</v>
      </c>
      <c r="H28" s="6">
        <v>65</v>
      </c>
      <c r="I28" s="6">
        <v>10</v>
      </c>
      <c r="J28" s="6">
        <v>0</v>
      </c>
      <c r="K28" s="6">
        <v>0</v>
      </c>
      <c r="L28" s="6">
        <v>5</v>
      </c>
      <c r="M28" s="6" t="s">
        <v>60</v>
      </c>
      <c r="N28" s="6">
        <v>110</v>
      </c>
      <c r="O28" s="8" t="s">
        <v>147</v>
      </c>
      <c r="P28" s="9" t="s">
        <v>148</v>
      </c>
      <c r="Q28" s="9" t="s">
        <v>149</v>
      </c>
      <c r="R28" s="9" t="s">
        <v>150</v>
      </c>
      <c r="S28" s="9" t="s">
        <v>151</v>
      </c>
      <c r="T28" s="9" t="s">
        <v>152</v>
      </c>
      <c r="U28" s="9" t="s">
        <v>152</v>
      </c>
      <c r="V28" s="6" t="s">
        <v>174</v>
      </c>
      <c r="W28" s="6" t="s">
        <v>175</v>
      </c>
      <c r="X28" s="6" t="s">
        <v>176</v>
      </c>
      <c r="Y28" s="6" t="s">
        <v>177</v>
      </c>
      <c r="Z28" s="6" t="s">
        <v>178</v>
      </c>
      <c r="AA28" s="6" t="s">
        <v>179</v>
      </c>
      <c r="AB28" s="6" t="s">
        <v>180</v>
      </c>
    </row>
    <row r="29" s="6" customFormat="1" spans="1:28">
      <c r="A29" s="6">
        <v>2013</v>
      </c>
      <c r="B29" s="6">
        <v>2</v>
      </c>
      <c r="C29" s="6" t="s">
        <v>78</v>
      </c>
      <c r="D29" s="6">
        <v>13</v>
      </c>
      <c r="E29" s="6" t="s">
        <v>59</v>
      </c>
      <c r="F29" s="6">
        <v>11</v>
      </c>
      <c r="G29" s="6">
        <v>70</v>
      </c>
      <c r="H29" s="6">
        <v>70</v>
      </c>
      <c r="I29" s="6">
        <v>10</v>
      </c>
      <c r="J29" s="6">
        <v>0</v>
      </c>
      <c r="K29" s="6">
        <v>0</v>
      </c>
      <c r="L29" s="6">
        <v>5</v>
      </c>
      <c r="M29" s="6" t="s">
        <v>60</v>
      </c>
      <c r="N29" s="6">
        <v>110</v>
      </c>
      <c r="O29" s="8" t="s">
        <v>147</v>
      </c>
      <c r="P29" s="9" t="s">
        <v>148</v>
      </c>
      <c r="Q29" s="9" t="s">
        <v>149</v>
      </c>
      <c r="R29" s="9" t="s">
        <v>150</v>
      </c>
      <c r="S29" s="9" t="s">
        <v>151</v>
      </c>
      <c r="T29" s="9" t="s">
        <v>152</v>
      </c>
      <c r="U29" s="9" t="s">
        <v>152</v>
      </c>
      <c r="V29" s="6" t="s">
        <v>181</v>
      </c>
      <c r="W29" s="6" t="s">
        <v>182</v>
      </c>
      <c r="X29" s="6" t="s">
        <v>183</v>
      </c>
      <c r="Y29" s="6" t="s">
        <v>184</v>
      </c>
      <c r="Z29" s="6" t="s">
        <v>185</v>
      </c>
      <c r="AA29" s="6" t="s">
        <v>186</v>
      </c>
      <c r="AB29" s="6" t="s">
        <v>187</v>
      </c>
    </row>
    <row r="30" customFormat="1" spans="1:28">
      <c r="A30">
        <v>3001</v>
      </c>
      <c r="B30">
        <v>3</v>
      </c>
      <c r="C30" t="s">
        <v>188</v>
      </c>
      <c r="D30">
        <v>1</v>
      </c>
      <c r="E30" t="s">
        <v>59</v>
      </c>
      <c r="F30">
        <v>11</v>
      </c>
      <c r="G30">
        <v>10</v>
      </c>
      <c r="H30">
        <v>10</v>
      </c>
      <c r="I30">
        <v>10</v>
      </c>
      <c r="J30">
        <v>0</v>
      </c>
      <c r="K30">
        <v>0</v>
      </c>
      <c r="L30">
        <v>1</v>
      </c>
      <c r="M30" t="s">
        <v>60</v>
      </c>
      <c r="N30">
        <v>110</v>
      </c>
      <c r="O30" s="7" t="s">
        <v>189</v>
      </c>
      <c r="P30" s="7" t="s">
        <v>189</v>
      </c>
      <c r="Q30" s="7" t="s">
        <v>189</v>
      </c>
      <c r="R30" s="7" t="s">
        <v>189</v>
      </c>
      <c r="S30" s="7" t="s">
        <v>189</v>
      </c>
      <c r="T30" s="7" t="s">
        <v>189</v>
      </c>
      <c r="U30" s="7" t="s">
        <v>189</v>
      </c>
      <c r="V30" t="s">
        <v>190</v>
      </c>
      <c r="W30" t="s">
        <v>190</v>
      </c>
      <c r="X30" t="s">
        <v>190</v>
      </c>
      <c r="Y30" t="s">
        <v>190</v>
      </c>
      <c r="Z30" t="s">
        <v>190</v>
      </c>
      <c r="AA30" t="s">
        <v>190</v>
      </c>
      <c r="AB30" t="s">
        <v>190</v>
      </c>
    </row>
    <row r="31" customFormat="1" spans="1:28">
      <c r="A31">
        <v>3002</v>
      </c>
      <c r="B31">
        <v>3</v>
      </c>
      <c r="C31" t="s">
        <v>188</v>
      </c>
      <c r="D31">
        <v>2</v>
      </c>
      <c r="E31" t="s">
        <v>59</v>
      </c>
      <c r="F31">
        <v>11</v>
      </c>
      <c r="G31">
        <v>15</v>
      </c>
      <c r="H31">
        <v>15</v>
      </c>
      <c r="I31">
        <v>10</v>
      </c>
      <c r="J31">
        <v>0</v>
      </c>
      <c r="K31">
        <v>0</v>
      </c>
      <c r="L31">
        <v>1</v>
      </c>
      <c r="M31" t="s">
        <v>60</v>
      </c>
      <c r="N31">
        <v>110</v>
      </c>
      <c r="O31" s="7" t="s">
        <v>189</v>
      </c>
      <c r="P31" s="7" t="s">
        <v>189</v>
      </c>
      <c r="Q31" s="7" t="s">
        <v>189</v>
      </c>
      <c r="R31" s="7" t="s">
        <v>189</v>
      </c>
      <c r="S31" s="7" t="s">
        <v>189</v>
      </c>
      <c r="T31" s="7" t="s">
        <v>189</v>
      </c>
      <c r="U31" s="7" t="s">
        <v>189</v>
      </c>
      <c r="V31" t="s">
        <v>191</v>
      </c>
      <c r="W31" t="s">
        <v>191</v>
      </c>
      <c r="X31" t="s">
        <v>191</v>
      </c>
      <c r="Y31" t="s">
        <v>191</v>
      </c>
      <c r="Z31" t="s">
        <v>191</v>
      </c>
      <c r="AA31" t="s">
        <v>191</v>
      </c>
      <c r="AB31" t="s">
        <v>191</v>
      </c>
    </row>
    <row r="32" customFormat="1" spans="1:28">
      <c r="A32">
        <v>3003</v>
      </c>
      <c r="B32">
        <v>3</v>
      </c>
      <c r="C32" t="s">
        <v>188</v>
      </c>
      <c r="D32">
        <v>3</v>
      </c>
      <c r="E32" t="s">
        <v>59</v>
      </c>
      <c r="F32">
        <v>11</v>
      </c>
      <c r="G32">
        <v>20</v>
      </c>
      <c r="H32">
        <v>20</v>
      </c>
      <c r="I32">
        <v>10</v>
      </c>
      <c r="J32">
        <v>0</v>
      </c>
      <c r="K32">
        <v>0</v>
      </c>
      <c r="L32">
        <v>1</v>
      </c>
      <c r="M32" t="s">
        <v>60</v>
      </c>
      <c r="N32">
        <v>110</v>
      </c>
      <c r="O32" s="7" t="s">
        <v>192</v>
      </c>
      <c r="P32" s="7" t="s">
        <v>192</v>
      </c>
      <c r="Q32" s="7" t="s">
        <v>192</v>
      </c>
      <c r="R32" s="7" t="s">
        <v>192</v>
      </c>
      <c r="S32" s="7" t="s">
        <v>192</v>
      </c>
      <c r="T32" s="7" t="s">
        <v>192</v>
      </c>
      <c r="U32" s="7" t="s">
        <v>192</v>
      </c>
      <c r="V32" t="s">
        <v>193</v>
      </c>
      <c r="W32" t="s">
        <v>193</v>
      </c>
      <c r="X32" t="s">
        <v>193</v>
      </c>
      <c r="Y32" t="s">
        <v>193</v>
      </c>
      <c r="Z32" t="s">
        <v>193</v>
      </c>
      <c r="AA32" t="s">
        <v>193</v>
      </c>
      <c r="AB32" t="s">
        <v>193</v>
      </c>
    </row>
    <row r="33" customFormat="1" spans="1:28">
      <c r="A33">
        <v>3004</v>
      </c>
      <c r="B33">
        <v>3</v>
      </c>
      <c r="C33" t="s">
        <v>188</v>
      </c>
      <c r="D33">
        <v>4</v>
      </c>
      <c r="E33" t="s">
        <v>59</v>
      </c>
      <c r="F33">
        <v>11</v>
      </c>
      <c r="G33">
        <v>25</v>
      </c>
      <c r="H33">
        <v>25</v>
      </c>
      <c r="I33">
        <v>10</v>
      </c>
      <c r="J33">
        <v>0</v>
      </c>
      <c r="K33">
        <v>0</v>
      </c>
      <c r="L33">
        <v>1</v>
      </c>
      <c r="M33" t="s">
        <v>60</v>
      </c>
      <c r="N33">
        <v>110</v>
      </c>
      <c r="O33" s="7" t="s">
        <v>194</v>
      </c>
      <c r="P33" s="7" t="s">
        <v>194</v>
      </c>
      <c r="Q33" s="7" t="s">
        <v>194</v>
      </c>
      <c r="R33" s="7" t="s">
        <v>194</v>
      </c>
      <c r="S33" s="7" t="s">
        <v>194</v>
      </c>
      <c r="T33" s="7" t="s">
        <v>194</v>
      </c>
      <c r="U33" s="7" t="s">
        <v>194</v>
      </c>
      <c r="V33" t="s">
        <v>195</v>
      </c>
      <c r="W33" t="s">
        <v>195</v>
      </c>
      <c r="X33" t="s">
        <v>195</v>
      </c>
      <c r="Y33" t="s">
        <v>195</v>
      </c>
      <c r="Z33" t="s">
        <v>195</v>
      </c>
      <c r="AA33" t="s">
        <v>195</v>
      </c>
      <c r="AB33" t="s">
        <v>195</v>
      </c>
    </row>
    <row r="34" customFormat="1" spans="1:28">
      <c r="A34">
        <v>3005</v>
      </c>
      <c r="B34">
        <v>3</v>
      </c>
      <c r="C34" t="s">
        <v>188</v>
      </c>
      <c r="D34">
        <v>5</v>
      </c>
      <c r="E34" t="s">
        <v>59</v>
      </c>
      <c r="F34">
        <v>11</v>
      </c>
      <c r="G34">
        <v>30</v>
      </c>
      <c r="H34">
        <v>30</v>
      </c>
      <c r="I34">
        <v>10</v>
      </c>
      <c r="J34">
        <v>0</v>
      </c>
      <c r="K34">
        <v>0</v>
      </c>
      <c r="L34">
        <v>1</v>
      </c>
      <c r="M34" t="s">
        <v>60</v>
      </c>
      <c r="N34">
        <v>110</v>
      </c>
      <c r="O34" s="7" t="s">
        <v>194</v>
      </c>
      <c r="P34" s="7" t="s">
        <v>194</v>
      </c>
      <c r="Q34" s="7" t="s">
        <v>194</v>
      </c>
      <c r="R34" s="7" t="s">
        <v>194</v>
      </c>
      <c r="S34" s="7" t="s">
        <v>194</v>
      </c>
      <c r="T34" s="7" t="s">
        <v>194</v>
      </c>
      <c r="U34" s="7" t="s">
        <v>194</v>
      </c>
      <c r="V34" t="s">
        <v>196</v>
      </c>
      <c r="W34" t="s">
        <v>196</v>
      </c>
      <c r="X34" t="s">
        <v>196</v>
      </c>
      <c r="Y34" t="s">
        <v>196</v>
      </c>
      <c r="Z34" t="s">
        <v>196</v>
      </c>
      <c r="AA34" t="s">
        <v>196</v>
      </c>
      <c r="AB34" t="s">
        <v>196</v>
      </c>
    </row>
    <row r="35" customFormat="1" spans="1:28">
      <c r="A35">
        <v>3006</v>
      </c>
      <c r="B35">
        <v>3</v>
      </c>
      <c r="C35" t="s">
        <v>188</v>
      </c>
      <c r="D35">
        <v>6</v>
      </c>
      <c r="E35" t="s">
        <v>59</v>
      </c>
      <c r="F35">
        <v>11</v>
      </c>
      <c r="G35">
        <v>35</v>
      </c>
      <c r="H35">
        <v>35</v>
      </c>
      <c r="I35">
        <v>10</v>
      </c>
      <c r="J35">
        <v>0</v>
      </c>
      <c r="K35">
        <v>0</v>
      </c>
      <c r="L35">
        <v>1</v>
      </c>
      <c r="M35" t="s">
        <v>60</v>
      </c>
      <c r="N35">
        <v>110</v>
      </c>
      <c r="O35" s="7" t="s">
        <v>194</v>
      </c>
      <c r="P35" s="7" t="s">
        <v>194</v>
      </c>
      <c r="Q35" s="7" t="s">
        <v>194</v>
      </c>
      <c r="R35" s="7" t="s">
        <v>194</v>
      </c>
      <c r="S35" s="7" t="s">
        <v>194</v>
      </c>
      <c r="T35" s="7" t="s">
        <v>194</v>
      </c>
      <c r="U35" s="7" t="s">
        <v>194</v>
      </c>
      <c r="V35" t="s">
        <v>197</v>
      </c>
      <c r="W35" t="s">
        <v>197</v>
      </c>
      <c r="X35" t="s">
        <v>197</v>
      </c>
      <c r="Y35" t="s">
        <v>197</v>
      </c>
      <c r="Z35" t="s">
        <v>197</v>
      </c>
      <c r="AA35" t="s">
        <v>197</v>
      </c>
      <c r="AB35" t="s">
        <v>197</v>
      </c>
    </row>
    <row r="36" customFormat="1" spans="1:28">
      <c r="A36">
        <v>3007</v>
      </c>
      <c r="B36">
        <v>3</v>
      </c>
      <c r="C36" t="s">
        <v>188</v>
      </c>
      <c r="D36">
        <v>7</v>
      </c>
      <c r="E36" t="s">
        <v>59</v>
      </c>
      <c r="F36">
        <v>11</v>
      </c>
      <c r="G36">
        <v>40</v>
      </c>
      <c r="H36">
        <v>40</v>
      </c>
      <c r="I36">
        <v>10</v>
      </c>
      <c r="J36">
        <v>0</v>
      </c>
      <c r="K36">
        <v>0</v>
      </c>
      <c r="L36">
        <v>1</v>
      </c>
      <c r="M36" t="s">
        <v>60</v>
      </c>
      <c r="N36">
        <v>110</v>
      </c>
      <c r="O36" s="7" t="s">
        <v>194</v>
      </c>
      <c r="P36" s="7" t="s">
        <v>194</v>
      </c>
      <c r="Q36" s="7" t="s">
        <v>194</v>
      </c>
      <c r="R36" s="7" t="s">
        <v>194</v>
      </c>
      <c r="S36" s="7" t="s">
        <v>194</v>
      </c>
      <c r="T36" s="7" t="s">
        <v>194</v>
      </c>
      <c r="U36" s="7" t="s">
        <v>194</v>
      </c>
      <c r="V36" t="s">
        <v>198</v>
      </c>
      <c r="W36" t="s">
        <v>198</v>
      </c>
      <c r="X36" t="s">
        <v>198</v>
      </c>
      <c r="Y36" t="s">
        <v>198</v>
      </c>
      <c r="Z36" t="s">
        <v>198</v>
      </c>
      <c r="AA36" t="s">
        <v>198</v>
      </c>
      <c r="AB36" t="s">
        <v>198</v>
      </c>
    </row>
    <row r="37" customFormat="1" spans="1:28">
      <c r="A37">
        <v>3008</v>
      </c>
      <c r="B37">
        <v>3</v>
      </c>
      <c r="C37" t="s">
        <v>188</v>
      </c>
      <c r="D37">
        <v>8</v>
      </c>
      <c r="E37" t="s">
        <v>59</v>
      </c>
      <c r="F37">
        <v>11</v>
      </c>
      <c r="G37">
        <v>45</v>
      </c>
      <c r="H37">
        <v>45</v>
      </c>
      <c r="I37">
        <v>10</v>
      </c>
      <c r="J37">
        <v>0</v>
      </c>
      <c r="K37">
        <v>0</v>
      </c>
      <c r="L37">
        <v>1</v>
      </c>
      <c r="M37" t="s">
        <v>60</v>
      </c>
      <c r="N37">
        <v>110</v>
      </c>
      <c r="O37" s="7" t="s">
        <v>194</v>
      </c>
      <c r="P37" s="7" t="s">
        <v>194</v>
      </c>
      <c r="Q37" s="7" t="s">
        <v>194</v>
      </c>
      <c r="R37" s="7" t="s">
        <v>194</v>
      </c>
      <c r="S37" s="7" t="s">
        <v>194</v>
      </c>
      <c r="T37" s="7" t="s">
        <v>194</v>
      </c>
      <c r="U37" s="7" t="s">
        <v>194</v>
      </c>
      <c r="V37" t="s">
        <v>199</v>
      </c>
      <c r="W37" t="s">
        <v>199</v>
      </c>
      <c r="X37" t="s">
        <v>199</v>
      </c>
      <c r="Y37" t="s">
        <v>199</v>
      </c>
      <c r="Z37" t="s">
        <v>199</v>
      </c>
      <c r="AA37" t="s">
        <v>199</v>
      </c>
      <c r="AB37" t="s">
        <v>199</v>
      </c>
    </row>
    <row r="38" customFormat="1" spans="1:28">
      <c r="A38">
        <v>3009</v>
      </c>
      <c r="B38">
        <v>3</v>
      </c>
      <c r="C38" t="s">
        <v>188</v>
      </c>
      <c r="D38">
        <v>9</v>
      </c>
      <c r="E38" t="s">
        <v>59</v>
      </c>
      <c r="F38">
        <v>11</v>
      </c>
      <c r="G38">
        <v>50</v>
      </c>
      <c r="H38">
        <v>50</v>
      </c>
      <c r="I38">
        <v>10</v>
      </c>
      <c r="J38">
        <v>0</v>
      </c>
      <c r="K38">
        <v>0</v>
      </c>
      <c r="L38">
        <v>1</v>
      </c>
      <c r="M38" t="s">
        <v>60</v>
      </c>
      <c r="N38">
        <v>110</v>
      </c>
      <c r="O38" s="7" t="s">
        <v>194</v>
      </c>
      <c r="P38" s="7" t="s">
        <v>194</v>
      </c>
      <c r="Q38" s="7" t="s">
        <v>194</v>
      </c>
      <c r="R38" s="7" t="s">
        <v>194</v>
      </c>
      <c r="S38" s="7" t="s">
        <v>194</v>
      </c>
      <c r="T38" s="7" t="s">
        <v>194</v>
      </c>
      <c r="U38" s="7" t="s">
        <v>194</v>
      </c>
      <c r="V38" t="s">
        <v>200</v>
      </c>
      <c r="W38" t="s">
        <v>200</v>
      </c>
      <c r="X38" t="s">
        <v>200</v>
      </c>
      <c r="Y38" t="s">
        <v>200</v>
      </c>
      <c r="Z38" t="s">
        <v>200</v>
      </c>
      <c r="AA38" t="s">
        <v>200</v>
      </c>
      <c r="AB38" t="s">
        <v>200</v>
      </c>
    </row>
    <row r="39" customFormat="1" spans="1:28">
      <c r="A39">
        <v>3010</v>
      </c>
      <c r="B39">
        <v>3</v>
      </c>
      <c r="C39" t="s">
        <v>188</v>
      </c>
      <c r="D39">
        <v>10</v>
      </c>
      <c r="E39" t="s">
        <v>59</v>
      </c>
      <c r="F39">
        <v>11</v>
      </c>
      <c r="G39">
        <v>55</v>
      </c>
      <c r="H39">
        <v>55</v>
      </c>
      <c r="I39">
        <v>10</v>
      </c>
      <c r="J39">
        <v>0</v>
      </c>
      <c r="K39">
        <v>0</v>
      </c>
      <c r="L39">
        <v>1</v>
      </c>
      <c r="M39" t="s">
        <v>60</v>
      </c>
      <c r="N39">
        <v>110</v>
      </c>
      <c r="O39" s="7" t="s">
        <v>194</v>
      </c>
      <c r="P39" s="7" t="s">
        <v>194</v>
      </c>
      <c r="Q39" s="7" t="s">
        <v>194</v>
      </c>
      <c r="R39" s="7" t="s">
        <v>194</v>
      </c>
      <c r="S39" s="7" t="s">
        <v>194</v>
      </c>
      <c r="T39" s="7" t="s">
        <v>194</v>
      </c>
      <c r="U39" s="7" t="s">
        <v>194</v>
      </c>
      <c r="V39" t="s">
        <v>201</v>
      </c>
      <c r="W39" t="s">
        <v>201</v>
      </c>
      <c r="X39" t="s">
        <v>201</v>
      </c>
      <c r="Y39" t="s">
        <v>201</v>
      </c>
      <c r="Z39" t="s">
        <v>201</v>
      </c>
      <c r="AA39" t="s">
        <v>201</v>
      </c>
      <c r="AB39" t="s">
        <v>201</v>
      </c>
    </row>
    <row r="40" customFormat="1" spans="1:28">
      <c r="A40">
        <v>3011</v>
      </c>
      <c r="B40">
        <v>3</v>
      </c>
      <c r="C40" t="s">
        <v>188</v>
      </c>
      <c r="D40">
        <v>11</v>
      </c>
      <c r="E40" t="s">
        <v>59</v>
      </c>
      <c r="F40">
        <v>11</v>
      </c>
      <c r="G40">
        <v>60</v>
      </c>
      <c r="H40">
        <v>60</v>
      </c>
      <c r="I40">
        <v>10</v>
      </c>
      <c r="J40">
        <v>0</v>
      </c>
      <c r="K40">
        <v>0</v>
      </c>
      <c r="L40">
        <v>1</v>
      </c>
      <c r="M40" t="s">
        <v>60</v>
      </c>
      <c r="N40">
        <v>110</v>
      </c>
      <c r="O40" s="7" t="s">
        <v>194</v>
      </c>
      <c r="P40" s="7" t="s">
        <v>194</v>
      </c>
      <c r="Q40" s="7" t="s">
        <v>194</v>
      </c>
      <c r="R40" s="7" t="s">
        <v>194</v>
      </c>
      <c r="S40" s="7" t="s">
        <v>194</v>
      </c>
      <c r="T40" s="7" t="s">
        <v>194</v>
      </c>
      <c r="U40" s="7" t="s">
        <v>194</v>
      </c>
      <c r="V40" t="s">
        <v>202</v>
      </c>
      <c r="W40" t="s">
        <v>202</v>
      </c>
      <c r="X40" t="s">
        <v>202</v>
      </c>
      <c r="Y40" t="s">
        <v>202</v>
      </c>
      <c r="Z40" t="s">
        <v>202</v>
      </c>
      <c r="AA40" t="s">
        <v>202</v>
      </c>
      <c r="AB40" t="s">
        <v>202</v>
      </c>
    </row>
    <row r="41" customFormat="1" spans="1:28">
      <c r="A41">
        <v>3012</v>
      </c>
      <c r="B41">
        <v>3</v>
      </c>
      <c r="C41" t="s">
        <v>188</v>
      </c>
      <c r="D41">
        <v>12</v>
      </c>
      <c r="E41" t="s">
        <v>59</v>
      </c>
      <c r="F41">
        <v>11</v>
      </c>
      <c r="G41">
        <v>65</v>
      </c>
      <c r="H41">
        <v>65</v>
      </c>
      <c r="I41">
        <v>10</v>
      </c>
      <c r="J41">
        <v>0</v>
      </c>
      <c r="K41">
        <v>0</v>
      </c>
      <c r="L41">
        <v>1</v>
      </c>
      <c r="M41" t="s">
        <v>60</v>
      </c>
      <c r="N41">
        <v>110</v>
      </c>
      <c r="O41" s="7" t="s">
        <v>194</v>
      </c>
      <c r="P41" s="7" t="s">
        <v>194</v>
      </c>
      <c r="Q41" s="7" t="s">
        <v>194</v>
      </c>
      <c r="R41" s="7" t="s">
        <v>194</v>
      </c>
      <c r="S41" s="7" t="s">
        <v>194</v>
      </c>
      <c r="T41" s="7" t="s">
        <v>194</v>
      </c>
      <c r="U41" s="7" t="s">
        <v>194</v>
      </c>
      <c r="V41" t="s">
        <v>203</v>
      </c>
      <c r="W41" t="s">
        <v>203</v>
      </c>
      <c r="X41" t="s">
        <v>203</v>
      </c>
      <c r="Y41" t="s">
        <v>203</v>
      </c>
      <c r="Z41" t="s">
        <v>203</v>
      </c>
      <c r="AA41" t="s">
        <v>203</v>
      </c>
      <c r="AB41" t="s">
        <v>203</v>
      </c>
    </row>
    <row r="42" customFormat="1" spans="1:28">
      <c r="A42">
        <v>3013</v>
      </c>
      <c r="B42">
        <v>3</v>
      </c>
      <c r="C42" t="s">
        <v>188</v>
      </c>
      <c r="D42">
        <v>13</v>
      </c>
      <c r="E42" t="s">
        <v>59</v>
      </c>
      <c r="F42">
        <v>11</v>
      </c>
      <c r="G42">
        <v>70</v>
      </c>
      <c r="H42">
        <v>70</v>
      </c>
      <c r="I42">
        <v>10</v>
      </c>
      <c r="J42">
        <v>0</v>
      </c>
      <c r="K42">
        <v>0</v>
      </c>
      <c r="L42">
        <v>1</v>
      </c>
      <c r="M42" t="s">
        <v>60</v>
      </c>
      <c r="N42">
        <v>110</v>
      </c>
      <c r="O42" s="7" t="s">
        <v>194</v>
      </c>
      <c r="P42" s="7" t="s">
        <v>194</v>
      </c>
      <c r="Q42" s="7" t="s">
        <v>194</v>
      </c>
      <c r="R42" s="7" t="s">
        <v>194</v>
      </c>
      <c r="S42" s="7" t="s">
        <v>194</v>
      </c>
      <c r="T42" s="7" t="s">
        <v>194</v>
      </c>
      <c r="U42" s="7" t="s">
        <v>194</v>
      </c>
      <c r="V42" t="s">
        <v>204</v>
      </c>
      <c r="W42" t="s">
        <v>204</v>
      </c>
      <c r="X42" t="s">
        <v>204</v>
      </c>
      <c r="Y42" t="s">
        <v>204</v>
      </c>
      <c r="Z42" t="s">
        <v>204</v>
      </c>
      <c r="AA42" t="s">
        <v>204</v>
      </c>
      <c r="AB42" t="s">
        <v>204</v>
      </c>
    </row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9" ht="16.5" customHeight="1"/>
    <row r="160" ht="16.5" customHeight="1"/>
    <row r="161" ht="16.5" customHeight="1"/>
    <row r="162" ht="16.5" customHeight="1"/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S22"/>
  <sheetViews>
    <sheetView workbookViewId="0">
      <selection activeCell="N22" sqref="N22"/>
    </sheetView>
  </sheetViews>
  <sheetFormatPr defaultColWidth="9" defaultRowHeight="13.5"/>
  <cols>
    <col min="2" max="2" width="18.25" customWidth="1"/>
    <col min="3" max="3" width="42.625" customWidth="1"/>
    <col min="5" max="5" width="13.875" customWidth="1"/>
    <col min="6" max="6" width="6.25" customWidth="1"/>
    <col min="7" max="7" width="9.625" customWidth="1"/>
  </cols>
  <sheetData>
    <row r="4" spans="2:2">
      <c r="B4" t="s">
        <v>205</v>
      </c>
    </row>
    <row r="5" spans="2:4">
      <c r="B5">
        <v>1</v>
      </c>
      <c r="C5">
        <f>D5/20</f>
        <v>1</v>
      </c>
      <c r="D5">
        <v>20</v>
      </c>
    </row>
    <row r="6" spans="2:4">
      <c r="B6">
        <v>2</v>
      </c>
      <c r="C6">
        <f t="shared" ref="C6:C13" si="0">D6/20</f>
        <v>1.25</v>
      </c>
      <c r="D6">
        <v>25</v>
      </c>
    </row>
    <row r="7" spans="2:4">
      <c r="B7">
        <v>3</v>
      </c>
      <c r="C7">
        <f t="shared" si="0"/>
        <v>1.5</v>
      </c>
      <c r="D7">
        <v>30</v>
      </c>
    </row>
    <row r="8" spans="2:4">
      <c r="B8" s="2">
        <v>4</v>
      </c>
      <c r="C8" s="2">
        <f t="shared" si="0"/>
        <v>2</v>
      </c>
      <c r="D8" s="2">
        <v>40</v>
      </c>
    </row>
    <row r="9" spans="2:4">
      <c r="B9">
        <v>5</v>
      </c>
      <c r="C9">
        <f t="shared" si="0"/>
        <v>2.5</v>
      </c>
      <c r="D9">
        <v>50</v>
      </c>
    </row>
    <row r="10" spans="2:4">
      <c r="B10">
        <v>6</v>
      </c>
      <c r="C10">
        <f t="shared" si="0"/>
        <v>3.25</v>
      </c>
      <c r="D10">
        <v>65</v>
      </c>
    </row>
    <row r="11" spans="2:4">
      <c r="B11">
        <v>7</v>
      </c>
      <c r="C11">
        <f t="shared" si="0"/>
        <v>3.5</v>
      </c>
      <c r="D11">
        <v>70</v>
      </c>
    </row>
    <row r="12" spans="2:4">
      <c r="B12">
        <v>8</v>
      </c>
      <c r="C12">
        <f t="shared" si="0"/>
        <v>4.5</v>
      </c>
      <c r="D12">
        <v>90</v>
      </c>
    </row>
    <row r="13" spans="2:4">
      <c r="B13">
        <v>9</v>
      </c>
      <c r="C13">
        <f t="shared" si="0"/>
        <v>6</v>
      </c>
      <c r="D13">
        <v>120</v>
      </c>
    </row>
    <row r="16" customFormat="1" spans="2:19">
      <c r="B16" s="1" t="s">
        <v>206</v>
      </c>
      <c r="C16" t="s">
        <v>207</v>
      </c>
      <c r="D16" s="1"/>
      <c r="E16" t="s">
        <v>208</v>
      </c>
      <c r="F16" t="s">
        <v>209</v>
      </c>
      <c r="G16" t="s">
        <v>210</v>
      </c>
      <c r="H16" t="s">
        <v>211</v>
      </c>
      <c r="J16" t="s">
        <v>212</v>
      </c>
      <c r="K16" t="s">
        <v>213</v>
      </c>
      <c r="L16" t="s">
        <v>214</v>
      </c>
      <c r="M16" t="s">
        <v>215</v>
      </c>
      <c r="N16" s="4"/>
      <c r="O16" s="5"/>
      <c r="P16" t="s">
        <v>216</v>
      </c>
      <c r="Q16" t="s">
        <v>217</v>
      </c>
      <c r="S16" t="s">
        <v>218</v>
      </c>
    </row>
    <row r="17" customFormat="1" spans="1:19">
      <c r="A17">
        <v>201</v>
      </c>
      <c r="B17" s="1" t="str">
        <f t="shared" ref="B17:B22" si="1">""&amp;INT(N17/M17)&amp;"*"&amp;INT(N17*S17/M17*10)*0.1&amp;""</f>
        <v>4*0.8</v>
      </c>
      <c r="C17" t="str">
        <f t="shared" ref="C17:C22" si="2">""&amp;INT(E17*0.35)&amp;"#"&amp;F17&amp;"#"&amp;INT(N17/J17*10)*0.1&amp;"*"&amp;INT(S17*N17/J17*10)*0.1&amp;"|"&amp;INT(E17*0.7)&amp;"#"&amp;G17&amp;"#"&amp;INT(N17*P17/K17*10)*0.1&amp;"*"&amp;INT(S17*N17*P17/K17*10)*0.1&amp;"|"&amp;INT(E17*1.1)&amp;"#"&amp;H17&amp;"#"&amp;INT(N17*Q17/L17*10)*0.1&amp;"*"&amp;INT(S17*N17*Q17/L17*10)*0.1&amp;""</f>
        <v>7#1#3*0.6|14#2#2.8*0.5|22#3#3*0.6</v>
      </c>
      <c r="E17" s="3">
        <v>20</v>
      </c>
      <c r="F17">
        <v>1</v>
      </c>
      <c r="G17">
        <v>2</v>
      </c>
      <c r="H17">
        <v>3</v>
      </c>
      <c r="J17">
        <f>CHOOSE(F17,辅助!$C$5,辅助!$C$6,辅助!$C$7,辅助!$C$8,辅助!$C$9,辅助!$C$10,辅助!$C$11,辅助!$C$12,辅助!$C$13)</f>
        <v>1</v>
      </c>
      <c r="K17">
        <f>CHOOSE(G17,辅助!$C$5,辅助!$C$6,辅助!$C$7,辅助!$C$8,辅助!$C$9,辅助!$C$10,辅助!$C$11,辅助!$C$12,辅助!$C$13)</f>
        <v>1.25</v>
      </c>
      <c r="L17">
        <f>CHOOSE(H17,辅助!$C$5,辅助!$C$6,辅助!$C$7,辅助!$C$8,辅助!$C$9,辅助!$C$10,辅助!$C$11,辅助!$C$12,辅助!$C$13)</f>
        <v>1.5</v>
      </c>
      <c r="M17">
        <v>0.7</v>
      </c>
      <c r="N17" s="4">
        <v>3</v>
      </c>
      <c r="O17" s="5"/>
      <c r="P17">
        <v>1.2</v>
      </c>
      <c r="Q17">
        <v>1.5</v>
      </c>
      <c r="S17">
        <v>0.2</v>
      </c>
    </row>
    <row r="18" customFormat="1" spans="1:19">
      <c r="A18">
        <v>202</v>
      </c>
      <c r="B18" s="1" t="str">
        <f t="shared" si="1"/>
        <v>21*4.2</v>
      </c>
      <c r="C18" t="str">
        <f t="shared" si="2"/>
        <v>12#4#7.5*1.5|25#5#7.2*1.4|39#6#6.9*1.3</v>
      </c>
      <c r="E18" s="3">
        <v>36</v>
      </c>
      <c r="F18">
        <v>4</v>
      </c>
      <c r="G18">
        <v>5</v>
      </c>
      <c r="H18">
        <v>6</v>
      </c>
      <c r="J18">
        <f>CHOOSE(F18,辅助!$C$5,辅助!$C$6,辅助!$C$7,辅助!$C$8,辅助!$C$9,辅助!$C$10,辅助!$C$11,辅助!$C$12,辅助!$C$13)</f>
        <v>2</v>
      </c>
      <c r="K18">
        <f>CHOOSE(G18,辅助!$C$5,辅助!$C$6,辅助!$C$7,辅助!$C$8,辅助!$C$9,辅助!$C$10,辅助!$C$11,辅助!$C$12,辅助!$C$13)</f>
        <v>2.5</v>
      </c>
      <c r="L18">
        <f>CHOOSE(H18,辅助!$C$5,辅助!$C$6,辅助!$C$7,辅助!$C$8,辅助!$C$9,辅助!$C$10,辅助!$C$11,辅助!$C$12,辅助!$C$13)</f>
        <v>3.25</v>
      </c>
      <c r="M18">
        <v>0.7</v>
      </c>
      <c r="N18" s="4">
        <v>15</v>
      </c>
      <c r="O18" s="5"/>
      <c r="P18">
        <v>1.2</v>
      </c>
      <c r="Q18">
        <v>1.5</v>
      </c>
      <c r="S18">
        <v>0.2</v>
      </c>
    </row>
    <row r="19" customFormat="1" spans="1:19">
      <c r="A19">
        <v>203</v>
      </c>
      <c r="B19" s="1" t="str">
        <f t="shared" si="1"/>
        <v>42*8.5</v>
      </c>
      <c r="C19" t="str">
        <f t="shared" si="2"/>
        <v>16#7#8.5*1.7|33#8#8*1.6|52#9#7.5*1.5</v>
      </c>
      <c r="E19" s="3">
        <v>48</v>
      </c>
      <c r="F19">
        <v>7</v>
      </c>
      <c r="G19">
        <v>8</v>
      </c>
      <c r="H19">
        <v>9</v>
      </c>
      <c r="J19">
        <f>CHOOSE(F19,辅助!$C$5,辅助!$C$6,辅助!$C$7,辅助!$C$8,辅助!$C$9,辅助!$C$10,辅助!$C$11,辅助!$C$12,辅助!$C$13)</f>
        <v>3.5</v>
      </c>
      <c r="K19">
        <f>CHOOSE(G19,辅助!$C$5,辅助!$C$6,辅助!$C$7,辅助!$C$8,辅助!$C$9,辅助!$C$10,辅助!$C$11,辅助!$C$12,辅助!$C$13)</f>
        <v>4.5</v>
      </c>
      <c r="L19">
        <f>CHOOSE(H19,辅助!$C$5,辅助!$C$6,辅助!$C$7,辅助!$C$8,辅助!$C$9,辅助!$C$10,辅助!$C$11,辅助!$C$12,辅助!$C$13)</f>
        <v>6</v>
      </c>
      <c r="M19">
        <v>0.7</v>
      </c>
      <c r="N19" s="4">
        <v>30</v>
      </c>
      <c r="O19" s="5"/>
      <c r="P19">
        <v>1.2</v>
      </c>
      <c r="Q19">
        <v>1.5</v>
      </c>
      <c r="S19">
        <v>0.2</v>
      </c>
    </row>
    <row r="20" customFormat="1" spans="1:19">
      <c r="A20">
        <v>301</v>
      </c>
      <c r="B20" s="1" t="str">
        <f t="shared" si="1"/>
        <v>4*0.8</v>
      </c>
      <c r="C20" t="str">
        <f t="shared" si="2"/>
        <v>10#1#3*0.6|21#2#2.8*0.5|33#3#3*0.6</v>
      </c>
      <c r="E20" s="3">
        <v>30</v>
      </c>
      <c r="F20">
        <v>1</v>
      </c>
      <c r="G20">
        <v>2</v>
      </c>
      <c r="H20">
        <v>3</v>
      </c>
      <c r="J20">
        <f>CHOOSE(F20,辅助!$C$5,辅助!$C$6,辅助!$C$7,辅助!$C$8,辅助!$C$9,辅助!$C$10,辅助!$C$11,辅助!$C$12,辅助!$C$13)</f>
        <v>1</v>
      </c>
      <c r="K20">
        <f>CHOOSE(G20,辅助!$C$5,辅助!$C$6,辅助!$C$7,辅助!$C$8,辅助!$C$9,辅助!$C$10,辅助!$C$11,辅助!$C$12,辅助!$C$13)</f>
        <v>1.25</v>
      </c>
      <c r="L20">
        <f>CHOOSE(H20,辅助!$C$5,辅助!$C$6,辅助!$C$7,辅助!$C$8,辅助!$C$9,辅助!$C$10,辅助!$C$11,辅助!$C$12,辅助!$C$13)</f>
        <v>1.5</v>
      </c>
      <c r="M20">
        <v>0.7</v>
      </c>
      <c r="N20" s="4">
        <v>3</v>
      </c>
      <c r="O20" s="5"/>
      <c r="P20">
        <v>1.2</v>
      </c>
      <c r="Q20">
        <v>1.5</v>
      </c>
      <c r="S20">
        <v>0.2</v>
      </c>
    </row>
    <row r="21" customFormat="1" spans="1:19">
      <c r="A21">
        <v>302</v>
      </c>
      <c r="B21" s="1" t="str">
        <f t="shared" si="1"/>
        <v>21*4.2</v>
      </c>
      <c r="C21" t="str">
        <f t="shared" si="2"/>
        <v>14#4#7.5*1.5|28#5#7.2*1.4|44#6#6.9*1.3</v>
      </c>
      <c r="E21" s="3">
        <v>40</v>
      </c>
      <c r="F21">
        <v>4</v>
      </c>
      <c r="G21">
        <v>5</v>
      </c>
      <c r="H21">
        <v>6</v>
      </c>
      <c r="J21">
        <f>CHOOSE(F21,辅助!$C$5,辅助!$C$6,辅助!$C$7,辅助!$C$8,辅助!$C$9,辅助!$C$10,辅助!$C$11,辅助!$C$12,辅助!$C$13)</f>
        <v>2</v>
      </c>
      <c r="K21">
        <f>CHOOSE(G21,辅助!$C$5,辅助!$C$6,辅助!$C$7,辅助!$C$8,辅助!$C$9,辅助!$C$10,辅助!$C$11,辅助!$C$12,辅助!$C$13)</f>
        <v>2.5</v>
      </c>
      <c r="L21">
        <f>CHOOSE(H21,辅助!$C$5,辅助!$C$6,辅助!$C$7,辅助!$C$8,辅助!$C$9,辅助!$C$10,辅助!$C$11,辅助!$C$12,辅助!$C$13)</f>
        <v>3.25</v>
      </c>
      <c r="M21">
        <v>0.7</v>
      </c>
      <c r="N21" s="4">
        <v>15</v>
      </c>
      <c r="O21" s="5"/>
      <c r="P21">
        <v>1.2</v>
      </c>
      <c r="Q21">
        <v>1.5</v>
      </c>
      <c r="S21">
        <v>0.2</v>
      </c>
    </row>
    <row r="22" customFormat="1" spans="1:19">
      <c r="A22">
        <v>303</v>
      </c>
      <c r="B22" s="1" t="str">
        <f t="shared" si="1"/>
        <v>42*8.5</v>
      </c>
      <c r="C22" t="str">
        <f t="shared" si="2"/>
        <v>17#7#8.5*1.7|35#8#8*1.6|55#9#7.5*1.5</v>
      </c>
      <c r="E22" s="3">
        <v>50</v>
      </c>
      <c r="F22">
        <v>7</v>
      </c>
      <c r="G22">
        <v>8</v>
      </c>
      <c r="H22">
        <v>9</v>
      </c>
      <c r="J22">
        <f>CHOOSE(F22,辅助!$C$5,辅助!$C$6,辅助!$C$7,辅助!$C$8,辅助!$C$9,辅助!$C$10,辅助!$C$11,辅助!$C$12,辅助!$C$13)</f>
        <v>3.5</v>
      </c>
      <c r="K22">
        <f>CHOOSE(G22,辅助!$C$5,辅助!$C$6,辅助!$C$7,辅助!$C$8,辅助!$C$9,辅助!$C$10,辅助!$C$11,辅助!$C$12,辅助!$C$13)</f>
        <v>4.5</v>
      </c>
      <c r="L22">
        <f>CHOOSE(H22,辅助!$C$5,辅助!$C$6,辅助!$C$7,辅助!$C$8,辅助!$C$9,辅助!$C$10,辅助!$C$11,辅助!$C$12,辅助!$C$13)</f>
        <v>6</v>
      </c>
      <c r="M22">
        <v>0.7</v>
      </c>
      <c r="N22" s="4">
        <v>30</v>
      </c>
      <c r="O22" s="5"/>
      <c r="P22">
        <v>1.2</v>
      </c>
      <c r="Q22">
        <v>1.5</v>
      </c>
      <c r="S22">
        <v>0.2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4"/>
  <sheetViews>
    <sheetView topLeftCell="A22" workbookViewId="0">
      <selection activeCell="B36" sqref="B36"/>
    </sheetView>
  </sheetViews>
  <sheetFormatPr defaultColWidth="9" defaultRowHeight="13.5"/>
  <cols>
    <col min="2" max="2" width="70.25" customWidth="1"/>
    <col min="3" max="3" width="29.25" customWidth="1"/>
    <col min="4" max="4" width="27.625" customWidth="1"/>
  </cols>
  <sheetData>
    <row r="1" spans="8:12">
      <c r="H1" s="1"/>
      <c r="I1" s="1"/>
      <c r="J1" s="1"/>
      <c r="K1" s="1"/>
      <c r="L1" s="1"/>
    </row>
    <row r="2" spans="11:11">
      <c r="K2" s="1"/>
    </row>
    <row r="3" spans="11:11">
      <c r="K3" s="1"/>
    </row>
    <row r="4" spans="8:12">
      <c r="H4" s="1"/>
      <c r="K4" s="1"/>
      <c r="L4" s="1"/>
    </row>
    <row r="5" spans="8:12">
      <c r="H5" s="1"/>
      <c r="K5" s="1"/>
      <c r="L5" s="1"/>
    </row>
    <row r="6" spans="11:12">
      <c r="K6" s="1"/>
      <c r="L6" s="1"/>
    </row>
    <row r="7" spans="11:12">
      <c r="K7" s="1"/>
      <c r="L7" s="1"/>
    </row>
    <row r="8" spans="8:12">
      <c r="H8" s="1"/>
      <c r="I8" s="1"/>
      <c r="J8" s="1"/>
      <c r="K8" s="1"/>
      <c r="L8" s="1"/>
    </row>
    <row r="9" spans="10:12">
      <c r="J9" s="1"/>
      <c r="K9" s="1" t="s">
        <v>219</v>
      </c>
      <c r="L9" s="1" t="s">
        <v>220</v>
      </c>
    </row>
    <row r="10" spans="10:12">
      <c r="J10" s="1"/>
      <c r="K10" s="1">
        <v>529</v>
      </c>
      <c r="L10" s="1">
        <v>530</v>
      </c>
    </row>
    <row r="11" spans="8:12">
      <c r="H11" s="1"/>
      <c r="I11" s="1"/>
      <c r="J11" s="1"/>
      <c r="K11" s="1"/>
      <c r="L11" s="1"/>
    </row>
    <row r="12" spans="8:12">
      <c r="H12" s="1"/>
      <c r="I12" s="1"/>
      <c r="J12" s="1"/>
      <c r="K12" s="1"/>
      <c r="L12" s="1"/>
    </row>
    <row r="13" spans="8:12">
      <c r="H13" s="1" t="s">
        <v>221</v>
      </c>
      <c r="I13" s="1"/>
      <c r="J13" s="1"/>
      <c r="K13" s="1"/>
      <c r="L13" s="1"/>
    </row>
    <row r="14" spans="8:12">
      <c r="H14" s="1">
        <v>565</v>
      </c>
      <c r="I14" s="1"/>
      <c r="J14" s="1"/>
      <c r="K14" s="1"/>
      <c r="L14" s="1"/>
    </row>
    <row r="15" spans="8:12">
      <c r="H15" s="1"/>
      <c r="I15" s="1"/>
      <c r="J15" s="1"/>
      <c r="K15" s="1"/>
      <c r="L15" s="1"/>
    </row>
    <row r="16" spans="8:12">
      <c r="H16" s="1" t="s">
        <v>222</v>
      </c>
      <c r="I16" s="1"/>
      <c r="J16" s="1"/>
      <c r="K16" s="1"/>
      <c r="L16" s="1"/>
    </row>
    <row r="17" spans="8:12">
      <c r="H17" s="1">
        <v>563</v>
      </c>
      <c r="I17" s="1"/>
      <c r="J17" s="1"/>
      <c r="K17" s="1"/>
      <c r="L17" s="1"/>
    </row>
    <row r="18" spans="8:12">
      <c r="H18" s="1"/>
      <c r="I18" s="1"/>
      <c r="J18" s="1"/>
      <c r="K18" s="1"/>
      <c r="L18" s="1"/>
    </row>
    <row r="19" spans="8:12">
      <c r="H19" s="1" t="s">
        <v>223</v>
      </c>
      <c r="J19" s="1"/>
      <c r="K19" s="1" t="s">
        <v>224</v>
      </c>
      <c r="L19" s="1" t="s">
        <v>225</v>
      </c>
    </row>
    <row r="20" spans="8:12">
      <c r="H20" s="1">
        <v>571</v>
      </c>
      <c r="J20" s="1"/>
      <c r="K20" s="1">
        <v>568</v>
      </c>
      <c r="L20" s="1">
        <v>567</v>
      </c>
    </row>
    <row r="21" spans="8:12">
      <c r="H21" s="1"/>
      <c r="I21" s="1"/>
      <c r="J21" s="1"/>
      <c r="K21" s="1"/>
      <c r="L21" s="1"/>
    </row>
    <row r="22" spans="8:12">
      <c r="H22" s="1"/>
      <c r="I22" s="1"/>
      <c r="J22" s="1"/>
      <c r="K22" s="1"/>
      <c r="L22" s="1"/>
    </row>
    <row r="23" spans="8:12">
      <c r="H23" s="1"/>
      <c r="I23" s="1"/>
      <c r="J23" s="1"/>
      <c r="K23" s="1"/>
      <c r="L23" s="1"/>
    </row>
    <row r="24" spans="6:12">
      <c r="F24" s="1" t="s">
        <v>226</v>
      </c>
      <c r="G24" s="1" t="s">
        <v>227</v>
      </c>
      <c r="H24" s="1" t="s">
        <v>228</v>
      </c>
      <c r="I24" s="1" t="s">
        <v>229</v>
      </c>
      <c r="J24" s="1" t="s">
        <v>230</v>
      </c>
      <c r="K24" s="1" t="s">
        <v>231</v>
      </c>
      <c r="L24" t="s">
        <v>232</v>
      </c>
    </row>
    <row r="25" spans="1:12">
      <c r="A25">
        <v>1</v>
      </c>
      <c r="B25" t="s">
        <v>233</v>
      </c>
      <c r="F25" s="1">
        <v>516</v>
      </c>
      <c r="G25" s="1">
        <v>103</v>
      </c>
      <c r="H25" s="1">
        <v>181</v>
      </c>
      <c r="I25" s="1">
        <v>147</v>
      </c>
      <c r="J25" s="1">
        <v>151</v>
      </c>
      <c r="K25" s="1">
        <v>149</v>
      </c>
      <c r="L25">
        <v>212</v>
      </c>
    </row>
    <row r="26" spans="1:2">
      <c r="A26">
        <v>2</v>
      </c>
      <c r="B26" t="s">
        <v>233</v>
      </c>
    </row>
    <row r="27" spans="1:2">
      <c r="A27">
        <v>3</v>
      </c>
      <c r="B27" t="s">
        <v>234</v>
      </c>
    </row>
    <row r="28" spans="1:11">
      <c r="A28">
        <v>4</v>
      </c>
      <c r="B28" t="s">
        <v>234</v>
      </c>
      <c r="F28" s="1" t="s">
        <v>235</v>
      </c>
      <c r="G28" s="1" t="s">
        <v>236</v>
      </c>
      <c r="H28" s="1" t="s">
        <v>237</v>
      </c>
      <c r="I28" s="1" t="s">
        <v>238</v>
      </c>
      <c r="J28" s="1" t="s">
        <v>239</v>
      </c>
      <c r="K28" s="1" t="s">
        <v>240</v>
      </c>
    </row>
    <row r="29" spans="1:11">
      <c r="A29">
        <v>5</v>
      </c>
      <c r="B29" t="s">
        <v>234</v>
      </c>
      <c r="F29" s="1">
        <v>143</v>
      </c>
      <c r="G29" s="1">
        <v>142</v>
      </c>
      <c r="H29" s="1">
        <v>905</v>
      </c>
      <c r="I29" s="1">
        <v>527</v>
      </c>
      <c r="J29" s="1">
        <v>528</v>
      </c>
      <c r="K29" s="1">
        <v>509</v>
      </c>
    </row>
    <row r="30" spans="1:2">
      <c r="A30">
        <v>6</v>
      </c>
      <c r="B30" t="s">
        <v>241</v>
      </c>
    </row>
    <row r="31" spans="1:2">
      <c r="A31">
        <v>1</v>
      </c>
      <c r="B31" t="s">
        <v>241</v>
      </c>
    </row>
    <row r="32" spans="1:2">
      <c r="A32">
        <v>2</v>
      </c>
      <c r="B32" t="s">
        <v>241</v>
      </c>
    </row>
    <row r="33" spans="1:2">
      <c r="A33">
        <v>3</v>
      </c>
      <c r="B33" t="s">
        <v>241</v>
      </c>
    </row>
    <row r="34" spans="1:2">
      <c r="A34">
        <v>4</v>
      </c>
      <c r="B34" t="s">
        <v>241</v>
      </c>
    </row>
    <row r="35" spans="1:2">
      <c r="A35">
        <v>5</v>
      </c>
      <c r="B35" t="s">
        <v>241</v>
      </c>
    </row>
    <row r="36" spans="1:2">
      <c r="A36">
        <v>6</v>
      </c>
      <c r="B36" t="s">
        <v>241</v>
      </c>
    </row>
    <row r="37" spans="1:2">
      <c r="A37">
        <v>1</v>
      </c>
      <c r="B37" t="s">
        <v>242</v>
      </c>
    </row>
    <row r="38" spans="1:2">
      <c r="A38">
        <v>2</v>
      </c>
      <c r="B38" t="s">
        <v>242</v>
      </c>
    </row>
    <row r="39" spans="1:2">
      <c r="A39">
        <v>3</v>
      </c>
      <c r="B39" t="s">
        <v>242</v>
      </c>
    </row>
    <row r="40" spans="1:2">
      <c r="A40">
        <v>4</v>
      </c>
      <c r="B40" t="s">
        <v>242</v>
      </c>
    </row>
    <row r="41" spans="1:2">
      <c r="A41">
        <v>5</v>
      </c>
      <c r="B41" t="s">
        <v>242</v>
      </c>
    </row>
    <row r="42" spans="1:2">
      <c r="A42">
        <v>6</v>
      </c>
      <c r="B42" t="s">
        <v>242</v>
      </c>
    </row>
    <row r="43" spans="1:2">
      <c r="A43">
        <v>1</v>
      </c>
      <c r="B43" t="s">
        <v>243</v>
      </c>
    </row>
    <row r="44" spans="1:2">
      <c r="A44">
        <v>2</v>
      </c>
      <c r="B44" t="s">
        <v>243</v>
      </c>
    </row>
    <row r="45" spans="1:2">
      <c r="A45">
        <v>3</v>
      </c>
      <c r="B45" t="s">
        <v>243</v>
      </c>
    </row>
    <row r="46" spans="1:2">
      <c r="A46">
        <v>4</v>
      </c>
      <c r="B46" t="s">
        <v>243</v>
      </c>
    </row>
    <row r="47" spans="1:2">
      <c r="A47">
        <v>5</v>
      </c>
      <c r="B47" t="s">
        <v>243</v>
      </c>
    </row>
    <row r="48" spans="1:2">
      <c r="A48">
        <v>6</v>
      </c>
      <c r="B48" t="s">
        <v>243</v>
      </c>
    </row>
    <row r="49" spans="1:2">
      <c r="A49">
        <v>1</v>
      </c>
      <c r="B49" t="s">
        <v>244</v>
      </c>
    </row>
    <row r="50" spans="1:2">
      <c r="A50">
        <v>2</v>
      </c>
      <c r="B50" t="s">
        <v>244</v>
      </c>
    </row>
    <row r="51" spans="1:2">
      <c r="A51">
        <v>3</v>
      </c>
      <c r="B51" t="s">
        <v>244</v>
      </c>
    </row>
    <row r="52" spans="1:2">
      <c r="A52">
        <v>4</v>
      </c>
      <c r="B52" t="s">
        <v>244</v>
      </c>
    </row>
    <row r="53" spans="1:2">
      <c r="A53">
        <v>5</v>
      </c>
      <c r="B53" t="s">
        <v>244</v>
      </c>
    </row>
    <row r="54" spans="1:2">
      <c r="A54">
        <v>6</v>
      </c>
      <c r="B54" t="s">
        <v>244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Dungeon</vt:lpstr>
      <vt:lpstr>辅助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NINGMEI</cp:lastModifiedBy>
  <dcterms:created xsi:type="dcterms:W3CDTF">2020-12-02T08:05:00Z</dcterms:created>
  <dcterms:modified xsi:type="dcterms:W3CDTF">2024-12-19T11:23:32Z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75CE62447A8D49DB861B7CF122A6DD81</vt:lpwstr>
  </property>
</Properties>
</file>