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Fight" sheetId="1" r:id="rId1"/>
    <sheet name="链接表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A3" authorId="0">
      <text>
        <r>
          <rPr>
            <sz val="9"/>
            <rFont val="宋体"/>
            <charset val="134"/>
          </rPr>
          <t>农民X秒搬运一次金矿</t>
        </r>
      </text>
    </comment>
    <comment ref="B3" authorId="0">
      <text>
        <r>
          <rPr>
            <sz val="9"/>
            <rFont val="宋体"/>
            <charset val="134"/>
          </rPr>
          <t>100:50:20
100-51：一个资源
50-21：一个资源
20以下：一个资源</t>
        </r>
      </text>
    </comment>
    <comment ref="D3" authorId="0">
      <text>
        <r>
          <rPr>
            <sz val="9"/>
            <rFont val="宋体"/>
            <charset val="134"/>
          </rPr>
          <t>单位时间恢复矿石量</t>
        </r>
      </text>
    </comment>
    <comment ref="H3" authorId="0">
      <text>
        <r>
          <rPr>
            <sz val="9"/>
            <rFont val="宋体"/>
            <charset val="134"/>
          </rPr>
          <t>可以购买3个英雄
第一个|第二个|第三个</t>
        </r>
      </text>
    </comment>
    <comment ref="M3" authorId="0">
      <text>
        <r>
          <rPr>
            <sz val="9"/>
            <rFont val="宋体"/>
            <charset val="134"/>
          </rPr>
          <t>加成只针对英雄白字百分比
如：英雄白字生命1000，参数为0.2
，则升1级提升1000*0.2=200</t>
        </r>
      </text>
    </comment>
    <comment ref="O3" authorId="0">
      <text>
        <r>
          <rPr>
            <sz val="9"/>
            <rFont val="宋体"/>
            <charset val="134"/>
          </rPr>
          <t>购买士兵上限消耗</t>
        </r>
      </text>
    </comment>
    <comment ref="P3" authorId="0">
      <text>
        <r>
          <rPr>
            <sz val="9"/>
            <rFont val="宋体"/>
            <charset val="134"/>
          </rPr>
          <t>该值+StarNum=关卡初始英雄士兵总数量</t>
        </r>
      </text>
    </comment>
    <comment ref="Q3" authorId="0">
      <text>
        <r>
          <rPr>
            <sz val="9"/>
            <rFont val="宋体"/>
            <charset val="134"/>
          </rPr>
          <t>该值+StarNum=关卡初始英雄士兵总数量</t>
        </r>
      </text>
    </comment>
    <comment ref="S3" authorId="0">
      <text>
        <r>
          <rPr>
            <sz val="9"/>
            <rFont val="宋体"/>
            <charset val="134"/>
          </rPr>
          <t>恢复一个士兵的时间，单位毫秒</t>
        </r>
      </text>
    </comment>
    <comment ref="V3" authorId="0">
      <text>
        <r>
          <rPr>
            <sz val="9"/>
            <rFont val="宋体"/>
            <charset val="134"/>
          </rPr>
          <t>20（消耗*复活剩余时间，时间以秒向上取整，如3.5秒，则食物和金矿均需要80）</t>
        </r>
      </text>
    </comment>
    <comment ref="W3" authorId="0">
      <text>
        <r>
          <rPr>
            <sz val="9"/>
            <rFont val="宋体"/>
            <charset val="134"/>
          </rPr>
          <t xml:space="preserve">通关
100未基地通关血量
0为英雄阵亡次数
</t>
        </r>
      </text>
    </comment>
    <comment ref="X3" authorId="0">
      <text>
        <r>
          <rPr>
            <sz val="9"/>
            <rFont val="宋体"/>
            <charset val="134"/>
          </rPr>
          <t>每个怪出现间隔</t>
        </r>
      </text>
    </comment>
    <comment ref="Y3" authorId="0">
      <text>
        <r>
          <rPr>
            <sz val="9"/>
            <rFont val="宋体"/>
            <charset val="134"/>
          </rPr>
          <t>多个BOSS时，每个出怪间隔</t>
        </r>
      </text>
    </comment>
    <comment ref="AA3" authorId="0">
      <text>
        <r>
          <rPr>
            <sz val="9"/>
            <rFont val="宋体"/>
            <charset val="134"/>
          </rPr>
          <t>提前出怪，每秒/金币
向下取整</t>
        </r>
      </text>
    </comment>
    <comment ref="AB3" authorId="0">
      <text>
        <r>
          <rPr>
            <sz val="9"/>
            <rFont val="宋体"/>
            <charset val="134"/>
          </rPr>
          <t>提前出怪时间完毕或进行提前出怪，还需要走完准备时间才出怪</t>
        </r>
      </text>
    </comment>
    <comment ref="AC3" authorId="0">
      <text>
        <r>
          <rPr>
            <sz val="9"/>
            <rFont val="宋体"/>
            <charset val="134"/>
          </rPr>
          <t>开启宝箱怪奖励的时间</t>
        </r>
      </text>
    </comment>
    <comment ref="AD3" authorId="0">
      <text>
        <r>
          <rPr>
            <sz val="9"/>
            <rFont val="宋体"/>
            <charset val="134"/>
          </rPr>
          <t>到了出怪波数后X秒再出BOSS</t>
        </r>
      </text>
    </comment>
    <comment ref="AR3" authorId="0">
      <text>
        <r>
          <rPr>
            <sz val="9"/>
            <rFont val="宋体"/>
            <charset val="134"/>
          </rPr>
          <t>包含复活和召唤时初始能量</t>
        </r>
      </text>
    </comment>
  </commentList>
</comments>
</file>

<file path=xl/comments2.xml><?xml version="1.0" encoding="utf-8"?>
<comments xmlns="http://schemas.openxmlformats.org/spreadsheetml/2006/main">
  <authors>
    <author>NINGMEI</author>
  </authors>
  <commentList>
    <comment ref="B3" authorId="0">
      <text>
        <r>
          <rPr>
            <sz val="9"/>
            <rFont val="宋体"/>
            <charset val="134"/>
          </rPr>
          <t>单位时间恢复矿石量</t>
        </r>
      </text>
    </comment>
    <comment ref="D3" authorId="0">
      <text>
        <r>
          <rPr>
            <sz val="9"/>
            <rFont val="宋体"/>
            <charset val="134"/>
          </rPr>
          <t>可以购买3个英雄
第一个|第二个|第三个</t>
        </r>
      </text>
    </comment>
    <comment ref="I3" authorId="0">
      <text>
        <r>
          <rPr>
            <sz val="9"/>
            <rFont val="宋体"/>
            <charset val="134"/>
          </rPr>
          <t>加成只针对英雄白字百分比
如：英雄白字生命1000，参数为0.2
，则升1级提升1000*0.2=200</t>
        </r>
      </text>
    </comment>
    <comment ref="J3" authorId="0">
      <text>
        <r>
          <rPr>
            <sz val="9"/>
            <rFont val="宋体"/>
            <charset val="134"/>
          </rPr>
          <t>购买士兵上限消耗</t>
        </r>
      </text>
    </comment>
    <comment ref="K3" authorId="0">
      <text>
        <r>
          <rPr>
            <sz val="9"/>
            <rFont val="宋体"/>
            <charset val="134"/>
          </rPr>
          <t>该值+StarNum=关卡初始英雄士兵总数量</t>
        </r>
      </text>
    </comment>
    <comment ref="L3" authorId="0">
      <text>
        <r>
          <rPr>
            <sz val="9"/>
            <rFont val="宋体"/>
            <charset val="134"/>
          </rPr>
          <t>该值+StarNum=关卡初始英雄士兵总数量</t>
        </r>
      </text>
    </comment>
    <comment ref="N3" authorId="0">
      <text>
        <r>
          <rPr>
            <sz val="9"/>
            <rFont val="宋体"/>
            <charset val="134"/>
          </rPr>
          <t>恢复一个士兵的时间，单位毫秒</t>
        </r>
      </text>
    </comment>
    <comment ref="Q3" authorId="0">
      <text>
        <r>
          <rPr>
            <sz val="9"/>
            <rFont val="宋体"/>
            <charset val="134"/>
          </rPr>
          <t>20（矿石消耗*复活剩余时间，时间以秒向上取整，如3.5秒，则需要80矿石）</t>
        </r>
      </text>
    </comment>
    <comment ref="R3" authorId="0">
      <text>
        <r>
          <rPr>
            <sz val="9"/>
            <rFont val="宋体"/>
            <charset val="134"/>
          </rPr>
          <t xml:space="preserve">通关
100未基地通关血量
0为英雄阵亡次数
</t>
        </r>
      </text>
    </comment>
    <comment ref="S3" authorId="0">
      <text>
        <r>
          <rPr>
            <sz val="9"/>
            <rFont val="宋体"/>
            <charset val="134"/>
          </rPr>
          <t>每个怪出现间隔</t>
        </r>
      </text>
    </comment>
    <comment ref="U3" authorId="0">
      <text>
        <r>
          <rPr>
            <sz val="9"/>
            <rFont val="宋体"/>
            <charset val="134"/>
          </rPr>
          <t>包含复活和召唤时初始能量</t>
        </r>
      </text>
    </comment>
  </commentList>
</comments>
</file>

<file path=xl/sharedStrings.xml><?xml version="1.0" encoding="utf-8"?>
<sst xmlns="http://schemas.openxmlformats.org/spreadsheetml/2006/main" count="228" uniqueCount="110">
  <si>
    <t>GoldUp</t>
  </si>
  <si>
    <t>Picture</t>
  </si>
  <si>
    <t>Move</t>
  </si>
  <si>
    <t>UpNum</t>
  </si>
  <si>
    <t>Star</t>
  </si>
  <si>
    <t>Worker</t>
  </si>
  <si>
    <t>WorkerNum</t>
  </si>
  <si>
    <t>HeroCost</t>
  </si>
  <si>
    <t>buildTime</t>
  </si>
  <si>
    <t>buildTime1</t>
  </si>
  <si>
    <t>HeroMax</t>
  </si>
  <si>
    <t>HeroExp</t>
  </si>
  <si>
    <t>HeroUp</t>
  </si>
  <si>
    <t>RestoreHp</t>
  </si>
  <si>
    <t>StarNum</t>
  </si>
  <si>
    <t>SoldierNum1</t>
  </si>
  <si>
    <t>SoldierNum2</t>
  </si>
  <si>
    <t>SoldierCost</t>
  </si>
  <si>
    <t>SoldierRise</t>
  </si>
  <si>
    <t>SoldierRiseCost</t>
  </si>
  <si>
    <t>HeroRise</t>
  </si>
  <si>
    <t>RiseCost</t>
  </si>
  <si>
    <t>AllStar</t>
  </si>
  <si>
    <t>Out1</t>
  </si>
  <si>
    <t>Out2</t>
  </si>
  <si>
    <t>Earlytime</t>
  </si>
  <si>
    <t>TimeGold</t>
  </si>
  <si>
    <t>OutTime</t>
  </si>
  <si>
    <t>Open</t>
  </si>
  <si>
    <t>BossTime</t>
  </si>
  <si>
    <t>Sound</t>
  </si>
  <si>
    <t>Time</t>
  </si>
  <si>
    <t>Occupy</t>
  </si>
  <si>
    <t>Lock</t>
  </si>
  <si>
    <t>Endless</t>
  </si>
  <si>
    <t>Zsjs</t>
  </si>
  <si>
    <t>Qbjs</t>
  </si>
  <si>
    <t>Gbjs</t>
  </si>
  <si>
    <t>Fbjs</t>
  </si>
  <si>
    <t>Mfjs</t>
  </si>
  <si>
    <t>Ssjs</t>
  </si>
  <si>
    <t>Mwjs</t>
  </si>
  <si>
    <t>Ysjs</t>
  </si>
  <si>
    <t>DefMana</t>
  </si>
  <si>
    <t>Mana</t>
  </si>
  <si>
    <t>ManaMax</t>
  </si>
  <si>
    <t>int</t>
  </si>
  <si>
    <t>string</t>
  </si>
  <si>
    <t>float</t>
  </si>
  <si>
    <t>金矿获取间隔</t>
  </si>
  <si>
    <t>资源进度变化</t>
  </si>
  <si>
    <t>农民移动速度</t>
  </si>
  <si>
    <t>金矿恢复数量</t>
  </si>
  <si>
    <t>金矿上限</t>
  </si>
  <si>
    <t>初始工人数量</t>
  </si>
  <si>
    <t>单区域数量</t>
  </si>
  <si>
    <t>购买英雄消耗</t>
  </si>
  <si>
    <t>基地升级时间</t>
  </si>
  <si>
    <t>普通建筑建造时间</t>
  </si>
  <si>
    <t>英雄最大等级</t>
  </si>
  <si>
    <t>英雄升级经验</t>
  </si>
  <si>
    <t>英雄升级成长系数</t>
  </si>
  <si>
    <t>英雄升级回复生命</t>
  </si>
  <si>
    <t>星级携带加成</t>
  </si>
  <si>
    <t>近战初始携带</t>
  </si>
  <si>
    <t>远程初始携带</t>
  </si>
  <si>
    <t>士兵花费</t>
  </si>
  <si>
    <t>士兵复活时间</t>
  </si>
  <si>
    <t>复活士兵消耗</t>
  </si>
  <si>
    <t>英雄复活</t>
  </si>
  <si>
    <t>复活消耗</t>
  </si>
  <si>
    <t>三星条件</t>
  </si>
  <si>
    <t>小怪出怪间隔</t>
  </si>
  <si>
    <t>BOSS出怪间隔</t>
  </si>
  <si>
    <t>提前出怪时间</t>
  </si>
  <si>
    <t>提前出怪金币</t>
  </si>
  <si>
    <t>出怪准备时间</t>
  </si>
  <si>
    <t>开启时间</t>
  </si>
  <si>
    <t>BOSS出怪延迟</t>
  </si>
  <si>
    <t>音效播放概率</t>
  </si>
  <si>
    <t>占领时间</t>
  </si>
  <si>
    <t>占领范围</t>
  </si>
  <si>
    <t>科技解锁</t>
  </si>
  <si>
    <t>无尽模式额外属性</t>
  </si>
  <si>
    <t>近战减伤</t>
  </si>
  <si>
    <t>骑兵减伤</t>
  </si>
  <si>
    <t>弓兵减伤</t>
  </si>
  <si>
    <t>飞兵减伤</t>
  </si>
  <si>
    <t>魔法减伤</t>
  </si>
  <si>
    <t>神圣减伤</t>
  </si>
  <si>
    <t>魔物减伤</t>
  </si>
  <si>
    <t>野兽减伤</t>
  </si>
  <si>
    <t>被攻击获得能量</t>
  </si>
  <si>
    <t>初始能量</t>
  </si>
  <si>
    <t>能量上限</t>
  </si>
  <si>
    <t>100|50|20|0</t>
  </si>
  <si>
    <t>150|200|300</t>
  </si>
  <si>
    <t>0|5000|5000</t>
  </si>
  <si>
    <t>2000|2000</t>
  </si>
  <si>
    <t>150|500|1000|1500</t>
  </si>
  <si>
    <t xml:space="preserve">1|100|0 </t>
  </si>
  <si>
    <t>4|50</t>
  </si>
  <si>
    <t>HeroTime</t>
  </si>
  <si>
    <t>英雄购买时间</t>
  </si>
  <si>
    <t>3000|15000|20000</t>
  </si>
  <si>
    <t>0|10000|15000</t>
  </si>
  <si>
    <t>100|300|450|600|750|900|1050|1200|1350|1500|1650|1800|1950|2100</t>
  </si>
  <si>
    <t>|</t>
  </si>
  <si>
    <t>等级</t>
  </si>
  <si>
    <t>经验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</si>
</sst>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4"/>
  <sheetViews>
    <sheetView tabSelected="1" topLeftCell="AJ1" workbookViewId="0">
      <selection activeCell="AQ11" sqref="AQ11"/>
    </sheetView>
  </sheetViews>
  <sheetFormatPr defaultColWidth="10.25" defaultRowHeight="16.5" outlineLevelRow="3"/>
  <cols>
    <col min="1" max="3" width="20.375" style="3" customWidth="1"/>
    <col min="4" max="7" width="10.25" style="3" customWidth="1"/>
    <col min="8" max="8" width="13.25" style="3" customWidth="1"/>
    <col min="9" max="9" width="17.875" style="3" customWidth="1"/>
    <col min="10" max="10" width="17" style="3" customWidth="1"/>
    <col min="11" max="11" width="10.25" style="3" customWidth="1"/>
    <col min="12" max="12" width="18.875" style="3" customWidth="1"/>
    <col min="13" max="14" width="17" style="3" customWidth="1"/>
    <col min="15" max="23" width="10.25" style="3" customWidth="1"/>
    <col min="24" max="24" width="13.25" style="3" customWidth="1"/>
    <col min="25" max="28" width="14" style="3" customWidth="1"/>
    <col min="29" max="43" width="20.25" style="3" customWidth="1"/>
    <col min="44" max="16383" width="10.25" style="3" customWidth="1"/>
    <col min="16384" max="16384" width="10.25" style="3"/>
  </cols>
  <sheetData>
    <row r="1" spans="1:47">
      <c r="A1" s="3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6" t="s">
        <v>43</v>
      </c>
      <c r="AS1" s="6" t="s">
        <v>44</v>
      </c>
      <c r="AT1" s="6" t="s">
        <v>45</v>
      </c>
      <c r="AU1" s="6" t="s">
        <v>45</v>
      </c>
    </row>
    <row r="2" spans="1:47">
      <c r="A2" s="5" t="s">
        <v>46</v>
      </c>
      <c r="B2" s="3" t="s">
        <v>47</v>
      </c>
      <c r="C2" s="5" t="s">
        <v>46</v>
      </c>
      <c r="D2" s="5" t="s">
        <v>46</v>
      </c>
      <c r="E2" s="5" t="s">
        <v>46</v>
      </c>
      <c r="F2" s="5" t="s">
        <v>46</v>
      </c>
      <c r="G2" s="5" t="s">
        <v>46</v>
      </c>
      <c r="H2" s="3" t="s">
        <v>47</v>
      </c>
      <c r="I2" s="3" t="s">
        <v>47</v>
      </c>
      <c r="J2" s="3" t="s">
        <v>47</v>
      </c>
      <c r="K2" s="3" t="s">
        <v>46</v>
      </c>
      <c r="L2" s="5" t="s">
        <v>47</v>
      </c>
      <c r="M2" s="5" t="s">
        <v>48</v>
      </c>
      <c r="N2" s="5" t="s">
        <v>48</v>
      </c>
      <c r="O2" s="5" t="s">
        <v>46</v>
      </c>
      <c r="P2" s="5" t="s">
        <v>46</v>
      </c>
      <c r="Q2" s="5" t="s">
        <v>46</v>
      </c>
      <c r="R2" s="5" t="s">
        <v>46</v>
      </c>
      <c r="S2" s="5" t="s">
        <v>46</v>
      </c>
      <c r="T2" s="5" t="s">
        <v>46</v>
      </c>
      <c r="U2" s="5" t="s">
        <v>46</v>
      </c>
      <c r="V2" s="5" t="s">
        <v>46</v>
      </c>
      <c r="W2" s="3" t="s">
        <v>47</v>
      </c>
      <c r="X2" s="3" t="s">
        <v>46</v>
      </c>
      <c r="Y2" s="3" t="s">
        <v>46</v>
      </c>
      <c r="Z2" s="3" t="s">
        <v>46</v>
      </c>
      <c r="AA2" s="3" t="s">
        <v>46</v>
      </c>
      <c r="AB2" s="3" t="s">
        <v>46</v>
      </c>
      <c r="AC2" s="5" t="s">
        <v>48</v>
      </c>
      <c r="AD2" s="5" t="s">
        <v>48</v>
      </c>
      <c r="AE2" s="5" t="s">
        <v>46</v>
      </c>
      <c r="AF2" s="5" t="s">
        <v>46</v>
      </c>
      <c r="AG2" s="5" t="s">
        <v>46</v>
      </c>
      <c r="AH2" s="5" t="s">
        <v>46</v>
      </c>
      <c r="AI2" s="5" t="s">
        <v>47</v>
      </c>
      <c r="AJ2" s="5" t="s">
        <v>46</v>
      </c>
      <c r="AK2" s="5" t="s">
        <v>46</v>
      </c>
      <c r="AL2" s="5" t="s">
        <v>46</v>
      </c>
      <c r="AM2" s="5" t="s">
        <v>46</v>
      </c>
      <c r="AN2" s="5" t="s">
        <v>46</v>
      </c>
      <c r="AO2" s="5" t="s">
        <v>46</v>
      </c>
      <c r="AP2" s="5" t="s">
        <v>46</v>
      </c>
      <c r="AQ2" s="5" t="s">
        <v>46</v>
      </c>
      <c r="AR2" s="7" t="s">
        <v>46</v>
      </c>
      <c r="AS2" s="7" t="s">
        <v>46</v>
      </c>
      <c r="AT2" s="6" t="s">
        <v>46</v>
      </c>
      <c r="AU2" s="6" t="s">
        <v>46</v>
      </c>
    </row>
    <row r="3" spans="1:47">
      <c r="A3" s="3" t="s">
        <v>49</v>
      </c>
      <c r="B3" s="3" t="s">
        <v>50</v>
      </c>
      <c r="C3" s="3" t="s">
        <v>51</v>
      </c>
      <c r="D3" s="1" t="s">
        <v>52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3" t="s">
        <v>60</v>
      </c>
      <c r="M3" s="3" t="s">
        <v>61</v>
      </c>
      <c r="N3" s="3" t="s">
        <v>62</v>
      </c>
      <c r="O3" s="3" t="s">
        <v>63</v>
      </c>
      <c r="P3" s="3" t="s">
        <v>64</v>
      </c>
      <c r="Q3" s="3" t="s">
        <v>65</v>
      </c>
      <c r="R3" s="3" t="s">
        <v>66</v>
      </c>
      <c r="S3" s="3" t="s">
        <v>67</v>
      </c>
      <c r="T3" s="3" t="s">
        <v>68</v>
      </c>
      <c r="U3" s="3" t="s">
        <v>69</v>
      </c>
      <c r="V3" s="3" t="s">
        <v>70</v>
      </c>
      <c r="W3" s="3" t="s">
        <v>71</v>
      </c>
      <c r="X3" s="3" t="s">
        <v>72</v>
      </c>
      <c r="Y3" s="3" t="s">
        <v>73</v>
      </c>
      <c r="Z3" s="3" t="s">
        <v>74</v>
      </c>
      <c r="AA3" s="3" t="s">
        <v>75</v>
      </c>
      <c r="AB3" s="3" t="s">
        <v>76</v>
      </c>
      <c r="AC3" s="3" t="s">
        <v>77</v>
      </c>
      <c r="AD3" s="3" t="s">
        <v>78</v>
      </c>
      <c r="AE3" s="3" t="s">
        <v>79</v>
      </c>
      <c r="AF3" s="3" t="s">
        <v>80</v>
      </c>
      <c r="AG3" s="3" t="s">
        <v>81</v>
      </c>
      <c r="AH3" s="3" t="s">
        <v>82</v>
      </c>
      <c r="AI3" s="3" t="s">
        <v>83</v>
      </c>
      <c r="AJ3" s="3" t="s">
        <v>84</v>
      </c>
      <c r="AK3" s="3" t="s">
        <v>85</v>
      </c>
      <c r="AL3" s="3" t="s">
        <v>86</v>
      </c>
      <c r="AM3" s="3" t="s">
        <v>87</v>
      </c>
      <c r="AN3" s="3" t="s">
        <v>88</v>
      </c>
      <c r="AO3" s="3" t="s">
        <v>89</v>
      </c>
      <c r="AP3" s="3" t="s">
        <v>90</v>
      </c>
      <c r="AQ3" s="3" t="s">
        <v>91</v>
      </c>
      <c r="AR3" s="6" t="s">
        <v>92</v>
      </c>
      <c r="AS3" s="6" t="s">
        <v>93</v>
      </c>
      <c r="AT3" s="6" t="s">
        <v>94</v>
      </c>
      <c r="AU3" s="6" t="s">
        <v>94</v>
      </c>
    </row>
    <row r="4" spans="1:47">
      <c r="A4" s="3">
        <v>5500</v>
      </c>
      <c r="B4" s="3" t="s">
        <v>95</v>
      </c>
      <c r="C4" s="3">
        <v>400</v>
      </c>
      <c r="D4" s="3">
        <v>10</v>
      </c>
      <c r="E4" s="3">
        <v>250000</v>
      </c>
      <c r="F4" s="3">
        <v>2</v>
      </c>
      <c r="G4" s="3">
        <v>6</v>
      </c>
      <c r="H4" s="3" t="s">
        <v>96</v>
      </c>
      <c r="I4" s="3" t="s">
        <v>97</v>
      </c>
      <c r="J4" s="3" t="s">
        <v>98</v>
      </c>
      <c r="K4" s="3">
        <v>5</v>
      </c>
      <c r="L4" s="3" t="s">
        <v>99</v>
      </c>
      <c r="M4" s="3">
        <v>0.2</v>
      </c>
      <c r="N4" s="3">
        <v>0.2</v>
      </c>
      <c r="O4" s="3">
        <v>1</v>
      </c>
      <c r="P4" s="3">
        <v>5</v>
      </c>
      <c r="Q4" s="3">
        <v>5</v>
      </c>
      <c r="R4" s="3">
        <v>100</v>
      </c>
      <c r="S4" s="3">
        <v>10000</v>
      </c>
      <c r="T4" s="3">
        <v>20</v>
      </c>
      <c r="U4" s="3">
        <v>30000</v>
      </c>
      <c r="V4" s="3">
        <v>20</v>
      </c>
      <c r="W4" s="3" t="s">
        <v>100</v>
      </c>
      <c r="X4" s="3">
        <v>600</v>
      </c>
      <c r="Y4" s="3">
        <v>1000</v>
      </c>
      <c r="Z4" s="3">
        <v>0</v>
      </c>
      <c r="AA4" s="3">
        <v>0</v>
      </c>
      <c r="AB4" s="3">
        <v>0</v>
      </c>
      <c r="AC4" s="3">
        <v>2.5</v>
      </c>
      <c r="AD4" s="3">
        <v>1.5</v>
      </c>
      <c r="AE4" s="3">
        <v>50</v>
      </c>
      <c r="AF4" s="3">
        <v>0</v>
      </c>
      <c r="AG4" s="3">
        <v>1500</v>
      </c>
      <c r="AH4" s="3">
        <v>14</v>
      </c>
      <c r="AI4" s="3" t="s">
        <v>101</v>
      </c>
      <c r="AJ4" s="3">
        <v>200011</v>
      </c>
      <c r="AK4" s="3">
        <v>200021</v>
      </c>
      <c r="AL4" s="3">
        <v>200031</v>
      </c>
      <c r="AM4" s="3">
        <v>200041</v>
      </c>
      <c r="AN4" s="3">
        <v>200051</v>
      </c>
      <c r="AO4" s="3">
        <v>200061</v>
      </c>
      <c r="AP4" s="3">
        <v>200071</v>
      </c>
      <c r="AQ4" s="3">
        <v>200081</v>
      </c>
      <c r="AR4" s="6">
        <v>5</v>
      </c>
      <c r="AS4" s="6">
        <v>50</v>
      </c>
      <c r="AT4" s="6">
        <v>100</v>
      </c>
      <c r="AU4" s="6">
        <v>100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"/>
  <sheetViews>
    <sheetView workbookViewId="0">
      <selection activeCell="H4" sqref="H4"/>
    </sheetView>
  </sheetViews>
  <sheetFormatPr defaultColWidth="10.25" defaultRowHeight="16.5" outlineLevelRow="3"/>
  <cols>
    <col min="1" max="7" width="10.25" style="3" customWidth="1"/>
    <col min="8" max="8" width="16.25" style="3" customWidth="1"/>
    <col min="9" max="9" width="17" style="3" customWidth="1"/>
    <col min="10" max="16383" width="10.25" style="3" customWidth="1"/>
    <col min="16384" max="16384" width="10.25" style="3"/>
  </cols>
  <sheetData>
    <row r="1" s="3" customFormat="1" spans="1:24">
      <c r="A1" s="3" t="s">
        <v>0</v>
      </c>
      <c r="B1" s="3" t="s">
        <v>3</v>
      </c>
      <c r="C1" s="1" t="s">
        <v>4</v>
      </c>
      <c r="D1" s="4" t="s">
        <v>7</v>
      </c>
      <c r="E1" s="4" t="s">
        <v>102</v>
      </c>
      <c r="F1" s="4" t="s">
        <v>8</v>
      </c>
      <c r="G1" s="4" t="s">
        <v>10</v>
      </c>
      <c r="H1" s="3" t="s">
        <v>11</v>
      </c>
      <c r="I1" s="3" t="s">
        <v>12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6" t="s">
        <v>43</v>
      </c>
      <c r="V1" s="6" t="s">
        <v>44</v>
      </c>
      <c r="W1" s="6" t="s">
        <v>45</v>
      </c>
      <c r="X1" s="6" t="s">
        <v>45</v>
      </c>
    </row>
    <row r="2" s="3" customFormat="1" spans="1:24">
      <c r="A2" s="5" t="s">
        <v>46</v>
      </c>
      <c r="B2" s="5" t="s">
        <v>46</v>
      </c>
      <c r="C2" s="5" t="s">
        <v>46</v>
      </c>
      <c r="D2" s="3" t="s">
        <v>47</v>
      </c>
      <c r="E2" s="3" t="s">
        <v>47</v>
      </c>
      <c r="F2" s="3" t="s">
        <v>47</v>
      </c>
      <c r="G2" s="3" t="s">
        <v>46</v>
      </c>
      <c r="H2" s="5" t="s">
        <v>47</v>
      </c>
      <c r="I2" s="5" t="s">
        <v>48</v>
      </c>
      <c r="J2" s="5" t="s">
        <v>46</v>
      </c>
      <c r="K2" s="5" t="s">
        <v>46</v>
      </c>
      <c r="L2" s="5" t="s">
        <v>46</v>
      </c>
      <c r="M2" s="5" t="s">
        <v>46</v>
      </c>
      <c r="N2" s="5" t="s">
        <v>46</v>
      </c>
      <c r="O2" s="5" t="s">
        <v>46</v>
      </c>
      <c r="P2" s="5" t="s">
        <v>46</v>
      </c>
      <c r="Q2" s="5" t="s">
        <v>46</v>
      </c>
      <c r="R2" s="3" t="s">
        <v>47</v>
      </c>
      <c r="S2" s="3" t="s">
        <v>46</v>
      </c>
      <c r="T2" s="3" t="s">
        <v>46</v>
      </c>
      <c r="U2" s="7" t="s">
        <v>46</v>
      </c>
      <c r="V2" s="7" t="s">
        <v>46</v>
      </c>
      <c r="W2" s="6" t="s">
        <v>46</v>
      </c>
      <c r="X2" s="6" t="s">
        <v>46</v>
      </c>
    </row>
    <row r="3" s="3" customFormat="1" spans="1:24">
      <c r="A3" s="3" t="s">
        <v>49</v>
      </c>
      <c r="B3" s="1" t="s">
        <v>52</v>
      </c>
      <c r="C3" s="1" t="s">
        <v>53</v>
      </c>
      <c r="D3" s="1" t="s">
        <v>56</v>
      </c>
      <c r="E3" s="1" t="s">
        <v>103</v>
      </c>
      <c r="F3" s="1" t="s">
        <v>57</v>
      </c>
      <c r="G3" s="1" t="s">
        <v>59</v>
      </c>
      <c r="H3" s="3" t="s">
        <v>60</v>
      </c>
      <c r="I3" s="3" t="s">
        <v>61</v>
      </c>
      <c r="J3" s="3" t="s">
        <v>63</v>
      </c>
      <c r="K3" s="3" t="s">
        <v>64</v>
      </c>
      <c r="L3" s="3" t="s">
        <v>65</v>
      </c>
      <c r="M3" s="3" t="s">
        <v>66</v>
      </c>
      <c r="N3" s="3" t="s">
        <v>67</v>
      </c>
      <c r="O3" s="3" t="s">
        <v>68</v>
      </c>
      <c r="P3" s="3" t="s">
        <v>69</v>
      </c>
      <c r="Q3" s="3" t="s">
        <v>70</v>
      </c>
      <c r="R3" s="3" t="s">
        <v>71</v>
      </c>
      <c r="S3" s="3" t="s">
        <v>72</v>
      </c>
      <c r="T3" s="3" t="s">
        <v>73</v>
      </c>
      <c r="U3" s="6" t="s">
        <v>92</v>
      </c>
      <c r="V3" s="6" t="s">
        <v>93</v>
      </c>
      <c r="W3" s="6" t="s">
        <v>94</v>
      </c>
      <c r="X3" s="6" t="s">
        <v>94</v>
      </c>
    </row>
    <row r="4" s="3" customFormat="1" spans="1:24">
      <c r="A4" s="3">
        <v>5000</v>
      </c>
      <c r="B4" s="3">
        <v>10</v>
      </c>
      <c r="C4" s="3">
        <v>1500</v>
      </c>
      <c r="D4" s="3" t="s">
        <v>96</v>
      </c>
      <c r="E4" s="3" t="s">
        <v>104</v>
      </c>
      <c r="F4" s="3" t="s">
        <v>105</v>
      </c>
      <c r="G4" s="3">
        <v>15</v>
      </c>
      <c r="H4" s="3" t="s">
        <v>106</v>
      </c>
      <c r="I4" s="3">
        <v>0.25</v>
      </c>
      <c r="J4" s="3">
        <v>2</v>
      </c>
      <c r="K4" s="3">
        <v>4</v>
      </c>
      <c r="L4" s="3">
        <v>3</v>
      </c>
      <c r="M4" s="3">
        <v>70</v>
      </c>
      <c r="N4" s="3">
        <v>10000</v>
      </c>
      <c r="O4" s="3">
        <v>20</v>
      </c>
      <c r="P4" s="3">
        <v>30000</v>
      </c>
      <c r="Q4" s="3">
        <v>20</v>
      </c>
      <c r="R4" s="3" t="s">
        <v>100</v>
      </c>
      <c r="S4" s="3">
        <v>1000</v>
      </c>
      <c r="T4" s="3">
        <v>1200</v>
      </c>
      <c r="U4" s="6">
        <v>5</v>
      </c>
      <c r="V4" s="6">
        <v>50</v>
      </c>
      <c r="W4" s="6">
        <v>100</v>
      </c>
      <c r="X4" s="6">
        <v>100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F5" sqref="F5"/>
    </sheetView>
  </sheetViews>
  <sheetFormatPr defaultColWidth="9" defaultRowHeight="16.5" outlineLevelCol="5"/>
  <cols>
    <col min="1" max="16384" width="9" style="1"/>
  </cols>
  <sheetData>
    <row r="1" spans="2:6">
      <c r="B1" s="1">
        <v>1.5</v>
      </c>
      <c r="C1" s="1" t="s">
        <v>107</v>
      </c>
      <c r="F1" s="2" t="str">
        <f>B3&amp;C1&amp;B4&amp;C1&amp;B5&amp;C1&amp;B6&amp;C1&amp;B7&amp;C1&amp;B8&amp;C1&amp;B9&amp;C1&amp;B10&amp;C1&amp;B11&amp;C1&amp;B12&amp;C1&amp;B13&amp;C1&amp;B14&amp;C1&amp;B15&amp;C1&amp;B16</f>
        <v>200|500|1000|1500|1500|1800|2100|2400|2700|3000|3300|3600|3900|4200</v>
      </c>
    </row>
    <row r="2" spans="1:2">
      <c r="A2" s="1" t="s">
        <v>108</v>
      </c>
      <c r="B2" s="1" t="s">
        <v>109</v>
      </c>
    </row>
    <row r="3" spans="1:3">
      <c r="A3" s="1">
        <v>1</v>
      </c>
      <c r="B3" s="1">
        <v>200</v>
      </c>
      <c r="C3" s="1">
        <v>2</v>
      </c>
    </row>
    <row r="4" spans="1:3">
      <c r="A4" s="1">
        <v>2</v>
      </c>
      <c r="B4" s="1">
        <v>500</v>
      </c>
      <c r="C4" s="1">
        <v>3</v>
      </c>
    </row>
    <row r="5" spans="1:6">
      <c r="A5" s="1">
        <v>3</v>
      </c>
      <c r="B5" s="1">
        <v>1000</v>
      </c>
      <c r="C5" s="1">
        <v>4</v>
      </c>
      <c r="F5" s="2" t="str">
        <f>B3&amp;C1&amp;B4&amp;C1&amp;B5&amp;C1&amp;B6</f>
        <v>200|500|1000|1500</v>
      </c>
    </row>
    <row r="6" spans="1:3">
      <c r="A6" s="1">
        <v>4</v>
      </c>
      <c r="B6" s="1">
        <v>1500</v>
      </c>
      <c r="C6" s="1">
        <v>5</v>
      </c>
    </row>
    <row r="7" spans="1:3">
      <c r="A7" s="1">
        <v>5</v>
      </c>
      <c r="B7" s="1">
        <f t="shared" ref="B5:B12" si="0">$B$3*$B$1*A7</f>
        <v>1500</v>
      </c>
      <c r="C7" s="1">
        <v>6</v>
      </c>
    </row>
    <row r="8" spans="1:3">
      <c r="A8" s="1">
        <v>6</v>
      </c>
      <c r="B8" s="1">
        <f t="shared" si="0"/>
        <v>1800</v>
      </c>
      <c r="C8" s="1">
        <v>7</v>
      </c>
    </row>
    <row r="9" spans="1:3">
      <c r="A9" s="1">
        <v>7</v>
      </c>
      <c r="B9" s="1">
        <f t="shared" si="0"/>
        <v>2100</v>
      </c>
      <c r="C9" s="1">
        <v>8</v>
      </c>
    </row>
    <row r="10" spans="1:3">
      <c r="A10" s="1">
        <v>8</v>
      </c>
      <c r="B10" s="1">
        <f t="shared" si="0"/>
        <v>2400</v>
      </c>
      <c r="C10" s="1">
        <v>9</v>
      </c>
    </row>
    <row r="11" spans="1:3">
      <c r="A11" s="1">
        <v>9</v>
      </c>
      <c r="B11" s="1">
        <f t="shared" si="0"/>
        <v>2700</v>
      </c>
      <c r="C11" s="1">
        <v>10</v>
      </c>
    </row>
    <row r="12" spans="1:2">
      <c r="A12" s="1">
        <v>10</v>
      </c>
      <c r="B12" s="1">
        <f>$B$3*$B$1*A12</f>
        <v>3000</v>
      </c>
    </row>
    <row r="13" spans="1:2">
      <c r="A13" s="1">
        <v>11</v>
      </c>
      <c r="B13" s="1">
        <f>$B$3*$B$1*A13</f>
        <v>3300</v>
      </c>
    </row>
    <row r="14" spans="1:2">
      <c r="A14" s="1">
        <v>12</v>
      </c>
      <c r="B14" s="1">
        <f>$B$3*$B$1*A14</f>
        <v>3600</v>
      </c>
    </row>
    <row r="15" spans="1:2">
      <c r="A15" s="1">
        <v>13</v>
      </c>
      <c r="B15" s="1">
        <f>$B$3*$B$1*A15</f>
        <v>3900</v>
      </c>
    </row>
    <row r="16" spans="1:2">
      <c r="A16" s="1">
        <v>14</v>
      </c>
      <c r="B16" s="1">
        <f>$B$3*$B$1*A16</f>
        <v>4200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Fight</vt:lpstr>
      <vt:lpstr>链接表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芷颖之殇</cp:lastModifiedBy>
  <dcterms:created xsi:type="dcterms:W3CDTF">2023-05-12T11:15:00Z</dcterms:created>
  <dcterms:modified xsi:type="dcterms:W3CDTF">2025-05-06T11:23:04Z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