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 activeTab="1"/>
  </bookViews>
  <sheets>
    <sheet name="EquipRand" sheetId="1" r:id="rId1"/>
    <sheet name="原始数据" sheetId="3" r:id="rId2"/>
    <sheet name="Sheet2" sheetId="2" r:id="rId3"/>
  </sheets>
  <definedNames>
    <definedName name="_xlnm._FilterDatabase" localSheetId="0" hidden="1">EquipRand!#REF!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<sst xmlns="http://schemas.openxmlformats.org/spreadsheetml/2006/main" count="142" uniqueCount="94">
  <si>
    <t>RandId</t>
  </si>
  <si>
    <t>Type</t>
  </si>
  <si>
    <t>Lv10</t>
  </si>
  <si>
    <t>Lv20</t>
  </si>
  <si>
    <t>Lv30</t>
  </si>
  <si>
    <t>Lv40</t>
  </si>
  <si>
    <t>Lv50</t>
  </si>
  <si>
    <t>XiShu</t>
  </si>
  <si>
    <t>NumValue</t>
  </si>
  <si>
    <t>int</t>
  </si>
  <si>
    <t>随机属性id</t>
  </si>
  <si>
    <t>1武将生命2武将攻击3武将防御|4武将智力|5移速|6射程|7攻速|8减伤|9增伤|10技能增伤|11技能减伤|12暴击|13暴击伤害14吸血|15晕击|16韧性|17魔穿|18闪避|19命中|20反伤|21真实伤害|22部队生命|23部队攻击|24部队防御}25武将生命恢复|26部队生命恢复</t>
  </si>
  <si>
    <t>等级1-10</t>
  </si>
  <si>
    <t>等级11-20</t>
  </si>
  <si>
    <t>等级21-30</t>
  </si>
  <si>
    <t>等级31-40</t>
  </si>
  <si>
    <t>等级41-50</t>
  </si>
  <si>
    <t>要除的系数</t>
  </si>
  <si>
    <t>对应的价值</t>
  </si>
  <si>
    <t>1戒指/2玉佩/3武器/4防具/5鞋子/6书</t>
  </si>
  <si>
    <t>lv10</t>
  </si>
  <si>
    <t>lv20</t>
  </si>
  <si>
    <t>lv30</t>
  </si>
  <si>
    <t>lv40</t>
  </si>
  <si>
    <t>参考值(英雄70级属性)</t>
  </si>
  <si>
    <t>系数</t>
  </si>
  <si>
    <t>调整数值</t>
  </si>
  <si>
    <t>最大值</t>
  </si>
  <si>
    <t>需除</t>
  </si>
  <si>
    <t>价值</t>
  </si>
  <si>
    <t>部位数</t>
  </si>
  <si>
    <t>最终结果</t>
  </si>
  <si>
    <t>生命值</t>
  </si>
  <si>
    <t>防具/鞋子</t>
  </si>
  <si>
    <t>武将生命值</t>
  </si>
  <si>
    <t>攻击</t>
  </si>
  <si>
    <t>戒指/武器</t>
  </si>
  <si>
    <t>武将攻击</t>
  </si>
  <si>
    <t>lv</t>
  </si>
  <si>
    <t>数值</t>
  </si>
  <si>
    <t>防御</t>
  </si>
  <si>
    <t>武将防御</t>
  </si>
  <si>
    <t>法强</t>
  </si>
  <si>
    <t>玉佩/书</t>
  </si>
  <si>
    <t>武将智力</t>
  </si>
  <si>
    <t>移速</t>
  </si>
  <si>
    <t>鞋子</t>
  </si>
  <si>
    <t>射程</t>
  </si>
  <si>
    <t>武器</t>
  </si>
  <si>
    <t>攻速</t>
  </si>
  <si>
    <t>物抗</t>
  </si>
  <si>
    <t>防具</t>
  </si>
  <si>
    <t>减伤</t>
  </si>
  <si>
    <t>普攻增伤</t>
  </si>
  <si>
    <t>增伤</t>
  </si>
  <si>
    <t>魔抗</t>
  </si>
  <si>
    <t>技能减伤</t>
  </si>
  <si>
    <t>法术增伤</t>
  </si>
  <si>
    <t>玉佩</t>
  </si>
  <si>
    <t>技能伤害</t>
  </si>
  <si>
    <t>暴击</t>
  </si>
  <si>
    <t>暴伤</t>
  </si>
  <si>
    <t>吸血</t>
  </si>
  <si>
    <t>戒指/玉佩</t>
  </si>
  <si>
    <t>物穿</t>
  </si>
  <si>
    <t>戒指</t>
  </si>
  <si>
    <t>晕击</t>
  </si>
  <si>
    <t>韧性</t>
  </si>
  <si>
    <t>魔穿</t>
  </si>
  <si>
    <t>闪避</t>
  </si>
  <si>
    <t>命中</t>
  </si>
  <si>
    <t>反伤</t>
  </si>
  <si>
    <t>真实伤害</t>
  </si>
  <si>
    <t>部队生命</t>
  </si>
  <si>
    <t>玉佩,书</t>
  </si>
  <si>
    <t>部队攻击</t>
  </si>
  <si>
    <t>部队防御</t>
  </si>
  <si>
    <t>武将生命恢复</t>
  </si>
  <si>
    <t>部队生命恢复</t>
  </si>
  <si>
    <t>书</t>
  </si>
  <si>
    <t>2|5|15|16|21|22</t>
  </si>
  <si>
    <t>4|12|15|23|24|25</t>
  </si>
  <si>
    <t>2|7|8|10|13|14</t>
  </si>
  <si>
    <t>1|3|9|11|17|18</t>
  </si>
  <si>
    <t>1|3|6|19|20|26</t>
  </si>
  <si>
    <t>4|5|23|24|25|27</t>
  </si>
  <si>
    <t>7魔抗%|8物抗%|9吸血%|10移动距离1|11射程1|</t>
  </si>
  <si>
    <t>1攻击|2防御|3法强|4魔法值|5伤害%|6单体生命%|7魔抗%|8物抗%|9吸血%|10移动距离1|11射程1|12领导力</t>
  </si>
  <si>
    <t>1配件</t>
  </si>
  <si>
    <t>2项链</t>
  </si>
  <si>
    <t>3武器</t>
  </si>
  <si>
    <t>4衣服</t>
  </si>
  <si>
    <t>5鞋子</t>
  </si>
  <si>
    <t>6饰品（书）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</si>
</sst>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3"/>
  <sheetViews>
    <sheetView workbookViewId="0">
      <pane ySplit="3" topLeftCell="A43" activePane="bottomLeft" state="frozen"/>
      <selection/>
      <selection pane="bottomLeft" activeCell="M57" sqref="M57"/>
    </sheetView>
  </sheetViews>
  <sheetFormatPr defaultColWidth="9" defaultRowHeight="14"/>
  <cols>
    <col min="2" max="2" width="48.8727272727273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</row>
    <row r="2" spans="1:9">
      <c r="A2" s="3" t="s">
        <v>9</v>
      </c>
      <c r="B2" s="3" t="s">
        <v>9</v>
      </c>
      <c r="C2" s="3" t="s">
        <v>9</v>
      </c>
      <c r="D2" s="3" t="s">
        <v>9</v>
      </c>
      <c r="E2" s="3" t="s">
        <v>9</v>
      </c>
      <c r="F2" t="s">
        <v>9</v>
      </c>
      <c r="G2" t="s">
        <v>9</v>
      </c>
      <c r="H2" t="s">
        <v>9</v>
      </c>
      <c r="I2" t="s">
        <v>9</v>
      </c>
    </row>
    <row r="3" ht="81" customHeight="1" spans="1:9">
      <c r="A3" s="3" t="s">
        <v>10</v>
      </c>
      <c r="B3" s="4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t="s">
        <v>17</v>
      </c>
      <c r="I3" t="s">
        <v>18</v>
      </c>
    </row>
    <row r="4" spans="1:10">
      <c r="A4" s="3">
        <v>1</v>
      </c>
      <c r="B4" s="3">
        <f>INT((A4-1)/10)+1</f>
        <v>1</v>
      </c>
      <c r="C4" s="1">
        <f>INT(F4/($J$4*$J$4*$J$4))</f>
        <v>31</v>
      </c>
      <c r="D4" s="1">
        <f>INT(F4/($J$4*$J$4))</f>
        <v>62</v>
      </c>
      <c r="E4" s="1">
        <f>INT(F4/$J$4)</f>
        <v>125</v>
      </c>
      <c r="F4" s="1">
        <f>原始数据!R6</f>
        <v>250</v>
      </c>
      <c r="G4" s="1">
        <f>F4*2</f>
        <v>500</v>
      </c>
      <c r="H4" s="3">
        <f>VLOOKUP(B4,原始数据!$H$6:$N$31,7,FALSE)</f>
        <v>1</v>
      </c>
      <c r="I4" s="3">
        <f>VLOOKUP(B4,原始数据!$H$6:$O$31,8,FALSE)</f>
        <v>1</v>
      </c>
      <c r="J4">
        <v>2</v>
      </c>
    </row>
    <row r="5" spans="1:10">
      <c r="A5" s="3">
        <v>2</v>
      </c>
      <c r="B5" s="3">
        <f t="shared" ref="B5:B43" si="0">INT((A5-1)/10)+1</f>
        <v>1</v>
      </c>
      <c r="C5" s="3">
        <f t="shared" ref="C5:G5" si="1">INT(C$4*$J$5)</f>
        <v>24</v>
      </c>
      <c r="D5" s="3">
        <f t="shared" si="1"/>
        <v>49</v>
      </c>
      <c r="E5" s="3">
        <f t="shared" si="1"/>
        <v>100</v>
      </c>
      <c r="F5" s="3">
        <f t="shared" si="1"/>
        <v>200</v>
      </c>
      <c r="G5" s="3">
        <f t="shared" si="1"/>
        <v>400</v>
      </c>
      <c r="H5" s="3">
        <f>VLOOKUP(B5,原始数据!$H$6:$N$31,7,FALSE)</f>
        <v>1</v>
      </c>
      <c r="I5" s="3">
        <f>VLOOKUP(B5,原始数据!$H$6:$O$31,8,FALSE)</f>
        <v>1</v>
      </c>
      <c r="J5">
        <v>0.8</v>
      </c>
    </row>
    <row r="6" spans="1:10">
      <c r="A6" s="3">
        <v>3</v>
      </c>
      <c r="B6" s="3">
        <f t="shared" si="0"/>
        <v>1</v>
      </c>
      <c r="C6" s="3">
        <f t="shared" ref="C6:G6" si="2">INT(C$4*$J$6)</f>
        <v>26</v>
      </c>
      <c r="D6" s="3">
        <f t="shared" si="2"/>
        <v>52</v>
      </c>
      <c r="E6" s="3">
        <f t="shared" si="2"/>
        <v>106</v>
      </c>
      <c r="F6" s="3">
        <f t="shared" si="2"/>
        <v>212</v>
      </c>
      <c r="G6" s="3">
        <f t="shared" si="2"/>
        <v>425</v>
      </c>
      <c r="H6" s="3">
        <f>VLOOKUP(B6,原始数据!$H$6:$N$31,7,FALSE)</f>
        <v>1</v>
      </c>
      <c r="I6" s="3">
        <f>VLOOKUP(B6,原始数据!$H$6:$O$31,8,FALSE)</f>
        <v>1</v>
      </c>
      <c r="J6">
        <v>0.85</v>
      </c>
    </row>
    <row r="7" spans="1:10">
      <c r="A7" s="3">
        <v>4</v>
      </c>
      <c r="B7" s="3">
        <f t="shared" si="0"/>
        <v>1</v>
      </c>
      <c r="C7" s="3">
        <f t="shared" ref="C7:G7" si="3">INT(C$4*$J$7)</f>
        <v>27</v>
      </c>
      <c r="D7" s="3">
        <f t="shared" si="3"/>
        <v>55</v>
      </c>
      <c r="E7" s="3">
        <f t="shared" si="3"/>
        <v>112</v>
      </c>
      <c r="F7" s="3">
        <f t="shared" si="3"/>
        <v>225</v>
      </c>
      <c r="G7" s="3">
        <f t="shared" si="3"/>
        <v>450</v>
      </c>
      <c r="H7" s="3">
        <f>VLOOKUP(B7,原始数据!$H$6:$N$31,7,FALSE)</f>
        <v>1</v>
      </c>
      <c r="I7" s="3">
        <f>VLOOKUP(B7,原始数据!$H$6:$O$31,8,FALSE)</f>
        <v>1</v>
      </c>
      <c r="J7">
        <v>0.9</v>
      </c>
    </row>
    <row r="8" spans="1:10">
      <c r="A8" s="3">
        <v>5</v>
      </c>
      <c r="B8" s="3">
        <f t="shared" si="0"/>
        <v>1</v>
      </c>
      <c r="C8" s="3">
        <f t="shared" ref="C8:G8" si="4">INT(C$4*$J$8)</f>
        <v>29</v>
      </c>
      <c r="D8" s="3">
        <f t="shared" si="4"/>
        <v>58</v>
      </c>
      <c r="E8" s="3">
        <f t="shared" si="4"/>
        <v>118</v>
      </c>
      <c r="F8" s="3">
        <f t="shared" si="4"/>
        <v>237</v>
      </c>
      <c r="G8" s="3">
        <f t="shared" si="4"/>
        <v>475</v>
      </c>
      <c r="H8" s="3">
        <f>VLOOKUP(B8,原始数据!$H$6:$N$31,7,FALSE)</f>
        <v>1</v>
      </c>
      <c r="I8" s="3">
        <f>VLOOKUP(B8,原始数据!$H$6:$O$31,8,FALSE)</f>
        <v>1</v>
      </c>
      <c r="J8">
        <v>0.95</v>
      </c>
    </row>
    <row r="9" spans="1:10">
      <c r="A9" s="3">
        <v>6</v>
      </c>
      <c r="B9" s="3">
        <f t="shared" si="0"/>
        <v>1</v>
      </c>
      <c r="C9" s="3">
        <f t="shared" ref="C9:G9" si="5">INT(C$4*$J$9)</f>
        <v>31</v>
      </c>
      <c r="D9" s="3">
        <f t="shared" si="5"/>
        <v>62</v>
      </c>
      <c r="E9" s="3">
        <f t="shared" si="5"/>
        <v>125</v>
      </c>
      <c r="F9" s="3">
        <f t="shared" si="5"/>
        <v>250</v>
      </c>
      <c r="G9" s="3">
        <f t="shared" si="5"/>
        <v>500</v>
      </c>
      <c r="H9" s="3">
        <f>VLOOKUP(B9,原始数据!$H$6:$N$31,7,FALSE)</f>
        <v>1</v>
      </c>
      <c r="I9" s="3">
        <f>VLOOKUP(B9,原始数据!$H$6:$O$31,8,FALSE)</f>
        <v>1</v>
      </c>
      <c r="J9">
        <v>1</v>
      </c>
    </row>
    <row r="10" spans="1:10">
      <c r="A10" s="3">
        <v>7</v>
      </c>
      <c r="B10" s="3">
        <f t="shared" si="0"/>
        <v>1</v>
      </c>
      <c r="C10" s="3">
        <f t="shared" ref="C10:G10" si="6">INT(C$4*$J$10)</f>
        <v>32</v>
      </c>
      <c r="D10" s="3">
        <f t="shared" si="6"/>
        <v>65</v>
      </c>
      <c r="E10" s="3">
        <f t="shared" si="6"/>
        <v>131</v>
      </c>
      <c r="F10" s="3">
        <f t="shared" si="6"/>
        <v>262</v>
      </c>
      <c r="G10" s="3">
        <f t="shared" si="6"/>
        <v>525</v>
      </c>
      <c r="H10" s="3">
        <f>VLOOKUP(B10,原始数据!$H$6:$N$31,7,FALSE)</f>
        <v>1</v>
      </c>
      <c r="I10" s="3">
        <f>VLOOKUP(B10,原始数据!$H$6:$O$31,8,FALSE)</f>
        <v>1</v>
      </c>
      <c r="J10">
        <v>1.05</v>
      </c>
    </row>
    <row r="11" spans="1:10">
      <c r="A11" s="3">
        <v>8</v>
      </c>
      <c r="B11" s="3">
        <f t="shared" si="0"/>
        <v>1</v>
      </c>
      <c r="C11" s="3">
        <f t="shared" ref="C11:G11" si="7">INT(C$4*$J$11)</f>
        <v>34</v>
      </c>
      <c r="D11" s="3">
        <f t="shared" si="7"/>
        <v>68</v>
      </c>
      <c r="E11" s="3">
        <f t="shared" si="7"/>
        <v>137</v>
      </c>
      <c r="F11" s="3">
        <f t="shared" si="7"/>
        <v>275</v>
      </c>
      <c r="G11" s="3">
        <f t="shared" si="7"/>
        <v>550</v>
      </c>
      <c r="H11" s="3">
        <f>VLOOKUP(B11,原始数据!$H$6:$N$31,7,FALSE)</f>
        <v>1</v>
      </c>
      <c r="I11" s="3">
        <f>VLOOKUP(B11,原始数据!$H$6:$O$31,8,FALSE)</f>
        <v>1</v>
      </c>
      <c r="J11">
        <v>1.1</v>
      </c>
    </row>
    <row r="12" spans="1:10">
      <c r="A12" s="3">
        <v>9</v>
      </c>
      <c r="B12" s="3">
        <f t="shared" si="0"/>
        <v>1</v>
      </c>
      <c r="C12" s="3">
        <f t="shared" ref="C12:G12" si="8">INT(C$4*$J$12)</f>
        <v>35</v>
      </c>
      <c r="D12" s="3">
        <f t="shared" si="8"/>
        <v>71</v>
      </c>
      <c r="E12" s="3">
        <f t="shared" si="8"/>
        <v>143</v>
      </c>
      <c r="F12" s="3">
        <f t="shared" si="8"/>
        <v>287</v>
      </c>
      <c r="G12" s="3">
        <f t="shared" si="8"/>
        <v>575</v>
      </c>
      <c r="H12" s="3">
        <f>VLOOKUP(B12,原始数据!$H$6:$N$31,7,FALSE)</f>
        <v>1</v>
      </c>
      <c r="I12" s="3">
        <f>VLOOKUP(B12,原始数据!$H$6:$O$31,8,FALSE)</f>
        <v>1</v>
      </c>
      <c r="J12">
        <v>1.15</v>
      </c>
    </row>
    <row r="13" spans="1:10">
      <c r="A13" s="3">
        <v>10</v>
      </c>
      <c r="B13" s="3">
        <f t="shared" si="0"/>
        <v>1</v>
      </c>
      <c r="C13" s="3">
        <f t="shared" ref="C13:G13" si="9">INT(C$4*$J$13)</f>
        <v>37</v>
      </c>
      <c r="D13" s="3">
        <f t="shared" si="9"/>
        <v>74</v>
      </c>
      <c r="E13" s="3">
        <f t="shared" si="9"/>
        <v>150</v>
      </c>
      <c r="F13" s="3">
        <f t="shared" si="9"/>
        <v>300</v>
      </c>
      <c r="G13" s="3">
        <f t="shared" si="9"/>
        <v>600</v>
      </c>
      <c r="H13" s="3">
        <f>VLOOKUP(B13,原始数据!$H$6:$N$31,7,FALSE)</f>
        <v>1</v>
      </c>
      <c r="I13" s="3">
        <f>VLOOKUP(B13,原始数据!$H$6:$O$31,8,FALSE)</f>
        <v>1</v>
      </c>
      <c r="J13">
        <v>1.2</v>
      </c>
    </row>
    <row r="14" spans="1:9">
      <c r="A14" s="3">
        <v>11</v>
      </c>
      <c r="B14" s="3">
        <f t="shared" si="0"/>
        <v>2</v>
      </c>
      <c r="C14" s="1">
        <f>INT(F14/($J$4*$J$4*$J$4))</f>
        <v>18</v>
      </c>
      <c r="D14" s="1">
        <f>INT(F14/($J$4*$J$4))</f>
        <v>37</v>
      </c>
      <c r="E14" s="1">
        <f>INT(F14/$J$4)</f>
        <v>75</v>
      </c>
      <c r="F14" s="1">
        <f>原始数据!R7</f>
        <v>150</v>
      </c>
      <c r="G14" s="1">
        <f>F14*2</f>
        <v>300</v>
      </c>
      <c r="H14" s="3">
        <f>VLOOKUP(B14,原始数据!$H$6:$N$31,7,FALSE)</f>
        <v>10</v>
      </c>
      <c r="I14" s="3">
        <f>VLOOKUP(B14,原始数据!$H$6:$O$31,8,FALSE)</f>
        <v>27</v>
      </c>
    </row>
    <row r="15" spans="1:9">
      <c r="A15" s="3">
        <v>12</v>
      </c>
      <c r="B15" s="3">
        <f t="shared" si="0"/>
        <v>2</v>
      </c>
      <c r="C15" s="3">
        <f t="shared" ref="C15:G15" si="10">INT(C$14*$J$5)</f>
        <v>14</v>
      </c>
      <c r="D15" s="3">
        <f t="shared" si="10"/>
        <v>29</v>
      </c>
      <c r="E15" s="3">
        <f t="shared" si="10"/>
        <v>60</v>
      </c>
      <c r="F15" s="3">
        <f t="shared" si="10"/>
        <v>120</v>
      </c>
      <c r="G15" s="3">
        <f t="shared" si="10"/>
        <v>240</v>
      </c>
      <c r="H15" s="3">
        <f>VLOOKUP(B15,原始数据!$H$6:$N$31,7,FALSE)</f>
        <v>10</v>
      </c>
      <c r="I15" s="3">
        <f>VLOOKUP(B15,原始数据!$H$6:$O$31,8,FALSE)</f>
        <v>27</v>
      </c>
    </row>
    <row r="16" spans="1:9">
      <c r="A16" s="3">
        <v>13</v>
      </c>
      <c r="B16" s="3">
        <f t="shared" si="0"/>
        <v>2</v>
      </c>
      <c r="C16" s="3">
        <f t="shared" ref="C16:G16" si="11">INT(C$14*$J$6)</f>
        <v>15</v>
      </c>
      <c r="D16" s="3">
        <f t="shared" si="11"/>
        <v>31</v>
      </c>
      <c r="E16" s="3">
        <f t="shared" si="11"/>
        <v>63</v>
      </c>
      <c r="F16" s="3">
        <f t="shared" si="11"/>
        <v>127</v>
      </c>
      <c r="G16" s="3">
        <f t="shared" si="11"/>
        <v>255</v>
      </c>
      <c r="H16" s="3">
        <f>VLOOKUP(B16,原始数据!$H$6:$N$31,7,FALSE)</f>
        <v>10</v>
      </c>
      <c r="I16" s="3">
        <f>VLOOKUP(B16,原始数据!$H$6:$O$31,8,FALSE)</f>
        <v>27</v>
      </c>
    </row>
    <row r="17" spans="1:9">
      <c r="A17" s="3">
        <v>14</v>
      </c>
      <c r="B17" s="3">
        <f t="shared" si="0"/>
        <v>2</v>
      </c>
      <c r="C17" s="3">
        <f t="shared" ref="C17:G17" si="12">INT(C$14*$J$7)</f>
        <v>16</v>
      </c>
      <c r="D17" s="3">
        <f t="shared" si="12"/>
        <v>33</v>
      </c>
      <c r="E17" s="3">
        <f t="shared" si="12"/>
        <v>67</v>
      </c>
      <c r="F17" s="3">
        <f t="shared" si="12"/>
        <v>135</v>
      </c>
      <c r="G17" s="3">
        <f t="shared" si="12"/>
        <v>270</v>
      </c>
      <c r="H17" s="3">
        <f>VLOOKUP(B17,原始数据!$H$6:$N$31,7,FALSE)</f>
        <v>10</v>
      </c>
      <c r="I17" s="3">
        <f>VLOOKUP(B17,原始数据!$H$6:$O$31,8,FALSE)</f>
        <v>27</v>
      </c>
    </row>
    <row r="18" spans="1:9">
      <c r="A18" s="3">
        <v>15</v>
      </c>
      <c r="B18" s="3">
        <f t="shared" si="0"/>
        <v>2</v>
      </c>
      <c r="C18" s="3">
        <f t="shared" ref="C18:G18" si="13">INT(C$14*$J$8)</f>
        <v>17</v>
      </c>
      <c r="D18" s="3">
        <f t="shared" si="13"/>
        <v>35</v>
      </c>
      <c r="E18" s="3">
        <f t="shared" si="13"/>
        <v>71</v>
      </c>
      <c r="F18" s="3">
        <f t="shared" si="13"/>
        <v>142</v>
      </c>
      <c r="G18" s="3">
        <f t="shared" si="13"/>
        <v>285</v>
      </c>
      <c r="H18" s="3">
        <f>VLOOKUP(B18,原始数据!$H$6:$N$31,7,FALSE)</f>
        <v>10</v>
      </c>
      <c r="I18" s="3">
        <f>VLOOKUP(B18,原始数据!$H$6:$O$31,8,FALSE)</f>
        <v>27</v>
      </c>
    </row>
    <row r="19" spans="1:9">
      <c r="A19" s="3">
        <v>16</v>
      </c>
      <c r="B19" s="3">
        <f t="shared" si="0"/>
        <v>2</v>
      </c>
      <c r="C19" s="3">
        <f t="shared" ref="C19:G19" si="14">INT(C$14*$J$9)</f>
        <v>18</v>
      </c>
      <c r="D19" s="3">
        <f t="shared" si="14"/>
        <v>37</v>
      </c>
      <c r="E19" s="3">
        <f t="shared" si="14"/>
        <v>75</v>
      </c>
      <c r="F19" s="3">
        <f t="shared" si="14"/>
        <v>150</v>
      </c>
      <c r="G19" s="3">
        <f t="shared" si="14"/>
        <v>300</v>
      </c>
      <c r="H19" s="3">
        <f>VLOOKUP(B19,原始数据!$H$6:$N$31,7,FALSE)</f>
        <v>10</v>
      </c>
      <c r="I19" s="3">
        <f>VLOOKUP(B19,原始数据!$H$6:$O$31,8,FALSE)</f>
        <v>27</v>
      </c>
    </row>
    <row r="20" spans="1:9">
      <c r="A20" s="3">
        <v>17</v>
      </c>
      <c r="B20" s="3">
        <f t="shared" si="0"/>
        <v>2</v>
      </c>
      <c r="C20" s="3">
        <f t="shared" ref="C20:G20" si="15">INT(C$14*$J$10)</f>
        <v>18</v>
      </c>
      <c r="D20" s="3">
        <f t="shared" si="15"/>
        <v>38</v>
      </c>
      <c r="E20" s="3">
        <f t="shared" si="15"/>
        <v>78</v>
      </c>
      <c r="F20" s="3">
        <f t="shared" si="15"/>
        <v>157</v>
      </c>
      <c r="G20" s="3">
        <f t="shared" si="15"/>
        <v>315</v>
      </c>
      <c r="H20" s="3">
        <f>VLOOKUP(B20,原始数据!$H$6:$N$31,7,FALSE)</f>
        <v>10</v>
      </c>
      <c r="I20" s="3">
        <f>VLOOKUP(B20,原始数据!$H$6:$O$31,8,FALSE)</f>
        <v>27</v>
      </c>
    </row>
    <row r="21" spans="1:9">
      <c r="A21" s="3">
        <v>18</v>
      </c>
      <c r="B21" s="3">
        <f t="shared" si="0"/>
        <v>2</v>
      </c>
      <c r="C21" s="3">
        <f t="shared" ref="C21:G21" si="16">INT(C$14*$J$11)</f>
        <v>19</v>
      </c>
      <c r="D21" s="3">
        <f t="shared" si="16"/>
        <v>40</v>
      </c>
      <c r="E21" s="3">
        <f t="shared" si="16"/>
        <v>82</v>
      </c>
      <c r="F21" s="3">
        <f t="shared" si="16"/>
        <v>165</v>
      </c>
      <c r="G21" s="3">
        <f t="shared" si="16"/>
        <v>330</v>
      </c>
      <c r="H21" s="3">
        <f>VLOOKUP(B21,原始数据!$H$6:$N$31,7,FALSE)</f>
        <v>10</v>
      </c>
      <c r="I21" s="3">
        <f>VLOOKUP(B21,原始数据!$H$6:$O$31,8,FALSE)</f>
        <v>27</v>
      </c>
    </row>
    <row r="22" spans="1:9">
      <c r="A22" s="3">
        <v>19</v>
      </c>
      <c r="B22" s="3">
        <f t="shared" si="0"/>
        <v>2</v>
      </c>
      <c r="C22" s="3">
        <f t="shared" ref="C22:G22" si="17">INT(C$14*$J$12)</f>
        <v>20</v>
      </c>
      <c r="D22" s="3">
        <f t="shared" si="17"/>
        <v>42</v>
      </c>
      <c r="E22" s="3">
        <f t="shared" si="17"/>
        <v>86</v>
      </c>
      <c r="F22" s="3">
        <f t="shared" si="17"/>
        <v>172</v>
      </c>
      <c r="G22" s="3">
        <f t="shared" si="17"/>
        <v>345</v>
      </c>
      <c r="H22" s="3">
        <f>VLOOKUP(B22,原始数据!$H$6:$N$31,7,FALSE)</f>
        <v>10</v>
      </c>
      <c r="I22" s="3">
        <f>VLOOKUP(B22,原始数据!$H$6:$O$31,8,FALSE)</f>
        <v>27</v>
      </c>
    </row>
    <row r="23" spans="1:9">
      <c r="A23" s="3">
        <v>20</v>
      </c>
      <c r="B23" s="3">
        <f t="shared" si="0"/>
        <v>2</v>
      </c>
      <c r="C23" s="3">
        <f t="shared" ref="C23:G23" si="18">INT(C$14*$J$13)</f>
        <v>21</v>
      </c>
      <c r="D23" s="3">
        <f t="shared" si="18"/>
        <v>44</v>
      </c>
      <c r="E23" s="3">
        <f t="shared" si="18"/>
        <v>90</v>
      </c>
      <c r="F23" s="3">
        <f t="shared" si="18"/>
        <v>180</v>
      </c>
      <c r="G23" s="3">
        <f t="shared" si="18"/>
        <v>360</v>
      </c>
      <c r="H23" s="3">
        <f>VLOOKUP(B23,原始数据!$H$6:$N$31,7,FALSE)</f>
        <v>10</v>
      </c>
      <c r="I23" s="3">
        <f>VLOOKUP(B23,原始数据!$H$6:$O$31,8,FALSE)</f>
        <v>27</v>
      </c>
    </row>
    <row r="24" spans="1:9">
      <c r="A24" s="3">
        <v>21</v>
      </c>
      <c r="B24" s="3">
        <f t="shared" si="0"/>
        <v>3</v>
      </c>
      <c r="C24" s="1">
        <f>INT(F24/($J$4*$J$4*$J$4))</f>
        <v>18</v>
      </c>
      <c r="D24" s="1">
        <f>INT(F24/($J$4*$J$4))</f>
        <v>37</v>
      </c>
      <c r="E24" s="1">
        <f>INT(F24/$J$4)</f>
        <v>75</v>
      </c>
      <c r="F24" s="1">
        <f>原始数据!R8</f>
        <v>150</v>
      </c>
      <c r="G24" s="1">
        <f>F24*2</f>
        <v>300</v>
      </c>
      <c r="H24" s="3">
        <f>VLOOKUP(B24,原始数据!$H$6:$N$31,7,FALSE)</f>
        <v>10</v>
      </c>
      <c r="I24" s="3">
        <f>VLOOKUP(B24,原始数据!$H$6:$O$31,8,FALSE)</f>
        <v>27</v>
      </c>
    </row>
    <row r="25" spans="1:9">
      <c r="A25" s="3">
        <v>22</v>
      </c>
      <c r="B25" s="3">
        <f t="shared" si="0"/>
        <v>3</v>
      </c>
      <c r="C25" s="3">
        <f t="shared" ref="C25:G25" si="19">INT(C$24*$J$5)</f>
        <v>14</v>
      </c>
      <c r="D25" s="3">
        <f t="shared" si="19"/>
        <v>29</v>
      </c>
      <c r="E25" s="3">
        <f t="shared" si="19"/>
        <v>60</v>
      </c>
      <c r="F25" s="3">
        <f t="shared" si="19"/>
        <v>120</v>
      </c>
      <c r="G25" s="3">
        <f t="shared" si="19"/>
        <v>240</v>
      </c>
      <c r="H25" s="3">
        <f>VLOOKUP(B25,原始数据!$H$6:$N$31,7,FALSE)</f>
        <v>10</v>
      </c>
      <c r="I25" s="3">
        <f>VLOOKUP(B25,原始数据!$H$6:$O$31,8,FALSE)</f>
        <v>27</v>
      </c>
    </row>
    <row r="26" spans="1:9">
      <c r="A26" s="3">
        <v>23</v>
      </c>
      <c r="B26" s="3">
        <f t="shared" si="0"/>
        <v>3</v>
      </c>
      <c r="C26" s="3">
        <f t="shared" ref="C26:G26" si="20">INT(C$24*$J$6)</f>
        <v>15</v>
      </c>
      <c r="D26" s="3">
        <f t="shared" si="20"/>
        <v>31</v>
      </c>
      <c r="E26" s="3">
        <f t="shared" si="20"/>
        <v>63</v>
      </c>
      <c r="F26" s="3">
        <f t="shared" si="20"/>
        <v>127</v>
      </c>
      <c r="G26" s="3">
        <f t="shared" si="20"/>
        <v>255</v>
      </c>
      <c r="H26" s="3">
        <f>VLOOKUP(B26,原始数据!$H$6:$N$31,7,FALSE)</f>
        <v>10</v>
      </c>
      <c r="I26" s="3">
        <f>VLOOKUP(B26,原始数据!$H$6:$O$31,8,FALSE)</f>
        <v>27</v>
      </c>
    </row>
    <row r="27" spans="1:9">
      <c r="A27" s="3">
        <v>24</v>
      </c>
      <c r="B27" s="3">
        <f t="shared" si="0"/>
        <v>3</v>
      </c>
      <c r="C27" s="3">
        <f t="shared" ref="C27:G27" si="21">INT(C$24*$J$7)</f>
        <v>16</v>
      </c>
      <c r="D27" s="3">
        <f t="shared" si="21"/>
        <v>33</v>
      </c>
      <c r="E27" s="3">
        <f t="shared" si="21"/>
        <v>67</v>
      </c>
      <c r="F27" s="3">
        <f t="shared" si="21"/>
        <v>135</v>
      </c>
      <c r="G27" s="3">
        <f t="shared" si="21"/>
        <v>270</v>
      </c>
      <c r="H27" s="3">
        <f>VLOOKUP(B27,原始数据!$H$6:$N$31,7,FALSE)</f>
        <v>10</v>
      </c>
      <c r="I27" s="3">
        <f>VLOOKUP(B27,原始数据!$H$6:$O$31,8,FALSE)</f>
        <v>27</v>
      </c>
    </row>
    <row r="28" spans="1:9">
      <c r="A28" s="3">
        <v>25</v>
      </c>
      <c r="B28" s="3">
        <f t="shared" si="0"/>
        <v>3</v>
      </c>
      <c r="C28" s="3">
        <f t="shared" ref="C28:G28" si="22">INT(C$24*$J$8)</f>
        <v>17</v>
      </c>
      <c r="D28" s="3">
        <f t="shared" si="22"/>
        <v>35</v>
      </c>
      <c r="E28" s="3">
        <f t="shared" si="22"/>
        <v>71</v>
      </c>
      <c r="F28" s="3">
        <f t="shared" si="22"/>
        <v>142</v>
      </c>
      <c r="G28" s="3">
        <f t="shared" si="22"/>
        <v>285</v>
      </c>
      <c r="H28" s="3">
        <f>VLOOKUP(B28,原始数据!$H$6:$N$31,7,FALSE)</f>
        <v>10</v>
      </c>
      <c r="I28" s="3">
        <f>VLOOKUP(B28,原始数据!$H$6:$O$31,8,FALSE)</f>
        <v>27</v>
      </c>
    </row>
    <row r="29" spans="1:9">
      <c r="A29" s="3">
        <v>26</v>
      </c>
      <c r="B29" s="3">
        <f t="shared" si="0"/>
        <v>3</v>
      </c>
      <c r="C29" s="3">
        <f t="shared" ref="C29:G29" si="23">INT(C$24*$J$9)</f>
        <v>18</v>
      </c>
      <c r="D29" s="3">
        <f t="shared" si="23"/>
        <v>37</v>
      </c>
      <c r="E29" s="3">
        <f t="shared" si="23"/>
        <v>75</v>
      </c>
      <c r="F29" s="3">
        <f t="shared" si="23"/>
        <v>150</v>
      </c>
      <c r="G29" s="3">
        <f t="shared" si="23"/>
        <v>300</v>
      </c>
      <c r="H29" s="3">
        <f>VLOOKUP(B29,原始数据!$H$6:$N$31,7,FALSE)</f>
        <v>10</v>
      </c>
      <c r="I29" s="3">
        <f>VLOOKUP(B29,原始数据!$H$6:$O$31,8,FALSE)</f>
        <v>27</v>
      </c>
    </row>
    <row r="30" spans="1:9">
      <c r="A30" s="3">
        <v>27</v>
      </c>
      <c r="B30" s="3">
        <f t="shared" si="0"/>
        <v>3</v>
      </c>
      <c r="C30" s="3">
        <f t="shared" ref="C30:G30" si="24">INT(C$24*$J$10)</f>
        <v>18</v>
      </c>
      <c r="D30" s="3">
        <f t="shared" si="24"/>
        <v>38</v>
      </c>
      <c r="E30" s="3">
        <f t="shared" si="24"/>
        <v>78</v>
      </c>
      <c r="F30" s="3">
        <f t="shared" si="24"/>
        <v>157</v>
      </c>
      <c r="G30" s="3">
        <f t="shared" si="24"/>
        <v>315</v>
      </c>
      <c r="H30" s="3">
        <f>VLOOKUP(B30,原始数据!$H$6:$N$31,7,FALSE)</f>
        <v>10</v>
      </c>
      <c r="I30" s="3">
        <f>VLOOKUP(B30,原始数据!$H$6:$O$31,8,FALSE)</f>
        <v>27</v>
      </c>
    </row>
    <row r="31" spans="1:9">
      <c r="A31" s="3">
        <v>28</v>
      </c>
      <c r="B31" s="3">
        <f t="shared" si="0"/>
        <v>3</v>
      </c>
      <c r="C31" s="3">
        <f t="shared" ref="C31:G31" si="25">INT(C$24*$J$11)</f>
        <v>19</v>
      </c>
      <c r="D31" s="3">
        <f t="shared" si="25"/>
        <v>40</v>
      </c>
      <c r="E31" s="3">
        <f t="shared" si="25"/>
        <v>82</v>
      </c>
      <c r="F31" s="3">
        <f t="shared" si="25"/>
        <v>165</v>
      </c>
      <c r="G31" s="3">
        <f t="shared" si="25"/>
        <v>330</v>
      </c>
      <c r="H31" s="3">
        <f>VLOOKUP(B31,原始数据!$H$6:$N$31,7,FALSE)</f>
        <v>10</v>
      </c>
      <c r="I31" s="3">
        <f>VLOOKUP(B31,原始数据!$H$6:$O$31,8,FALSE)</f>
        <v>27</v>
      </c>
    </row>
    <row r="32" spans="1:9">
      <c r="A32" s="3">
        <v>29</v>
      </c>
      <c r="B32" s="3">
        <f t="shared" si="0"/>
        <v>3</v>
      </c>
      <c r="C32" s="3">
        <f t="shared" ref="C32:G32" si="26">INT(C$24*$J$12)</f>
        <v>20</v>
      </c>
      <c r="D32" s="3">
        <f t="shared" si="26"/>
        <v>42</v>
      </c>
      <c r="E32" s="3">
        <f t="shared" si="26"/>
        <v>86</v>
      </c>
      <c r="F32" s="3">
        <f t="shared" si="26"/>
        <v>172</v>
      </c>
      <c r="G32" s="3">
        <f t="shared" si="26"/>
        <v>345</v>
      </c>
      <c r="H32" s="3">
        <f>VLOOKUP(B32,原始数据!$H$6:$N$31,7,FALSE)</f>
        <v>10</v>
      </c>
      <c r="I32" s="3">
        <f>VLOOKUP(B32,原始数据!$H$6:$O$31,8,FALSE)</f>
        <v>27</v>
      </c>
    </row>
    <row r="33" spans="1:9">
      <c r="A33" s="3">
        <v>30</v>
      </c>
      <c r="B33" s="3">
        <f t="shared" si="0"/>
        <v>3</v>
      </c>
      <c r="C33" s="3">
        <f t="shared" ref="C33:G33" si="27">INT(C$24*$J$13)</f>
        <v>21</v>
      </c>
      <c r="D33" s="3">
        <f t="shared" si="27"/>
        <v>44</v>
      </c>
      <c r="E33" s="3">
        <f t="shared" si="27"/>
        <v>90</v>
      </c>
      <c r="F33" s="3">
        <f t="shared" si="27"/>
        <v>180</v>
      </c>
      <c r="G33" s="3">
        <f t="shared" si="27"/>
        <v>360</v>
      </c>
      <c r="H33" s="3">
        <f>VLOOKUP(B33,原始数据!$H$6:$N$31,7,FALSE)</f>
        <v>10</v>
      </c>
      <c r="I33" s="3">
        <f>VLOOKUP(B33,原始数据!$H$6:$O$31,8,FALSE)</f>
        <v>27</v>
      </c>
    </row>
    <row r="34" spans="1:9">
      <c r="A34" s="3">
        <v>31</v>
      </c>
      <c r="B34" s="3">
        <f t="shared" si="0"/>
        <v>4</v>
      </c>
      <c r="C34" s="1">
        <f>INT(F34/($J$4*$J$4*$J$4))</f>
        <v>17</v>
      </c>
      <c r="D34" s="1">
        <f>INT(F34/($J$4*$J$4))</f>
        <v>34</v>
      </c>
      <c r="E34" s="1">
        <f>INT(F34/$J$4)</f>
        <v>68</v>
      </c>
      <c r="F34" s="1">
        <f>原始数据!R9</f>
        <v>137</v>
      </c>
      <c r="G34" s="1">
        <f>F34*2</f>
        <v>274</v>
      </c>
      <c r="H34" s="3">
        <f>VLOOKUP(B34,原始数据!$H$6:$N$31,7,FALSE)</f>
        <v>10</v>
      </c>
      <c r="I34" s="3">
        <f>VLOOKUP(B34,原始数据!$H$6:$O$31,8,FALSE)</f>
        <v>30</v>
      </c>
    </row>
    <row r="35" spans="1:9">
      <c r="A35" s="3">
        <v>32</v>
      </c>
      <c r="B35" s="3">
        <f t="shared" si="0"/>
        <v>4</v>
      </c>
      <c r="C35" s="3">
        <f t="shared" ref="C35:G35" si="28">INT(C$34*$J$5)</f>
        <v>13</v>
      </c>
      <c r="D35" s="3">
        <f t="shared" si="28"/>
        <v>27</v>
      </c>
      <c r="E35" s="3">
        <f t="shared" si="28"/>
        <v>54</v>
      </c>
      <c r="F35" s="3">
        <f t="shared" si="28"/>
        <v>109</v>
      </c>
      <c r="G35" s="3">
        <f t="shared" si="28"/>
        <v>219</v>
      </c>
      <c r="H35" s="3">
        <f>VLOOKUP(B35,原始数据!$H$6:$N$31,7,FALSE)</f>
        <v>10</v>
      </c>
      <c r="I35" s="3">
        <f>VLOOKUP(B35,原始数据!$H$6:$O$31,8,FALSE)</f>
        <v>30</v>
      </c>
    </row>
    <row r="36" spans="1:9">
      <c r="A36" s="3">
        <v>33</v>
      </c>
      <c r="B36" s="3">
        <f t="shared" si="0"/>
        <v>4</v>
      </c>
      <c r="C36" s="3">
        <f t="shared" ref="C36:G36" si="29">INT(C$34*$J$6)</f>
        <v>14</v>
      </c>
      <c r="D36" s="3">
        <f t="shared" si="29"/>
        <v>28</v>
      </c>
      <c r="E36" s="3">
        <f t="shared" si="29"/>
        <v>57</v>
      </c>
      <c r="F36" s="3">
        <f t="shared" si="29"/>
        <v>116</v>
      </c>
      <c r="G36" s="3">
        <f t="shared" si="29"/>
        <v>232</v>
      </c>
      <c r="H36" s="3">
        <f>VLOOKUP(B36,原始数据!$H$6:$N$31,7,FALSE)</f>
        <v>10</v>
      </c>
      <c r="I36" s="3">
        <f>VLOOKUP(B36,原始数据!$H$6:$O$31,8,FALSE)</f>
        <v>30</v>
      </c>
    </row>
    <row r="37" spans="1:9">
      <c r="A37" s="3">
        <v>34</v>
      </c>
      <c r="B37" s="3">
        <f t="shared" si="0"/>
        <v>4</v>
      </c>
      <c r="C37" s="3">
        <f t="shared" ref="C37:G37" si="30">INT(C$34*$J$7)</f>
        <v>15</v>
      </c>
      <c r="D37" s="3">
        <f t="shared" si="30"/>
        <v>30</v>
      </c>
      <c r="E37" s="3">
        <f t="shared" si="30"/>
        <v>61</v>
      </c>
      <c r="F37" s="3">
        <f t="shared" si="30"/>
        <v>123</v>
      </c>
      <c r="G37" s="3">
        <f t="shared" si="30"/>
        <v>246</v>
      </c>
      <c r="H37" s="3">
        <f>VLOOKUP(B37,原始数据!$H$6:$N$31,7,FALSE)</f>
        <v>10</v>
      </c>
      <c r="I37" s="3">
        <f>VLOOKUP(B37,原始数据!$H$6:$O$31,8,FALSE)</f>
        <v>30</v>
      </c>
    </row>
    <row r="38" spans="1:9">
      <c r="A38" s="3">
        <v>35</v>
      </c>
      <c r="B38" s="3">
        <f t="shared" si="0"/>
        <v>4</v>
      </c>
      <c r="C38" s="3">
        <f t="shared" ref="C38:G38" si="31">INT(C$34*$J$8)</f>
        <v>16</v>
      </c>
      <c r="D38" s="3">
        <f t="shared" si="31"/>
        <v>32</v>
      </c>
      <c r="E38" s="3">
        <f t="shared" si="31"/>
        <v>64</v>
      </c>
      <c r="F38" s="3">
        <f t="shared" si="31"/>
        <v>130</v>
      </c>
      <c r="G38" s="3">
        <f t="shared" si="31"/>
        <v>260</v>
      </c>
      <c r="H38" s="3">
        <f>VLOOKUP(B38,原始数据!$H$6:$N$31,7,FALSE)</f>
        <v>10</v>
      </c>
      <c r="I38" s="3">
        <f>VLOOKUP(B38,原始数据!$H$6:$O$31,8,FALSE)</f>
        <v>30</v>
      </c>
    </row>
    <row r="39" spans="1:9">
      <c r="A39" s="3">
        <v>36</v>
      </c>
      <c r="B39" s="3">
        <f t="shared" si="0"/>
        <v>4</v>
      </c>
      <c r="C39" s="3">
        <f t="shared" ref="C39:G39" si="32">INT(C$34*$J$9)</f>
        <v>17</v>
      </c>
      <c r="D39" s="3">
        <f t="shared" si="32"/>
        <v>34</v>
      </c>
      <c r="E39" s="3">
        <f t="shared" si="32"/>
        <v>68</v>
      </c>
      <c r="F39" s="3">
        <f t="shared" si="32"/>
        <v>137</v>
      </c>
      <c r="G39" s="3">
        <f t="shared" si="32"/>
        <v>274</v>
      </c>
      <c r="H39" s="3">
        <f>VLOOKUP(B39,原始数据!$H$6:$N$31,7,FALSE)</f>
        <v>10</v>
      </c>
      <c r="I39" s="3">
        <f>VLOOKUP(B39,原始数据!$H$6:$O$31,8,FALSE)</f>
        <v>30</v>
      </c>
    </row>
    <row r="40" spans="1:9">
      <c r="A40" s="3">
        <v>37</v>
      </c>
      <c r="B40" s="3">
        <f t="shared" si="0"/>
        <v>4</v>
      </c>
      <c r="C40" s="3">
        <f t="shared" ref="C40:G40" si="33">INT(C$34*$J$10)</f>
        <v>17</v>
      </c>
      <c r="D40" s="3">
        <f t="shared" si="33"/>
        <v>35</v>
      </c>
      <c r="E40" s="3">
        <f t="shared" si="33"/>
        <v>71</v>
      </c>
      <c r="F40" s="3">
        <f t="shared" si="33"/>
        <v>143</v>
      </c>
      <c r="G40" s="3">
        <f t="shared" si="33"/>
        <v>287</v>
      </c>
      <c r="H40" s="3">
        <f>VLOOKUP(B40,原始数据!$H$6:$N$31,7,FALSE)</f>
        <v>10</v>
      </c>
      <c r="I40" s="3">
        <f>VLOOKUP(B40,原始数据!$H$6:$O$31,8,FALSE)</f>
        <v>30</v>
      </c>
    </row>
    <row r="41" spans="1:9">
      <c r="A41" s="3">
        <v>38</v>
      </c>
      <c r="B41" s="3">
        <f t="shared" si="0"/>
        <v>4</v>
      </c>
      <c r="C41" s="3">
        <f t="shared" ref="C41:G41" si="34">INT(C$34*$J$11)</f>
        <v>18</v>
      </c>
      <c r="D41" s="3">
        <f t="shared" si="34"/>
        <v>37</v>
      </c>
      <c r="E41" s="3">
        <f t="shared" si="34"/>
        <v>74</v>
      </c>
      <c r="F41" s="3">
        <f t="shared" si="34"/>
        <v>150</v>
      </c>
      <c r="G41" s="3">
        <f t="shared" si="34"/>
        <v>301</v>
      </c>
      <c r="H41" s="3">
        <f>VLOOKUP(B41,原始数据!$H$6:$N$31,7,FALSE)</f>
        <v>10</v>
      </c>
      <c r="I41" s="3">
        <f>VLOOKUP(B41,原始数据!$H$6:$O$31,8,FALSE)</f>
        <v>30</v>
      </c>
    </row>
    <row r="42" spans="1:9">
      <c r="A42" s="3">
        <v>39</v>
      </c>
      <c r="B42" s="3">
        <f t="shared" si="0"/>
        <v>4</v>
      </c>
      <c r="C42" s="3">
        <f t="shared" ref="C42:G42" si="35">INT(C$34*$J$12)</f>
        <v>19</v>
      </c>
      <c r="D42" s="3">
        <f t="shared" si="35"/>
        <v>39</v>
      </c>
      <c r="E42" s="3">
        <f t="shared" si="35"/>
        <v>78</v>
      </c>
      <c r="F42" s="3">
        <f t="shared" si="35"/>
        <v>157</v>
      </c>
      <c r="G42" s="3">
        <f t="shared" si="35"/>
        <v>315</v>
      </c>
      <c r="H42" s="3">
        <f>VLOOKUP(B42,原始数据!$H$6:$N$31,7,FALSE)</f>
        <v>10</v>
      </c>
      <c r="I42" s="3">
        <f>VLOOKUP(B42,原始数据!$H$6:$O$31,8,FALSE)</f>
        <v>30</v>
      </c>
    </row>
    <row r="43" spans="1:9">
      <c r="A43" s="3">
        <v>40</v>
      </c>
      <c r="B43" s="3">
        <f t="shared" si="0"/>
        <v>4</v>
      </c>
      <c r="C43" s="3">
        <f t="shared" ref="C43:G43" si="36">INT(C$34*$J$13)</f>
        <v>20</v>
      </c>
      <c r="D43" s="3">
        <f t="shared" si="36"/>
        <v>40</v>
      </c>
      <c r="E43" s="3">
        <f t="shared" si="36"/>
        <v>81</v>
      </c>
      <c r="F43" s="3">
        <f t="shared" si="36"/>
        <v>164</v>
      </c>
      <c r="G43" s="3">
        <f t="shared" si="36"/>
        <v>328</v>
      </c>
      <c r="H43" s="3">
        <f>VLOOKUP(B43,原始数据!$H$6:$N$31,7,FALSE)</f>
        <v>10</v>
      </c>
      <c r="I43" s="3">
        <f>VLOOKUP(B43,原始数据!$H$6:$O$31,8,FALSE)</f>
        <v>30</v>
      </c>
    </row>
    <row r="44" spans="1:9">
      <c r="A44" s="3">
        <v>51</v>
      </c>
      <c r="B44" s="3">
        <v>5</v>
      </c>
      <c r="C44" s="1">
        <f>INT(F44/($J$4*$J$4*$J$4))</f>
        <v>20</v>
      </c>
      <c r="D44" s="1">
        <f>INT(F44/($J$4*$J$4))</f>
        <v>41</v>
      </c>
      <c r="E44" s="1">
        <f>INT(F44/$J$4)</f>
        <v>83</v>
      </c>
      <c r="F44" s="1">
        <f>原始数据!R10</f>
        <v>166</v>
      </c>
      <c r="G44" s="1">
        <f>F44*2</f>
        <v>332</v>
      </c>
      <c r="H44" s="3">
        <f>VLOOKUP(B44,原始数据!$H$6:$N$31,7,FALSE)</f>
        <v>10</v>
      </c>
      <c r="I44" s="3">
        <f>VLOOKUP(B44,原始数据!$H$6:$O$31,8,FALSE)</f>
        <v>50</v>
      </c>
    </row>
    <row r="45" spans="1:9">
      <c r="A45" s="3">
        <v>52</v>
      </c>
      <c r="B45" s="3">
        <v>5</v>
      </c>
      <c r="C45" s="3">
        <f t="shared" ref="C45:C53" si="37">INT(C$44*(MOD($A45-1,10)*0.05+0.8))</f>
        <v>17</v>
      </c>
      <c r="D45" s="3">
        <f t="shared" ref="D45:D53" si="38">INT(D$44*(MOD($A45-1,10)*0.05+0.8))</f>
        <v>34</v>
      </c>
      <c r="E45" s="3">
        <f t="shared" ref="E45:E53" si="39">INT(E$44*(MOD($A45-1,10)*0.05+0.8))</f>
        <v>70</v>
      </c>
      <c r="F45" s="3">
        <f t="shared" ref="F45:F53" si="40">INT(F$44*(MOD($A45-1,10)*0.05+0.8))</f>
        <v>141</v>
      </c>
      <c r="G45" s="3">
        <f t="shared" ref="G45:G53" si="41">INT(G$44*(MOD($A45-1,10)*0.05+0.8))</f>
        <v>282</v>
      </c>
      <c r="H45" s="3">
        <f>VLOOKUP(B45,原始数据!$H$6:$N$31,7,FALSE)</f>
        <v>10</v>
      </c>
      <c r="I45" s="3">
        <f>VLOOKUP(B45,原始数据!$H$6:$O$31,8,FALSE)</f>
        <v>50</v>
      </c>
    </row>
    <row r="46" spans="1:9">
      <c r="A46" s="3">
        <v>53</v>
      </c>
      <c r="B46" s="3">
        <v>5</v>
      </c>
      <c r="C46" s="3">
        <f t="shared" si="37"/>
        <v>18</v>
      </c>
      <c r="D46" s="3">
        <f t="shared" si="38"/>
        <v>36</v>
      </c>
      <c r="E46" s="3">
        <f t="shared" si="39"/>
        <v>74</v>
      </c>
      <c r="F46" s="3">
        <f t="shared" si="40"/>
        <v>149</v>
      </c>
      <c r="G46" s="3">
        <f t="shared" si="41"/>
        <v>298</v>
      </c>
      <c r="H46" s="3">
        <f>VLOOKUP(B46,原始数据!$H$6:$N$31,7,FALSE)</f>
        <v>10</v>
      </c>
      <c r="I46" s="3">
        <f>VLOOKUP(B46,原始数据!$H$6:$O$31,8,FALSE)</f>
        <v>50</v>
      </c>
    </row>
    <row r="47" spans="1:9">
      <c r="A47" s="3">
        <v>54</v>
      </c>
      <c r="B47" s="3">
        <v>5</v>
      </c>
      <c r="C47" s="3">
        <f t="shared" si="37"/>
        <v>19</v>
      </c>
      <c r="D47" s="3">
        <f t="shared" si="38"/>
        <v>38</v>
      </c>
      <c r="E47" s="3">
        <f t="shared" si="39"/>
        <v>78</v>
      </c>
      <c r="F47" s="3">
        <f t="shared" si="40"/>
        <v>157</v>
      </c>
      <c r="G47" s="3">
        <f t="shared" si="41"/>
        <v>315</v>
      </c>
      <c r="H47" s="3">
        <f>VLOOKUP(B47,原始数据!$H$6:$N$31,7,FALSE)</f>
        <v>10</v>
      </c>
      <c r="I47" s="3">
        <f>VLOOKUP(B47,原始数据!$H$6:$O$31,8,FALSE)</f>
        <v>50</v>
      </c>
    </row>
    <row r="48" spans="1:9">
      <c r="A48" s="3">
        <v>55</v>
      </c>
      <c r="B48" s="3">
        <v>5</v>
      </c>
      <c r="C48" s="3">
        <f t="shared" si="37"/>
        <v>20</v>
      </c>
      <c r="D48" s="3">
        <f t="shared" si="38"/>
        <v>41</v>
      </c>
      <c r="E48" s="3">
        <f t="shared" si="39"/>
        <v>83</v>
      </c>
      <c r="F48" s="3">
        <f t="shared" si="40"/>
        <v>166</v>
      </c>
      <c r="G48" s="3">
        <f t="shared" si="41"/>
        <v>332</v>
      </c>
      <c r="H48" s="3">
        <f>VLOOKUP(B48,原始数据!$H$6:$N$31,7,FALSE)</f>
        <v>10</v>
      </c>
      <c r="I48" s="3">
        <f>VLOOKUP(B48,原始数据!$H$6:$O$31,8,FALSE)</f>
        <v>50</v>
      </c>
    </row>
    <row r="49" spans="1:9">
      <c r="A49" s="3">
        <v>56</v>
      </c>
      <c r="B49" s="3">
        <v>5</v>
      </c>
      <c r="C49" s="3">
        <f t="shared" si="37"/>
        <v>21</v>
      </c>
      <c r="D49" s="3">
        <f t="shared" si="38"/>
        <v>43</v>
      </c>
      <c r="E49" s="3">
        <f t="shared" si="39"/>
        <v>87</v>
      </c>
      <c r="F49" s="3">
        <f t="shared" si="40"/>
        <v>174</v>
      </c>
      <c r="G49" s="3">
        <f t="shared" si="41"/>
        <v>348</v>
      </c>
      <c r="H49" s="3">
        <f>VLOOKUP(B49,原始数据!$H$6:$N$31,7,FALSE)</f>
        <v>10</v>
      </c>
      <c r="I49" s="3">
        <f>VLOOKUP(B49,原始数据!$H$6:$O$31,8,FALSE)</f>
        <v>50</v>
      </c>
    </row>
    <row r="50" spans="1:9">
      <c r="A50" s="3">
        <v>57</v>
      </c>
      <c r="B50" s="3">
        <v>5</v>
      </c>
      <c r="C50" s="3">
        <f t="shared" si="37"/>
        <v>22</v>
      </c>
      <c r="D50" s="3">
        <f t="shared" si="38"/>
        <v>45</v>
      </c>
      <c r="E50" s="3">
        <f t="shared" si="39"/>
        <v>91</v>
      </c>
      <c r="F50" s="3">
        <f t="shared" si="40"/>
        <v>182</v>
      </c>
      <c r="G50" s="3">
        <f t="shared" si="41"/>
        <v>365</v>
      </c>
      <c r="H50" s="3">
        <f>VLOOKUP(B50,原始数据!$H$6:$N$31,7,FALSE)</f>
        <v>10</v>
      </c>
      <c r="I50" s="3">
        <f>VLOOKUP(B50,原始数据!$H$6:$O$31,8,FALSE)</f>
        <v>50</v>
      </c>
    </row>
    <row r="51" spans="1:9">
      <c r="A51" s="3">
        <v>58</v>
      </c>
      <c r="B51" s="3">
        <v>5</v>
      </c>
      <c r="C51" s="3">
        <f t="shared" si="37"/>
        <v>23</v>
      </c>
      <c r="D51" s="3">
        <f t="shared" si="38"/>
        <v>47</v>
      </c>
      <c r="E51" s="3">
        <f t="shared" si="39"/>
        <v>95</v>
      </c>
      <c r="F51" s="3">
        <f t="shared" si="40"/>
        <v>190</v>
      </c>
      <c r="G51" s="3">
        <f t="shared" si="41"/>
        <v>381</v>
      </c>
      <c r="H51" s="3">
        <f>VLOOKUP(B51,原始数据!$H$6:$N$31,7,FALSE)</f>
        <v>10</v>
      </c>
      <c r="I51" s="3">
        <f>VLOOKUP(B51,原始数据!$H$6:$O$31,8,FALSE)</f>
        <v>50</v>
      </c>
    </row>
    <row r="52" spans="1:9">
      <c r="A52" s="3">
        <v>59</v>
      </c>
      <c r="B52" s="3">
        <v>5</v>
      </c>
      <c r="C52" s="3">
        <f t="shared" si="37"/>
        <v>24</v>
      </c>
      <c r="D52" s="3">
        <f t="shared" si="38"/>
        <v>49</v>
      </c>
      <c r="E52" s="3">
        <f t="shared" si="39"/>
        <v>99</v>
      </c>
      <c r="F52" s="3">
        <f t="shared" si="40"/>
        <v>199</v>
      </c>
      <c r="G52" s="3">
        <f t="shared" si="41"/>
        <v>398</v>
      </c>
      <c r="H52" s="3">
        <f>VLOOKUP(B52,原始数据!$H$6:$N$31,7,FALSE)</f>
        <v>10</v>
      </c>
      <c r="I52" s="3">
        <f>VLOOKUP(B52,原始数据!$H$6:$O$31,8,FALSE)</f>
        <v>50</v>
      </c>
    </row>
    <row r="53" spans="1:9">
      <c r="A53" s="3">
        <v>60</v>
      </c>
      <c r="B53" s="3">
        <v>5</v>
      </c>
      <c r="C53" s="3">
        <f t="shared" si="37"/>
        <v>25</v>
      </c>
      <c r="D53" s="3">
        <f t="shared" si="38"/>
        <v>51</v>
      </c>
      <c r="E53" s="3">
        <f t="shared" si="39"/>
        <v>103</v>
      </c>
      <c r="F53" s="3">
        <f t="shared" si="40"/>
        <v>207</v>
      </c>
      <c r="G53" s="3">
        <f t="shared" si="41"/>
        <v>415</v>
      </c>
      <c r="H53" s="3">
        <f>VLOOKUP(B53,原始数据!$H$6:$N$31,7,FALSE)</f>
        <v>10</v>
      </c>
      <c r="I53" s="3">
        <f>VLOOKUP(B53,原始数据!$H$6:$O$31,8,FALSE)</f>
        <v>50</v>
      </c>
    </row>
    <row r="54" spans="1:9">
      <c r="A54" s="3">
        <v>61</v>
      </c>
      <c r="B54" s="3">
        <v>6</v>
      </c>
      <c r="C54" s="1">
        <f>INT(F54/($J$4*$J$4*$J$4))</f>
        <v>31</v>
      </c>
      <c r="D54" s="1">
        <f>INT(F54/($J$4*$J$4))</f>
        <v>62</v>
      </c>
      <c r="E54" s="1">
        <f>INT(F54/$J$4)</f>
        <v>125</v>
      </c>
      <c r="F54" s="1">
        <f>原始数据!R11</f>
        <v>250</v>
      </c>
      <c r="G54" s="1">
        <f>F54*2</f>
        <v>500</v>
      </c>
      <c r="H54" s="3">
        <f>VLOOKUP(B54,原始数据!$H$6:$N$31,7,FALSE)</f>
        <v>10</v>
      </c>
      <c r="I54" s="3">
        <f>VLOOKUP(B54,原始数据!$H$6:$O$31,8,FALSE)</f>
        <v>33</v>
      </c>
    </row>
    <row r="55" spans="1:9">
      <c r="A55" s="3">
        <v>62</v>
      </c>
      <c r="B55" s="3">
        <v>6</v>
      </c>
      <c r="C55" s="3">
        <f>INT(C$54*(MOD($A55-1,10)*0.05+0.8))</f>
        <v>26</v>
      </c>
      <c r="D55" s="3">
        <f t="shared" ref="D55:D63" si="42">INT(D$54*(MOD($A55-1,10)*0.05+0.8))</f>
        <v>52</v>
      </c>
      <c r="E55" s="3">
        <f t="shared" ref="E55:E63" si="43">INT(E$54*(MOD($A55-1,10)*0.05+0.8))</f>
        <v>106</v>
      </c>
      <c r="F55" s="3">
        <f t="shared" ref="F55:F63" si="44">INT(F$54*(MOD($A55-1,10)*0.05+0.8))</f>
        <v>212</v>
      </c>
      <c r="G55" s="3">
        <f t="shared" ref="G55:G63" si="45">INT(G$54*(MOD($A55-1,10)*0.05+0.8))</f>
        <v>425</v>
      </c>
      <c r="H55" s="3">
        <f>VLOOKUP(B55,原始数据!$H$6:$N$31,7,FALSE)</f>
        <v>10</v>
      </c>
      <c r="I55" s="3">
        <f>VLOOKUP(B55,原始数据!$H$6:$O$31,8,FALSE)</f>
        <v>33</v>
      </c>
    </row>
    <row r="56" spans="1:9">
      <c r="A56" s="3">
        <v>63</v>
      </c>
      <c r="B56" s="3">
        <v>6</v>
      </c>
      <c r="C56" s="3">
        <f t="shared" ref="C56:C63" si="46">INT(C$54*(MOD($A56-1,10)*0.05+0.8))</f>
        <v>27</v>
      </c>
      <c r="D56" s="3">
        <f t="shared" si="42"/>
        <v>55</v>
      </c>
      <c r="E56" s="3">
        <f t="shared" si="43"/>
        <v>112</v>
      </c>
      <c r="F56" s="3">
        <f t="shared" si="44"/>
        <v>225</v>
      </c>
      <c r="G56" s="3">
        <f t="shared" si="45"/>
        <v>450</v>
      </c>
      <c r="H56" s="3">
        <f>VLOOKUP(B56,原始数据!$H$6:$N$31,7,FALSE)</f>
        <v>10</v>
      </c>
      <c r="I56" s="3">
        <f>VLOOKUP(B56,原始数据!$H$6:$O$31,8,FALSE)</f>
        <v>33</v>
      </c>
    </row>
    <row r="57" spans="1:9">
      <c r="A57" s="3">
        <v>64</v>
      </c>
      <c r="B57" s="3">
        <v>6</v>
      </c>
      <c r="C57" s="3">
        <f t="shared" si="46"/>
        <v>29</v>
      </c>
      <c r="D57" s="3">
        <f t="shared" si="42"/>
        <v>58</v>
      </c>
      <c r="E57" s="3">
        <f t="shared" si="43"/>
        <v>118</v>
      </c>
      <c r="F57" s="3">
        <f t="shared" si="44"/>
        <v>237</v>
      </c>
      <c r="G57" s="3">
        <f t="shared" si="45"/>
        <v>475</v>
      </c>
      <c r="H57" s="3">
        <f>VLOOKUP(B57,原始数据!$H$6:$N$31,7,FALSE)</f>
        <v>10</v>
      </c>
      <c r="I57" s="3">
        <f>VLOOKUP(B57,原始数据!$H$6:$O$31,8,FALSE)</f>
        <v>33</v>
      </c>
    </row>
    <row r="58" spans="1:9">
      <c r="A58" s="3">
        <v>65</v>
      </c>
      <c r="B58" s="3">
        <v>6</v>
      </c>
      <c r="C58" s="3">
        <f t="shared" si="46"/>
        <v>31</v>
      </c>
      <c r="D58" s="3">
        <f t="shared" si="42"/>
        <v>62</v>
      </c>
      <c r="E58" s="3">
        <f t="shared" si="43"/>
        <v>125</v>
      </c>
      <c r="F58" s="3">
        <f t="shared" si="44"/>
        <v>250</v>
      </c>
      <c r="G58" s="3">
        <f t="shared" si="45"/>
        <v>500</v>
      </c>
      <c r="H58" s="3">
        <f>VLOOKUP(B58,原始数据!$H$6:$N$31,7,FALSE)</f>
        <v>10</v>
      </c>
      <c r="I58" s="3">
        <f>VLOOKUP(B58,原始数据!$H$6:$O$31,8,FALSE)</f>
        <v>33</v>
      </c>
    </row>
    <row r="59" spans="1:9">
      <c r="A59" s="3">
        <v>66</v>
      </c>
      <c r="B59" s="3">
        <v>6</v>
      </c>
      <c r="C59" s="3">
        <f t="shared" si="46"/>
        <v>32</v>
      </c>
      <c r="D59" s="3">
        <f t="shared" si="42"/>
        <v>65</v>
      </c>
      <c r="E59" s="3">
        <f t="shared" si="43"/>
        <v>131</v>
      </c>
      <c r="F59" s="3">
        <f t="shared" si="44"/>
        <v>262</v>
      </c>
      <c r="G59" s="3">
        <f t="shared" si="45"/>
        <v>525</v>
      </c>
      <c r="H59" s="3">
        <f>VLOOKUP(B59,原始数据!$H$6:$N$31,7,FALSE)</f>
        <v>10</v>
      </c>
      <c r="I59" s="3">
        <f>VLOOKUP(B59,原始数据!$H$6:$O$31,8,FALSE)</f>
        <v>33</v>
      </c>
    </row>
    <row r="60" spans="1:9">
      <c r="A60" s="3">
        <v>67</v>
      </c>
      <c r="B60" s="3">
        <v>6</v>
      </c>
      <c r="C60" s="3">
        <f t="shared" si="46"/>
        <v>34</v>
      </c>
      <c r="D60" s="3">
        <f t="shared" si="42"/>
        <v>68</v>
      </c>
      <c r="E60" s="3">
        <f t="shared" si="43"/>
        <v>137</v>
      </c>
      <c r="F60" s="3">
        <f t="shared" si="44"/>
        <v>275</v>
      </c>
      <c r="G60" s="3">
        <f t="shared" si="45"/>
        <v>550</v>
      </c>
      <c r="H60" s="3">
        <f>VLOOKUP(B60,原始数据!$H$6:$N$31,7,FALSE)</f>
        <v>10</v>
      </c>
      <c r="I60" s="3">
        <f>VLOOKUP(B60,原始数据!$H$6:$O$31,8,FALSE)</f>
        <v>33</v>
      </c>
    </row>
    <row r="61" spans="1:9">
      <c r="A61" s="3">
        <v>68</v>
      </c>
      <c r="B61" s="3">
        <v>6</v>
      </c>
      <c r="C61" s="3">
        <f t="shared" si="46"/>
        <v>35</v>
      </c>
      <c r="D61" s="3">
        <f t="shared" si="42"/>
        <v>71</v>
      </c>
      <c r="E61" s="3">
        <f t="shared" si="43"/>
        <v>143</v>
      </c>
      <c r="F61" s="3">
        <f t="shared" si="44"/>
        <v>287</v>
      </c>
      <c r="G61" s="3">
        <f t="shared" si="45"/>
        <v>575</v>
      </c>
      <c r="H61" s="3">
        <f>VLOOKUP(B61,原始数据!$H$6:$N$31,7,FALSE)</f>
        <v>10</v>
      </c>
      <c r="I61" s="3">
        <f>VLOOKUP(B61,原始数据!$H$6:$O$31,8,FALSE)</f>
        <v>33</v>
      </c>
    </row>
    <row r="62" spans="1:9">
      <c r="A62" s="3">
        <v>69</v>
      </c>
      <c r="B62" s="3">
        <v>6</v>
      </c>
      <c r="C62" s="3">
        <f t="shared" si="46"/>
        <v>37</v>
      </c>
      <c r="D62" s="3">
        <f t="shared" si="42"/>
        <v>74</v>
      </c>
      <c r="E62" s="3">
        <f t="shared" si="43"/>
        <v>150</v>
      </c>
      <c r="F62" s="3">
        <f t="shared" si="44"/>
        <v>300</v>
      </c>
      <c r="G62" s="3">
        <f t="shared" si="45"/>
        <v>600</v>
      </c>
      <c r="H62" s="3">
        <f>VLOOKUP(B62,原始数据!$H$6:$N$31,7,FALSE)</f>
        <v>10</v>
      </c>
      <c r="I62" s="3">
        <f>VLOOKUP(B62,原始数据!$H$6:$O$31,8,FALSE)</f>
        <v>33</v>
      </c>
    </row>
    <row r="63" spans="1:9">
      <c r="A63" s="3">
        <v>70</v>
      </c>
      <c r="B63" s="3">
        <v>6</v>
      </c>
      <c r="C63" s="3">
        <f t="shared" si="46"/>
        <v>38</v>
      </c>
      <c r="D63" s="3">
        <f t="shared" si="42"/>
        <v>77</v>
      </c>
      <c r="E63" s="3">
        <f t="shared" si="43"/>
        <v>156</v>
      </c>
      <c r="F63" s="3">
        <f t="shared" si="44"/>
        <v>312</v>
      </c>
      <c r="G63" s="3">
        <f t="shared" si="45"/>
        <v>625</v>
      </c>
      <c r="H63" s="3">
        <f>VLOOKUP(B63,原始数据!$H$6:$N$31,7,FALSE)</f>
        <v>10</v>
      </c>
      <c r="I63" s="3">
        <f>VLOOKUP(B63,原始数据!$H$6:$O$31,8,FALSE)</f>
        <v>33</v>
      </c>
    </row>
    <row r="64" spans="1:9">
      <c r="A64" s="3">
        <v>71</v>
      </c>
      <c r="B64" s="3">
        <v>7</v>
      </c>
      <c r="C64" s="1">
        <f>INT(F64/($J$4*$J$4*$J$4))</f>
        <v>15</v>
      </c>
      <c r="D64" s="1">
        <f>INT(F64/($J$4*$J$4))</f>
        <v>31</v>
      </c>
      <c r="E64" s="1">
        <f>INT(F64/$J$4)</f>
        <v>62</v>
      </c>
      <c r="F64" s="1">
        <f>原始数据!R12</f>
        <v>125</v>
      </c>
      <c r="G64" s="1">
        <f>F64*2</f>
        <v>250</v>
      </c>
      <c r="H64" s="3">
        <f>VLOOKUP(B64,原始数据!$H$6:$N$31,7,FALSE)</f>
        <v>10</v>
      </c>
      <c r="I64" s="3">
        <f>VLOOKUP(B64,原始数据!$H$6:$O$31,8,FALSE)</f>
        <v>66</v>
      </c>
    </row>
    <row r="65" spans="1:9">
      <c r="A65" s="3">
        <v>72</v>
      </c>
      <c r="B65" s="3">
        <v>7</v>
      </c>
      <c r="C65" s="3">
        <f>INT(C$64*(MOD($A65-1,10)*0.05+0.8))</f>
        <v>12</v>
      </c>
      <c r="D65" s="3">
        <f t="shared" ref="D65:D73" si="47">INT(D$64*(MOD($A65-1,10)*0.05+0.8))</f>
        <v>26</v>
      </c>
      <c r="E65" s="3">
        <f t="shared" ref="E65:E73" si="48">INT(E$64*(MOD($A65-1,10)*0.05+0.8))</f>
        <v>52</v>
      </c>
      <c r="F65" s="3">
        <f t="shared" ref="F65:F73" si="49">INT(F$64*(MOD($A65-1,10)*0.05+0.8))</f>
        <v>106</v>
      </c>
      <c r="G65" s="3">
        <f t="shared" ref="G65:G73" si="50">INT(G$64*(MOD($A65-1,10)*0.05+0.8))</f>
        <v>212</v>
      </c>
      <c r="H65" s="3">
        <f>VLOOKUP(B65,原始数据!$H$6:$N$31,7,FALSE)</f>
        <v>10</v>
      </c>
      <c r="I65" s="3">
        <f>VLOOKUP(B65,原始数据!$H$6:$O$31,8,FALSE)</f>
        <v>66</v>
      </c>
    </row>
    <row r="66" spans="1:9">
      <c r="A66" s="3">
        <v>73</v>
      </c>
      <c r="B66" s="3">
        <v>7</v>
      </c>
      <c r="C66" s="3">
        <f t="shared" ref="C66:C73" si="51">INT(C$64*(MOD($A66-1,10)*0.05+0.8))</f>
        <v>13</v>
      </c>
      <c r="D66" s="3">
        <f t="shared" si="47"/>
        <v>27</v>
      </c>
      <c r="E66" s="3">
        <f t="shared" si="48"/>
        <v>55</v>
      </c>
      <c r="F66" s="3">
        <f t="shared" si="49"/>
        <v>112</v>
      </c>
      <c r="G66" s="3">
        <f t="shared" si="50"/>
        <v>225</v>
      </c>
      <c r="H66" s="3">
        <f>VLOOKUP(B66,原始数据!$H$6:$N$31,7,FALSE)</f>
        <v>10</v>
      </c>
      <c r="I66" s="3">
        <f>VLOOKUP(B66,原始数据!$H$6:$O$31,8,FALSE)</f>
        <v>66</v>
      </c>
    </row>
    <row r="67" spans="1:9">
      <c r="A67" s="3">
        <v>74</v>
      </c>
      <c r="B67" s="3">
        <v>7</v>
      </c>
      <c r="C67" s="3">
        <f t="shared" si="51"/>
        <v>14</v>
      </c>
      <c r="D67" s="3">
        <f t="shared" si="47"/>
        <v>29</v>
      </c>
      <c r="E67" s="3">
        <f t="shared" si="48"/>
        <v>58</v>
      </c>
      <c r="F67" s="3">
        <f t="shared" si="49"/>
        <v>118</v>
      </c>
      <c r="G67" s="3">
        <f t="shared" si="50"/>
        <v>237</v>
      </c>
      <c r="H67" s="3">
        <f>VLOOKUP(B67,原始数据!$H$6:$N$31,7,FALSE)</f>
        <v>10</v>
      </c>
      <c r="I67" s="3">
        <f>VLOOKUP(B67,原始数据!$H$6:$O$31,8,FALSE)</f>
        <v>66</v>
      </c>
    </row>
    <row r="68" spans="1:9">
      <c r="A68" s="3">
        <v>75</v>
      </c>
      <c r="B68" s="3">
        <v>7</v>
      </c>
      <c r="C68" s="3">
        <f t="shared" si="51"/>
        <v>15</v>
      </c>
      <c r="D68" s="3">
        <f t="shared" si="47"/>
        <v>31</v>
      </c>
      <c r="E68" s="3">
        <f t="shared" si="48"/>
        <v>62</v>
      </c>
      <c r="F68" s="3">
        <f t="shared" si="49"/>
        <v>125</v>
      </c>
      <c r="G68" s="3">
        <f t="shared" si="50"/>
        <v>250</v>
      </c>
      <c r="H68" s="3">
        <f>VLOOKUP(B68,原始数据!$H$6:$N$31,7,FALSE)</f>
        <v>10</v>
      </c>
      <c r="I68" s="3">
        <f>VLOOKUP(B68,原始数据!$H$6:$O$31,8,FALSE)</f>
        <v>66</v>
      </c>
    </row>
    <row r="69" spans="1:9">
      <c r="A69" s="3">
        <v>76</v>
      </c>
      <c r="B69" s="3">
        <v>7</v>
      </c>
      <c r="C69" s="3">
        <f t="shared" si="51"/>
        <v>15</v>
      </c>
      <c r="D69" s="3">
        <f t="shared" si="47"/>
        <v>32</v>
      </c>
      <c r="E69" s="3">
        <f t="shared" si="48"/>
        <v>65</v>
      </c>
      <c r="F69" s="3">
        <f t="shared" si="49"/>
        <v>131</v>
      </c>
      <c r="G69" s="3">
        <f t="shared" si="50"/>
        <v>262</v>
      </c>
      <c r="H69" s="3">
        <f>VLOOKUP(B69,原始数据!$H$6:$N$31,7,FALSE)</f>
        <v>10</v>
      </c>
      <c r="I69" s="3">
        <f>VLOOKUP(B69,原始数据!$H$6:$O$31,8,FALSE)</f>
        <v>66</v>
      </c>
    </row>
    <row r="70" spans="1:9">
      <c r="A70" s="3">
        <v>77</v>
      </c>
      <c r="B70" s="3">
        <v>7</v>
      </c>
      <c r="C70" s="3">
        <f t="shared" si="51"/>
        <v>16</v>
      </c>
      <c r="D70" s="3">
        <f t="shared" si="47"/>
        <v>34</v>
      </c>
      <c r="E70" s="3">
        <f t="shared" si="48"/>
        <v>68</v>
      </c>
      <c r="F70" s="3">
        <f t="shared" si="49"/>
        <v>137</v>
      </c>
      <c r="G70" s="3">
        <f t="shared" si="50"/>
        <v>275</v>
      </c>
      <c r="H70" s="3">
        <f>VLOOKUP(B70,原始数据!$H$6:$N$31,7,FALSE)</f>
        <v>10</v>
      </c>
      <c r="I70" s="3">
        <f>VLOOKUP(B70,原始数据!$H$6:$O$31,8,FALSE)</f>
        <v>66</v>
      </c>
    </row>
    <row r="71" spans="1:9">
      <c r="A71" s="3">
        <v>78</v>
      </c>
      <c r="B71" s="3">
        <v>7</v>
      </c>
      <c r="C71" s="3">
        <f t="shared" si="51"/>
        <v>17</v>
      </c>
      <c r="D71" s="3">
        <f t="shared" si="47"/>
        <v>35</v>
      </c>
      <c r="E71" s="3">
        <f t="shared" si="48"/>
        <v>71</v>
      </c>
      <c r="F71" s="3">
        <f t="shared" si="49"/>
        <v>143</v>
      </c>
      <c r="G71" s="3">
        <f t="shared" si="50"/>
        <v>287</v>
      </c>
      <c r="H71" s="3">
        <f>VLOOKUP(B71,原始数据!$H$6:$N$31,7,FALSE)</f>
        <v>10</v>
      </c>
      <c r="I71" s="3">
        <f>VLOOKUP(B71,原始数据!$H$6:$O$31,8,FALSE)</f>
        <v>66</v>
      </c>
    </row>
    <row r="72" spans="1:9">
      <c r="A72" s="3">
        <v>79</v>
      </c>
      <c r="B72" s="3">
        <v>7</v>
      </c>
      <c r="C72" s="3">
        <f t="shared" si="51"/>
        <v>18</v>
      </c>
      <c r="D72" s="3">
        <f t="shared" si="47"/>
        <v>37</v>
      </c>
      <c r="E72" s="3">
        <f t="shared" si="48"/>
        <v>74</v>
      </c>
      <c r="F72" s="3">
        <f t="shared" si="49"/>
        <v>150</v>
      </c>
      <c r="G72" s="3">
        <f t="shared" si="50"/>
        <v>300</v>
      </c>
      <c r="H72" s="3">
        <f>VLOOKUP(B72,原始数据!$H$6:$N$31,7,FALSE)</f>
        <v>10</v>
      </c>
      <c r="I72" s="3">
        <f>VLOOKUP(B72,原始数据!$H$6:$O$31,8,FALSE)</f>
        <v>66</v>
      </c>
    </row>
    <row r="73" spans="1:9">
      <c r="A73" s="3">
        <v>80</v>
      </c>
      <c r="B73" s="3">
        <v>7</v>
      </c>
      <c r="C73" s="3">
        <f t="shared" si="51"/>
        <v>18</v>
      </c>
      <c r="D73" s="3">
        <f t="shared" si="47"/>
        <v>38</v>
      </c>
      <c r="E73" s="3">
        <f t="shared" si="48"/>
        <v>77</v>
      </c>
      <c r="F73" s="3">
        <f t="shared" si="49"/>
        <v>156</v>
      </c>
      <c r="G73" s="3">
        <f t="shared" si="50"/>
        <v>312</v>
      </c>
      <c r="H73" s="3">
        <f>VLOOKUP(B73,原始数据!$H$6:$N$31,7,FALSE)</f>
        <v>10</v>
      </c>
      <c r="I73" s="3">
        <f>VLOOKUP(B73,原始数据!$H$6:$O$31,8,FALSE)</f>
        <v>66</v>
      </c>
    </row>
    <row r="74" spans="1:9">
      <c r="A74" s="3">
        <v>81</v>
      </c>
      <c r="B74" s="3">
        <v>8</v>
      </c>
      <c r="C74" s="1">
        <f>INT(F74/($J$4*$J$4*$J$4))</f>
        <v>8</v>
      </c>
      <c r="D74" s="1">
        <f>INT(F74/($J$4*$J$4))</f>
        <v>16</v>
      </c>
      <c r="E74" s="1">
        <f>INT(F74/$J$4)</f>
        <v>33</v>
      </c>
      <c r="F74" s="1">
        <f>原始数据!R13</f>
        <v>66</v>
      </c>
      <c r="G74" s="1">
        <f>F74*2</f>
        <v>132</v>
      </c>
      <c r="H74" s="3">
        <f>VLOOKUP(B74,原始数据!$H$6:$N$31,7,FALSE)</f>
        <v>10</v>
      </c>
      <c r="I74" s="3">
        <f>VLOOKUP(B74,原始数据!$H$6:$O$31,8,FALSE)</f>
        <v>125</v>
      </c>
    </row>
    <row r="75" spans="1:9">
      <c r="A75" s="3">
        <v>82</v>
      </c>
      <c r="B75" s="3">
        <v>8</v>
      </c>
      <c r="C75" s="3">
        <f>INT(C$74*(MOD($A75-1,10)*0.05+0.8))</f>
        <v>6</v>
      </c>
      <c r="D75" s="3">
        <f t="shared" ref="D75:D83" si="52">INT(D$74*(MOD($A75-1,10)*0.05+0.8))</f>
        <v>13</v>
      </c>
      <c r="E75" s="3">
        <f t="shared" ref="E75:E83" si="53">INT(E$74*(MOD($A75-1,10)*0.05+0.8))</f>
        <v>28</v>
      </c>
      <c r="F75" s="3">
        <f t="shared" ref="F75:F83" si="54">INT(F$74*(MOD($A75-1,10)*0.05+0.8))</f>
        <v>56</v>
      </c>
      <c r="G75" s="3">
        <f t="shared" ref="G75:G83" si="55">INT(G$74*(MOD($A75-1,10)*0.05+0.8))</f>
        <v>112</v>
      </c>
      <c r="H75" s="3">
        <f>VLOOKUP(B75,原始数据!$H$6:$N$31,7,FALSE)</f>
        <v>10</v>
      </c>
      <c r="I75" s="3">
        <f>VLOOKUP(B75,原始数据!$H$6:$O$31,8,FALSE)</f>
        <v>125</v>
      </c>
    </row>
    <row r="76" spans="1:9">
      <c r="A76" s="3">
        <v>83</v>
      </c>
      <c r="B76" s="3">
        <v>8</v>
      </c>
      <c r="C76" s="3">
        <f t="shared" ref="C76:C83" si="56">INT(C$74*(MOD($A76-1,10)*0.05+0.8))</f>
        <v>7</v>
      </c>
      <c r="D76" s="3">
        <f t="shared" si="52"/>
        <v>14</v>
      </c>
      <c r="E76" s="3">
        <f t="shared" si="53"/>
        <v>29</v>
      </c>
      <c r="F76" s="3">
        <f t="shared" si="54"/>
        <v>59</v>
      </c>
      <c r="G76" s="3">
        <f t="shared" si="55"/>
        <v>118</v>
      </c>
      <c r="H76" s="3">
        <f>VLOOKUP(B76,原始数据!$H$6:$N$31,7,FALSE)</f>
        <v>10</v>
      </c>
      <c r="I76" s="3">
        <f>VLOOKUP(B76,原始数据!$H$6:$O$31,8,FALSE)</f>
        <v>125</v>
      </c>
    </row>
    <row r="77" spans="1:9">
      <c r="A77" s="3">
        <v>84</v>
      </c>
      <c r="B77" s="3">
        <v>8</v>
      </c>
      <c r="C77" s="3">
        <f t="shared" si="56"/>
        <v>7</v>
      </c>
      <c r="D77" s="3">
        <f t="shared" si="52"/>
        <v>15</v>
      </c>
      <c r="E77" s="3">
        <f t="shared" si="53"/>
        <v>31</v>
      </c>
      <c r="F77" s="3">
        <f t="shared" si="54"/>
        <v>62</v>
      </c>
      <c r="G77" s="3">
        <f t="shared" si="55"/>
        <v>125</v>
      </c>
      <c r="H77" s="3">
        <f>VLOOKUP(B77,原始数据!$H$6:$N$31,7,FALSE)</f>
        <v>10</v>
      </c>
      <c r="I77" s="3">
        <f>VLOOKUP(B77,原始数据!$H$6:$O$31,8,FALSE)</f>
        <v>125</v>
      </c>
    </row>
    <row r="78" spans="1:9">
      <c r="A78" s="3">
        <v>85</v>
      </c>
      <c r="B78" s="3">
        <v>8</v>
      </c>
      <c r="C78" s="3">
        <f t="shared" si="56"/>
        <v>8</v>
      </c>
      <c r="D78" s="3">
        <f t="shared" si="52"/>
        <v>16</v>
      </c>
      <c r="E78" s="3">
        <f t="shared" si="53"/>
        <v>33</v>
      </c>
      <c r="F78" s="3">
        <f t="shared" si="54"/>
        <v>66</v>
      </c>
      <c r="G78" s="3">
        <f t="shared" si="55"/>
        <v>132</v>
      </c>
      <c r="H78" s="3">
        <f>VLOOKUP(B78,原始数据!$H$6:$N$31,7,FALSE)</f>
        <v>10</v>
      </c>
      <c r="I78" s="3">
        <f>VLOOKUP(B78,原始数据!$H$6:$O$31,8,FALSE)</f>
        <v>125</v>
      </c>
    </row>
    <row r="79" spans="1:9">
      <c r="A79" s="3">
        <v>86</v>
      </c>
      <c r="B79" s="3">
        <v>8</v>
      </c>
      <c r="C79" s="3">
        <f t="shared" si="56"/>
        <v>8</v>
      </c>
      <c r="D79" s="3">
        <f t="shared" si="52"/>
        <v>16</v>
      </c>
      <c r="E79" s="3">
        <f t="shared" si="53"/>
        <v>34</v>
      </c>
      <c r="F79" s="3">
        <f t="shared" si="54"/>
        <v>69</v>
      </c>
      <c r="G79" s="3">
        <f t="shared" si="55"/>
        <v>138</v>
      </c>
      <c r="H79" s="3">
        <f>VLOOKUP(B79,原始数据!$H$6:$N$31,7,FALSE)</f>
        <v>10</v>
      </c>
      <c r="I79" s="3">
        <f>VLOOKUP(B79,原始数据!$H$6:$O$31,8,FALSE)</f>
        <v>125</v>
      </c>
    </row>
    <row r="80" spans="1:9">
      <c r="A80" s="3">
        <v>87</v>
      </c>
      <c r="B80" s="3">
        <v>8</v>
      </c>
      <c r="C80" s="3">
        <f t="shared" si="56"/>
        <v>8</v>
      </c>
      <c r="D80" s="3">
        <f t="shared" si="52"/>
        <v>17</v>
      </c>
      <c r="E80" s="3">
        <f t="shared" si="53"/>
        <v>36</v>
      </c>
      <c r="F80" s="3">
        <f t="shared" si="54"/>
        <v>72</v>
      </c>
      <c r="G80" s="3">
        <f t="shared" si="55"/>
        <v>145</v>
      </c>
      <c r="H80" s="3">
        <f>VLOOKUP(B80,原始数据!$H$6:$N$31,7,FALSE)</f>
        <v>10</v>
      </c>
      <c r="I80" s="3">
        <f>VLOOKUP(B80,原始数据!$H$6:$O$31,8,FALSE)</f>
        <v>125</v>
      </c>
    </row>
    <row r="81" spans="1:9">
      <c r="A81" s="3">
        <v>88</v>
      </c>
      <c r="B81" s="3">
        <v>8</v>
      </c>
      <c r="C81" s="3">
        <f t="shared" si="56"/>
        <v>9</v>
      </c>
      <c r="D81" s="3">
        <f t="shared" si="52"/>
        <v>18</v>
      </c>
      <c r="E81" s="3">
        <f t="shared" si="53"/>
        <v>37</v>
      </c>
      <c r="F81" s="3">
        <f t="shared" si="54"/>
        <v>75</v>
      </c>
      <c r="G81" s="3">
        <f t="shared" si="55"/>
        <v>151</v>
      </c>
      <c r="H81" s="3">
        <f>VLOOKUP(B81,原始数据!$H$6:$N$31,7,FALSE)</f>
        <v>10</v>
      </c>
      <c r="I81" s="3">
        <f>VLOOKUP(B81,原始数据!$H$6:$O$31,8,FALSE)</f>
        <v>125</v>
      </c>
    </row>
    <row r="82" spans="1:9">
      <c r="A82" s="3">
        <v>89</v>
      </c>
      <c r="B82" s="3">
        <v>8</v>
      </c>
      <c r="C82" s="3">
        <f t="shared" si="56"/>
        <v>9</v>
      </c>
      <c r="D82" s="3">
        <f t="shared" si="52"/>
        <v>19</v>
      </c>
      <c r="E82" s="3">
        <f t="shared" si="53"/>
        <v>39</v>
      </c>
      <c r="F82" s="3">
        <f t="shared" si="54"/>
        <v>79</v>
      </c>
      <c r="G82" s="3">
        <f t="shared" si="55"/>
        <v>158</v>
      </c>
      <c r="H82" s="3">
        <f>VLOOKUP(B82,原始数据!$H$6:$N$31,7,FALSE)</f>
        <v>10</v>
      </c>
      <c r="I82" s="3">
        <f>VLOOKUP(B82,原始数据!$H$6:$O$31,8,FALSE)</f>
        <v>125</v>
      </c>
    </row>
    <row r="83" spans="1:9">
      <c r="A83" s="3">
        <v>90</v>
      </c>
      <c r="B83" s="3">
        <v>8</v>
      </c>
      <c r="C83" s="3">
        <f t="shared" si="56"/>
        <v>10</v>
      </c>
      <c r="D83" s="3">
        <f t="shared" si="52"/>
        <v>20</v>
      </c>
      <c r="E83" s="3">
        <f t="shared" si="53"/>
        <v>41</v>
      </c>
      <c r="F83" s="3">
        <f t="shared" si="54"/>
        <v>82</v>
      </c>
      <c r="G83" s="3">
        <f t="shared" si="55"/>
        <v>165</v>
      </c>
      <c r="H83" s="3">
        <f>VLOOKUP(B83,原始数据!$H$6:$N$31,7,FALSE)</f>
        <v>10</v>
      </c>
      <c r="I83" s="3">
        <f>VLOOKUP(B83,原始数据!$H$6:$O$31,8,FALSE)</f>
        <v>125</v>
      </c>
    </row>
    <row r="84" spans="1:9">
      <c r="A84" s="3">
        <v>91</v>
      </c>
      <c r="B84" s="3">
        <v>9</v>
      </c>
      <c r="C84" s="1">
        <f>INT(F84/($J$4*$J$4*$J$4))</f>
        <v>20</v>
      </c>
      <c r="D84" s="1">
        <f>INT(F84/($J$4*$J$4))</f>
        <v>41</v>
      </c>
      <c r="E84" s="1">
        <f>INT(F84/$J$4)</f>
        <v>83</v>
      </c>
      <c r="F84" s="1">
        <f>原始数据!R14</f>
        <v>166</v>
      </c>
      <c r="G84" s="1">
        <f>F84*2</f>
        <v>332</v>
      </c>
      <c r="H84" s="3">
        <f>VLOOKUP(B84,原始数据!$H$6:$N$31,7,FALSE)</f>
        <v>10</v>
      </c>
      <c r="I84" s="3">
        <f>VLOOKUP(B84,原始数据!$H$6:$O$31,8,FALSE)</f>
        <v>50</v>
      </c>
    </row>
    <row r="85" spans="1:9">
      <c r="A85" s="3">
        <v>92</v>
      </c>
      <c r="B85" s="3">
        <v>9</v>
      </c>
      <c r="C85" s="3">
        <f>INT(C$84*(MOD($A85-1,10)*0.05+0.8))</f>
        <v>17</v>
      </c>
      <c r="D85" s="3">
        <f t="shared" ref="D85:D93" si="57">INT(D$84*(MOD($A85-1,10)*0.05+0.8))</f>
        <v>34</v>
      </c>
      <c r="E85" s="3">
        <f t="shared" ref="E85:E93" si="58">INT(E$84*(MOD($A85-1,10)*0.05+0.8))</f>
        <v>70</v>
      </c>
      <c r="F85" s="3">
        <f t="shared" ref="F85:F93" si="59">INT(F$84*(MOD($A85-1,10)*0.05+0.8))</f>
        <v>141</v>
      </c>
      <c r="G85" s="3">
        <f t="shared" ref="G85:G93" si="60">INT(G$84*(MOD($A85-1,10)*0.05+0.8))</f>
        <v>282</v>
      </c>
      <c r="H85" s="3">
        <f>VLOOKUP(B85,原始数据!$H$6:$N$31,7,FALSE)</f>
        <v>10</v>
      </c>
      <c r="I85" s="3">
        <f>VLOOKUP(B85,原始数据!$H$6:$O$31,8,FALSE)</f>
        <v>50</v>
      </c>
    </row>
    <row r="86" spans="1:9">
      <c r="A86" s="3">
        <v>93</v>
      </c>
      <c r="B86" s="3">
        <v>9</v>
      </c>
      <c r="C86" s="3">
        <f t="shared" ref="C86:C93" si="61">INT(C$84*(MOD($A86-1,10)*0.05+0.8))</f>
        <v>18</v>
      </c>
      <c r="D86" s="3">
        <f t="shared" si="57"/>
        <v>36</v>
      </c>
      <c r="E86" s="3">
        <f t="shared" si="58"/>
        <v>74</v>
      </c>
      <c r="F86" s="3">
        <f t="shared" si="59"/>
        <v>149</v>
      </c>
      <c r="G86" s="3">
        <f t="shared" si="60"/>
        <v>298</v>
      </c>
      <c r="H86" s="3">
        <f>VLOOKUP(B86,原始数据!$H$6:$N$31,7,FALSE)</f>
        <v>10</v>
      </c>
      <c r="I86" s="3">
        <f>VLOOKUP(B86,原始数据!$H$6:$O$31,8,FALSE)</f>
        <v>50</v>
      </c>
    </row>
    <row r="87" spans="1:9">
      <c r="A87" s="3">
        <v>94</v>
      </c>
      <c r="B87" s="3">
        <v>9</v>
      </c>
      <c r="C87" s="3">
        <f t="shared" si="61"/>
        <v>19</v>
      </c>
      <c r="D87" s="3">
        <f t="shared" si="57"/>
        <v>38</v>
      </c>
      <c r="E87" s="3">
        <f t="shared" si="58"/>
        <v>78</v>
      </c>
      <c r="F87" s="3">
        <f t="shared" si="59"/>
        <v>157</v>
      </c>
      <c r="G87" s="3">
        <f t="shared" si="60"/>
        <v>315</v>
      </c>
      <c r="H87" s="3">
        <f>VLOOKUP(B87,原始数据!$H$6:$N$31,7,FALSE)</f>
        <v>10</v>
      </c>
      <c r="I87" s="3">
        <f>VLOOKUP(B87,原始数据!$H$6:$O$31,8,FALSE)</f>
        <v>50</v>
      </c>
    </row>
    <row r="88" spans="1:9">
      <c r="A88" s="3">
        <v>95</v>
      </c>
      <c r="B88" s="3">
        <v>9</v>
      </c>
      <c r="C88" s="3">
        <f t="shared" si="61"/>
        <v>20</v>
      </c>
      <c r="D88" s="3">
        <f t="shared" si="57"/>
        <v>41</v>
      </c>
      <c r="E88" s="3">
        <f t="shared" si="58"/>
        <v>83</v>
      </c>
      <c r="F88" s="3">
        <f t="shared" si="59"/>
        <v>166</v>
      </c>
      <c r="G88" s="3">
        <f t="shared" si="60"/>
        <v>332</v>
      </c>
      <c r="H88" s="3">
        <f>VLOOKUP(B88,原始数据!$H$6:$N$31,7,FALSE)</f>
        <v>10</v>
      </c>
      <c r="I88" s="3">
        <f>VLOOKUP(B88,原始数据!$H$6:$O$31,8,FALSE)</f>
        <v>50</v>
      </c>
    </row>
    <row r="89" spans="1:9">
      <c r="A89" s="3">
        <v>96</v>
      </c>
      <c r="B89" s="3">
        <v>9</v>
      </c>
      <c r="C89" s="3">
        <f t="shared" si="61"/>
        <v>21</v>
      </c>
      <c r="D89" s="3">
        <f t="shared" si="57"/>
        <v>43</v>
      </c>
      <c r="E89" s="3">
        <f t="shared" si="58"/>
        <v>87</v>
      </c>
      <c r="F89" s="3">
        <f t="shared" si="59"/>
        <v>174</v>
      </c>
      <c r="G89" s="3">
        <f t="shared" si="60"/>
        <v>348</v>
      </c>
      <c r="H89" s="3">
        <f>VLOOKUP(B89,原始数据!$H$6:$N$31,7,FALSE)</f>
        <v>10</v>
      </c>
      <c r="I89" s="3">
        <f>VLOOKUP(B89,原始数据!$H$6:$O$31,8,FALSE)</f>
        <v>50</v>
      </c>
    </row>
    <row r="90" spans="1:9">
      <c r="A90" s="3">
        <v>97</v>
      </c>
      <c r="B90" s="3">
        <v>9</v>
      </c>
      <c r="C90" s="3">
        <f t="shared" si="61"/>
        <v>22</v>
      </c>
      <c r="D90" s="3">
        <f t="shared" si="57"/>
        <v>45</v>
      </c>
      <c r="E90" s="3">
        <f t="shared" si="58"/>
        <v>91</v>
      </c>
      <c r="F90" s="3">
        <f t="shared" si="59"/>
        <v>182</v>
      </c>
      <c r="G90" s="3">
        <f t="shared" si="60"/>
        <v>365</v>
      </c>
      <c r="H90" s="3">
        <f>VLOOKUP(B90,原始数据!$H$6:$N$31,7,FALSE)</f>
        <v>10</v>
      </c>
      <c r="I90" s="3">
        <f>VLOOKUP(B90,原始数据!$H$6:$O$31,8,FALSE)</f>
        <v>50</v>
      </c>
    </row>
    <row r="91" spans="1:9">
      <c r="A91" s="3">
        <v>98</v>
      </c>
      <c r="B91" s="3">
        <v>9</v>
      </c>
      <c r="C91" s="3">
        <f t="shared" si="61"/>
        <v>23</v>
      </c>
      <c r="D91" s="3">
        <f t="shared" si="57"/>
        <v>47</v>
      </c>
      <c r="E91" s="3">
        <f t="shared" si="58"/>
        <v>95</v>
      </c>
      <c r="F91" s="3">
        <f t="shared" si="59"/>
        <v>190</v>
      </c>
      <c r="G91" s="3">
        <f t="shared" si="60"/>
        <v>381</v>
      </c>
      <c r="H91" s="3">
        <f>VLOOKUP(B91,原始数据!$H$6:$N$31,7,FALSE)</f>
        <v>10</v>
      </c>
      <c r="I91" s="3">
        <f>VLOOKUP(B91,原始数据!$H$6:$O$31,8,FALSE)</f>
        <v>50</v>
      </c>
    </row>
    <row r="92" spans="1:9">
      <c r="A92" s="3">
        <v>99</v>
      </c>
      <c r="B92" s="3">
        <v>9</v>
      </c>
      <c r="C92" s="3">
        <f t="shared" si="61"/>
        <v>24</v>
      </c>
      <c r="D92" s="3">
        <f t="shared" si="57"/>
        <v>49</v>
      </c>
      <c r="E92" s="3">
        <f t="shared" si="58"/>
        <v>99</v>
      </c>
      <c r="F92" s="3">
        <f t="shared" si="59"/>
        <v>199</v>
      </c>
      <c r="G92" s="3">
        <f t="shared" si="60"/>
        <v>398</v>
      </c>
      <c r="H92" s="3">
        <f>VLOOKUP(B92,原始数据!$H$6:$N$31,7,FALSE)</f>
        <v>10</v>
      </c>
      <c r="I92" s="3">
        <f>VLOOKUP(B92,原始数据!$H$6:$O$31,8,FALSE)</f>
        <v>50</v>
      </c>
    </row>
    <row r="93" spans="1:9">
      <c r="A93" s="3">
        <v>100</v>
      </c>
      <c r="B93" s="3">
        <v>9</v>
      </c>
      <c r="C93" s="3">
        <f t="shared" si="61"/>
        <v>25</v>
      </c>
      <c r="D93" s="3">
        <f t="shared" si="57"/>
        <v>51</v>
      </c>
      <c r="E93" s="3">
        <f t="shared" si="58"/>
        <v>103</v>
      </c>
      <c r="F93" s="3">
        <f t="shared" si="59"/>
        <v>207</v>
      </c>
      <c r="G93" s="3">
        <f t="shared" si="60"/>
        <v>415</v>
      </c>
      <c r="H93" s="3">
        <f>VLOOKUP(B93,原始数据!$H$6:$N$31,7,FALSE)</f>
        <v>10</v>
      </c>
      <c r="I93" s="3">
        <f>VLOOKUP(B93,原始数据!$H$6:$O$31,8,FALSE)</f>
        <v>50</v>
      </c>
    </row>
    <row r="94" spans="1:9">
      <c r="A94" s="3">
        <v>101</v>
      </c>
      <c r="B94" s="3">
        <v>10</v>
      </c>
      <c r="C94" s="1">
        <f>INT(F94/($J$4*$J$4*$J$4))</f>
        <v>8</v>
      </c>
      <c r="D94" s="1">
        <f>INT(F94/($J$4*$J$4))</f>
        <v>16</v>
      </c>
      <c r="E94" s="1">
        <f>INT(F94/$J$4)</f>
        <v>33</v>
      </c>
      <c r="F94" s="1">
        <f>原始数据!R15</f>
        <v>66</v>
      </c>
      <c r="G94" s="1">
        <f>F94*2</f>
        <v>132</v>
      </c>
      <c r="H94" s="3">
        <f>VLOOKUP(B94,原始数据!$H$6:$N$31,7,FALSE)</f>
        <v>10</v>
      </c>
      <c r="I94" s="3">
        <f>VLOOKUP(B94,原始数据!$H$6:$O$31,8,FALSE)</f>
        <v>125</v>
      </c>
    </row>
    <row r="95" spans="1:9">
      <c r="A95" s="3">
        <v>102</v>
      </c>
      <c r="B95" s="3">
        <v>10</v>
      </c>
      <c r="C95" s="3">
        <f>INT(C$94*(MOD($A95-1,10)*0.05+0.8))</f>
        <v>6</v>
      </c>
      <c r="D95" s="3">
        <f t="shared" ref="D95:D103" si="62">INT(D$94*(MOD($A95-1,10)*0.05+0.8))</f>
        <v>13</v>
      </c>
      <c r="E95" s="3">
        <f t="shared" ref="E95:E103" si="63">INT(E$94*(MOD($A95-1,10)*0.05+0.8))</f>
        <v>28</v>
      </c>
      <c r="F95" s="3">
        <f t="shared" ref="F95:F103" si="64">INT(F$94*(MOD($A95-1,10)*0.05+0.8))</f>
        <v>56</v>
      </c>
      <c r="G95" s="3">
        <f t="shared" ref="G95:G103" si="65">INT(G$94*(MOD($A95-1,10)*0.05+0.8))</f>
        <v>112</v>
      </c>
      <c r="H95" s="3">
        <f>VLOOKUP(B95,原始数据!$H$6:$N$31,7,FALSE)</f>
        <v>10</v>
      </c>
      <c r="I95" s="3">
        <f>VLOOKUP(B95,原始数据!$H$6:$O$31,8,FALSE)</f>
        <v>125</v>
      </c>
    </row>
    <row r="96" spans="1:9">
      <c r="A96" s="3">
        <v>103</v>
      </c>
      <c r="B96" s="3">
        <v>10</v>
      </c>
      <c r="C96" s="3">
        <f t="shared" ref="C96:C103" si="66">INT(C$94*(MOD($A96-1,10)*0.05+0.8))</f>
        <v>7</v>
      </c>
      <c r="D96" s="3">
        <f t="shared" si="62"/>
        <v>14</v>
      </c>
      <c r="E96" s="3">
        <f t="shared" si="63"/>
        <v>29</v>
      </c>
      <c r="F96" s="3">
        <f t="shared" si="64"/>
        <v>59</v>
      </c>
      <c r="G96" s="3">
        <f t="shared" si="65"/>
        <v>118</v>
      </c>
      <c r="H96" s="3">
        <f>VLOOKUP(B96,原始数据!$H$6:$N$31,7,FALSE)</f>
        <v>10</v>
      </c>
      <c r="I96" s="3">
        <f>VLOOKUP(B96,原始数据!$H$6:$O$31,8,FALSE)</f>
        <v>125</v>
      </c>
    </row>
    <row r="97" spans="1:9">
      <c r="A97" s="3">
        <v>104</v>
      </c>
      <c r="B97" s="3">
        <v>10</v>
      </c>
      <c r="C97" s="3">
        <f t="shared" si="66"/>
        <v>7</v>
      </c>
      <c r="D97" s="3">
        <f t="shared" si="62"/>
        <v>15</v>
      </c>
      <c r="E97" s="3">
        <f t="shared" si="63"/>
        <v>31</v>
      </c>
      <c r="F97" s="3">
        <f t="shared" si="64"/>
        <v>62</v>
      </c>
      <c r="G97" s="3">
        <f t="shared" si="65"/>
        <v>125</v>
      </c>
      <c r="H97" s="3">
        <f>VLOOKUP(B97,原始数据!$H$6:$N$31,7,FALSE)</f>
        <v>10</v>
      </c>
      <c r="I97" s="3">
        <f>VLOOKUP(B97,原始数据!$H$6:$O$31,8,FALSE)</f>
        <v>125</v>
      </c>
    </row>
    <row r="98" spans="1:9">
      <c r="A98" s="3">
        <v>105</v>
      </c>
      <c r="B98" s="3">
        <v>10</v>
      </c>
      <c r="C98" s="3">
        <f t="shared" si="66"/>
        <v>8</v>
      </c>
      <c r="D98" s="3">
        <f t="shared" si="62"/>
        <v>16</v>
      </c>
      <c r="E98" s="3">
        <f t="shared" si="63"/>
        <v>33</v>
      </c>
      <c r="F98" s="3">
        <f t="shared" si="64"/>
        <v>66</v>
      </c>
      <c r="G98" s="3">
        <f t="shared" si="65"/>
        <v>132</v>
      </c>
      <c r="H98" s="3">
        <f>VLOOKUP(B98,原始数据!$H$6:$N$31,7,FALSE)</f>
        <v>10</v>
      </c>
      <c r="I98" s="3">
        <f>VLOOKUP(B98,原始数据!$H$6:$O$31,8,FALSE)</f>
        <v>125</v>
      </c>
    </row>
    <row r="99" spans="1:9">
      <c r="A99" s="3">
        <v>106</v>
      </c>
      <c r="B99" s="3">
        <v>10</v>
      </c>
      <c r="C99" s="3">
        <f t="shared" si="66"/>
        <v>8</v>
      </c>
      <c r="D99" s="3">
        <f t="shared" si="62"/>
        <v>16</v>
      </c>
      <c r="E99" s="3">
        <f t="shared" si="63"/>
        <v>34</v>
      </c>
      <c r="F99" s="3">
        <f t="shared" si="64"/>
        <v>69</v>
      </c>
      <c r="G99" s="3">
        <f t="shared" si="65"/>
        <v>138</v>
      </c>
      <c r="H99" s="3">
        <f>VLOOKUP(B99,原始数据!$H$6:$N$31,7,FALSE)</f>
        <v>10</v>
      </c>
      <c r="I99" s="3">
        <f>VLOOKUP(B99,原始数据!$H$6:$O$31,8,FALSE)</f>
        <v>125</v>
      </c>
    </row>
    <row r="100" spans="1:9">
      <c r="A100" s="3">
        <v>107</v>
      </c>
      <c r="B100" s="3">
        <v>10</v>
      </c>
      <c r="C100" s="3">
        <f t="shared" si="66"/>
        <v>8</v>
      </c>
      <c r="D100" s="3">
        <f t="shared" si="62"/>
        <v>17</v>
      </c>
      <c r="E100" s="3">
        <f t="shared" si="63"/>
        <v>36</v>
      </c>
      <c r="F100" s="3">
        <f t="shared" si="64"/>
        <v>72</v>
      </c>
      <c r="G100" s="3">
        <f t="shared" si="65"/>
        <v>145</v>
      </c>
      <c r="H100" s="3">
        <f>VLOOKUP(B100,原始数据!$H$6:$N$31,7,FALSE)</f>
        <v>10</v>
      </c>
      <c r="I100" s="3">
        <f>VLOOKUP(B100,原始数据!$H$6:$O$31,8,FALSE)</f>
        <v>125</v>
      </c>
    </row>
    <row r="101" spans="1:9">
      <c r="A101" s="3">
        <v>108</v>
      </c>
      <c r="B101" s="3">
        <v>10</v>
      </c>
      <c r="C101" s="3">
        <f t="shared" si="66"/>
        <v>9</v>
      </c>
      <c r="D101" s="3">
        <f t="shared" si="62"/>
        <v>18</v>
      </c>
      <c r="E101" s="3">
        <f t="shared" si="63"/>
        <v>37</v>
      </c>
      <c r="F101" s="3">
        <f t="shared" si="64"/>
        <v>75</v>
      </c>
      <c r="G101" s="3">
        <f t="shared" si="65"/>
        <v>151</v>
      </c>
      <c r="H101" s="3">
        <f>VLOOKUP(B101,原始数据!$H$6:$N$31,7,FALSE)</f>
        <v>10</v>
      </c>
      <c r="I101" s="3">
        <f>VLOOKUP(B101,原始数据!$H$6:$O$31,8,FALSE)</f>
        <v>125</v>
      </c>
    </row>
    <row r="102" spans="1:9">
      <c r="A102" s="3">
        <v>109</v>
      </c>
      <c r="B102" s="3">
        <v>10</v>
      </c>
      <c r="C102" s="3">
        <f t="shared" si="66"/>
        <v>9</v>
      </c>
      <c r="D102" s="3">
        <f t="shared" si="62"/>
        <v>19</v>
      </c>
      <c r="E102" s="3">
        <f t="shared" si="63"/>
        <v>39</v>
      </c>
      <c r="F102" s="3">
        <f t="shared" si="64"/>
        <v>79</v>
      </c>
      <c r="G102" s="3">
        <f t="shared" si="65"/>
        <v>158</v>
      </c>
      <c r="H102" s="3">
        <f>VLOOKUP(B102,原始数据!$H$6:$N$31,7,FALSE)</f>
        <v>10</v>
      </c>
      <c r="I102" s="3">
        <f>VLOOKUP(B102,原始数据!$H$6:$O$31,8,FALSE)</f>
        <v>125</v>
      </c>
    </row>
    <row r="103" spans="1:9">
      <c r="A103" s="3">
        <v>110</v>
      </c>
      <c r="B103" s="3">
        <v>10</v>
      </c>
      <c r="C103" s="3">
        <f t="shared" si="66"/>
        <v>10</v>
      </c>
      <c r="D103" s="3">
        <f t="shared" si="62"/>
        <v>20</v>
      </c>
      <c r="E103" s="3">
        <f t="shared" si="63"/>
        <v>41</v>
      </c>
      <c r="F103" s="3">
        <f t="shared" si="64"/>
        <v>82</v>
      </c>
      <c r="G103" s="3">
        <f t="shared" si="65"/>
        <v>165</v>
      </c>
      <c r="H103" s="3">
        <f>VLOOKUP(B103,原始数据!$H$6:$N$31,7,FALSE)</f>
        <v>10</v>
      </c>
      <c r="I103" s="3">
        <f>VLOOKUP(B103,原始数据!$H$6:$O$31,8,FALSE)</f>
        <v>125</v>
      </c>
    </row>
    <row r="104" spans="1:9">
      <c r="A104" s="3">
        <v>111</v>
      </c>
      <c r="B104" s="3">
        <v>11</v>
      </c>
      <c r="C104" s="1">
        <f>INT(F104/($J$4*$J$4*$J$4))</f>
        <v>20</v>
      </c>
      <c r="D104" s="1">
        <f>INT(F104/($J$4*$J$4))</f>
        <v>41</v>
      </c>
      <c r="E104" s="1">
        <f>INT(F104/$J$4)</f>
        <v>83</v>
      </c>
      <c r="F104" s="1">
        <f>原始数据!R16</f>
        <v>166</v>
      </c>
      <c r="G104" s="1">
        <f>F104*2</f>
        <v>332</v>
      </c>
      <c r="H104" s="3">
        <f>VLOOKUP(B104,原始数据!$H$6:$N$31,7,FALSE)</f>
        <v>10</v>
      </c>
      <c r="I104" s="3">
        <f>VLOOKUP(B104,原始数据!$H$6:$O$31,8,FALSE)</f>
        <v>50</v>
      </c>
    </row>
    <row r="105" spans="1:9">
      <c r="A105" s="3">
        <v>112</v>
      </c>
      <c r="B105" s="3">
        <v>11</v>
      </c>
      <c r="C105" s="3">
        <f>INT(C$104*(MOD($A105-1,10)*0.05+0.8))</f>
        <v>17</v>
      </c>
      <c r="D105" s="3">
        <f t="shared" ref="D105:D113" si="67">INT(D$104*(MOD($A105-1,10)*0.05+0.8))</f>
        <v>34</v>
      </c>
      <c r="E105" s="3">
        <f t="shared" ref="E105:E113" si="68">INT(E$104*(MOD($A105-1,10)*0.05+0.8))</f>
        <v>70</v>
      </c>
      <c r="F105" s="3">
        <f t="shared" ref="F105:F113" si="69">INT(F$104*(MOD($A105-1,10)*0.05+0.8))</f>
        <v>141</v>
      </c>
      <c r="G105" s="3">
        <f t="shared" ref="G105:G113" si="70">INT(G$104*(MOD($A105-1,10)*0.05+0.8))</f>
        <v>282</v>
      </c>
      <c r="H105" s="3">
        <f>VLOOKUP(B105,原始数据!$H$6:$N$31,7,FALSE)</f>
        <v>10</v>
      </c>
      <c r="I105" s="3">
        <f>VLOOKUP(B105,原始数据!$H$6:$O$31,8,FALSE)</f>
        <v>50</v>
      </c>
    </row>
    <row r="106" spans="1:9">
      <c r="A106" s="3">
        <v>113</v>
      </c>
      <c r="B106" s="3">
        <v>11</v>
      </c>
      <c r="C106" s="3">
        <f t="shared" ref="C106:C113" si="71">INT(C$104*(MOD($A106-1,10)*0.05+0.8))</f>
        <v>18</v>
      </c>
      <c r="D106" s="3">
        <f t="shared" si="67"/>
        <v>36</v>
      </c>
      <c r="E106" s="3">
        <f t="shared" si="68"/>
        <v>74</v>
      </c>
      <c r="F106" s="3">
        <f t="shared" si="69"/>
        <v>149</v>
      </c>
      <c r="G106" s="3">
        <f t="shared" si="70"/>
        <v>298</v>
      </c>
      <c r="H106" s="3">
        <f>VLOOKUP(B106,原始数据!$H$6:$N$31,7,FALSE)</f>
        <v>10</v>
      </c>
      <c r="I106" s="3">
        <f>VLOOKUP(B106,原始数据!$H$6:$O$31,8,FALSE)</f>
        <v>50</v>
      </c>
    </row>
    <row r="107" spans="1:9">
      <c r="A107" s="3">
        <v>114</v>
      </c>
      <c r="B107" s="3">
        <v>11</v>
      </c>
      <c r="C107" s="3">
        <f t="shared" si="71"/>
        <v>19</v>
      </c>
      <c r="D107" s="3">
        <f t="shared" si="67"/>
        <v>38</v>
      </c>
      <c r="E107" s="3">
        <f t="shared" si="68"/>
        <v>78</v>
      </c>
      <c r="F107" s="3">
        <f t="shared" si="69"/>
        <v>157</v>
      </c>
      <c r="G107" s="3">
        <f t="shared" si="70"/>
        <v>315</v>
      </c>
      <c r="H107" s="3">
        <f>VLOOKUP(B107,原始数据!$H$6:$N$31,7,FALSE)</f>
        <v>10</v>
      </c>
      <c r="I107" s="3">
        <f>VLOOKUP(B107,原始数据!$H$6:$O$31,8,FALSE)</f>
        <v>50</v>
      </c>
    </row>
    <row r="108" spans="1:9">
      <c r="A108" s="3">
        <v>115</v>
      </c>
      <c r="B108" s="3">
        <v>11</v>
      </c>
      <c r="C108" s="3">
        <f t="shared" si="71"/>
        <v>20</v>
      </c>
      <c r="D108" s="3">
        <f t="shared" si="67"/>
        <v>41</v>
      </c>
      <c r="E108" s="3">
        <f t="shared" si="68"/>
        <v>83</v>
      </c>
      <c r="F108" s="3">
        <f t="shared" si="69"/>
        <v>166</v>
      </c>
      <c r="G108" s="3">
        <f t="shared" si="70"/>
        <v>332</v>
      </c>
      <c r="H108" s="3">
        <f>VLOOKUP(B108,原始数据!$H$6:$N$31,7,FALSE)</f>
        <v>10</v>
      </c>
      <c r="I108" s="3">
        <f>VLOOKUP(B108,原始数据!$H$6:$O$31,8,FALSE)</f>
        <v>50</v>
      </c>
    </row>
    <row r="109" spans="1:9">
      <c r="A109" s="3">
        <v>116</v>
      </c>
      <c r="B109" s="3">
        <v>11</v>
      </c>
      <c r="C109" s="3">
        <f t="shared" si="71"/>
        <v>21</v>
      </c>
      <c r="D109" s="3">
        <f t="shared" si="67"/>
        <v>43</v>
      </c>
      <c r="E109" s="3">
        <f t="shared" si="68"/>
        <v>87</v>
      </c>
      <c r="F109" s="3">
        <f t="shared" si="69"/>
        <v>174</v>
      </c>
      <c r="G109" s="3">
        <f t="shared" si="70"/>
        <v>348</v>
      </c>
      <c r="H109" s="3">
        <f>VLOOKUP(B109,原始数据!$H$6:$N$31,7,FALSE)</f>
        <v>10</v>
      </c>
      <c r="I109" s="3">
        <f>VLOOKUP(B109,原始数据!$H$6:$O$31,8,FALSE)</f>
        <v>50</v>
      </c>
    </row>
    <row r="110" spans="1:9">
      <c r="A110" s="3">
        <v>117</v>
      </c>
      <c r="B110" s="3">
        <v>11</v>
      </c>
      <c r="C110" s="3">
        <f t="shared" si="71"/>
        <v>22</v>
      </c>
      <c r="D110" s="3">
        <f t="shared" si="67"/>
        <v>45</v>
      </c>
      <c r="E110" s="3">
        <f t="shared" si="68"/>
        <v>91</v>
      </c>
      <c r="F110" s="3">
        <f t="shared" si="69"/>
        <v>182</v>
      </c>
      <c r="G110" s="3">
        <f t="shared" si="70"/>
        <v>365</v>
      </c>
      <c r="H110" s="3">
        <f>VLOOKUP(B110,原始数据!$H$6:$N$31,7,FALSE)</f>
        <v>10</v>
      </c>
      <c r="I110" s="3">
        <f>VLOOKUP(B110,原始数据!$H$6:$O$31,8,FALSE)</f>
        <v>50</v>
      </c>
    </row>
    <row r="111" spans="1:9">
      <c r="A111" s="3">
        <v>118</v>
      </c>
      <c r="B111" s="3">
        <v>11</v>
      </c>
      <c r="C111" s="3">
        <f t="shared" si="71"/>
        <v>23</v>
      </c>
      <c r="D111" s="3">
        <f t="shared" si="67"/>
        <v>47</v>
      </c>
      <c r="E111" s="3">
        <f t="shared" si="68"/>
        <v>95</v>
      </c>
      <c r="F111" s="3">
        <f t="shared" si="69"/>
        <v>190</v>
      </c>
      <c r="G111" s="3">
        <f t="shared" si="70"/>
        <v>381</v>
      </c>
      <c r="H111" s="3">
        <f>VLOOKUP(B111,原始数据!$H$6:$N$31,7,FALSE)</f>
        <v>10</v>
      </c>
      <c r="I111" s="3">
        <f>VLOOKUP(B111,原始数据!$H$6:$O$31,8,FALSE)</f>
        <v>50</v>
      </c>
    </row>
    <row r="112" spans="1:9">
      <c r="A112" s="3">
        <v>119</v>
      </c>
      <c r="B112" s="3">
        <v>11</v>
      </c>
      <c r="C112" s="3">
        <f t="shared" si="71"/>
        <v>24</v>
      </c>
      <c r="D112" s="3">
        <f t="shared" si="67"/>
        <v>49</v>
      </c>
      <c r="E112" s="3">
        <f t="shared" si="68"/>
        <v>99</v>
      </c>
      <c r="F112" s="3">
        <f t="shared" si="69"/>
        <v>199</v>
      </c>
      <c r="G112" s="3">
        <f t="shared" si="70"/>
        <v>398</v>
      </c>
      <c r="H112" s="3">
        <f>VLOOKUP(B112,原始数据!$H$6:$N$31,7,FALSE)</f>
        <v>10</v>
      </c>
      <c r="I112" s="3">
        <f>VLOOKUP(B112,原始数据!$H$6:$O$31,8,FALSE)</f>
        <v>50</v>
      </c>
    </row>
    <row r="113" spans="1:9">
      <c r="A113" s="3">
        <v>120</v>
      </c>
      <c r="B113" s="3">
        <v>11</v>
      </c>
      <c r="C113" s="3">
        <f t="shared" si="71"/>
        <v>25</v>
      </c>
      <c r="D113" s="3">
        <f t="shared" si="67"/>
        <v>51</v>
      </c>
      <c r="E113" s="3">
        <f t="shared" si="68"/>
        <v>103</v>
      </c>
      <c r="F113" s="3">
        <f t="shared" si="69"/>
        <v>207</v>
      </c>
      <c r="G113" s="3">
        <f t="shared" si="70"/>
        <v>415</v>
      </c>
      <c r="H113" s="3">
        <f>VLOOKUP(B113,原始数据!$H$6:$N$31,7,FALSE)</f>
        <v>10</v>
      </c>
      <c r="I113" s="3">
        <f>VLOOKUP(B113,原始数据!$H$6:$O$31,8,FALSE)</f>
        <v>50</v>
      </c>
    </row>
    <row r="114" spans="1:9">
      <c r="A114" s="3">
        <v>121</v>
      </c>
      <c r="B114" s="3">
        <v>12</v>
      </c>
      <c r="C114" s="1">
        <f>INT(F114/($J$4*$J$4*$J$4))</f>
        <v>10</v>
      </c>
      <c r="D114" s="1">
        <f>INT(F114/($J$4*$J$4))</f>
        <v>20</v>
      </c>
      <c r="E114" s="1">
        <f>INT(F114/$J$4)</f>
        <v>41</v>
      </c>
      <c r="F114" s="1">
        <f>原始数据!R17</f>
        <v>83</v>
      </c>
      <c r="G114" s="1">
        <f>F114*2</f>
        <v>166</v>
      </c>
      <c r="H114" s="3">
        <f>VLOOKUP(B114,原始数据!$H$6:$N$31,7,FALSE)</f>
        <v>10</v>
      </c>
      <c r="I114" s="3">
        <f>VLOOKUP(B114,原始数据!$H$6:$O$31,8,FALSE)</f>
        <v>100</v>
      </c>
    </row>
    <row r="115" spans="1:9">
      <c r="A115" s="3">
        <v>122</v>
      </c>
      <c r="B115" s="3">
        <v>12</v>
      </c>
      <c r="C115" s="3">
        <f>INT(C$114*(MOD($A115-1,10)*0.05+0.8))</f>
        <v>8</v>
      </c>
      <c r="D115" s="3">
        <f t="shared" ref="D115:D123" si="72">INT(D$114*(MOD($A115-1,10)*0.05+0.8))</f>
        <v>17</v>
      </c>
      <c r="E115" s="3">
        <f t="shared" ref="E115:E123" si="73">INT(E$114*(MOD($A115-1,10)*0.05+0.8))</f>
        <v>34</v>
      </c>
      <c r="F115" s="3">
        <f t="shared" ref="F115:F123" si="74">INT(F$114*(MOD($A115-1,10)*0.05+0.8))</f>
        <v>70</v>
      </c>
      <c r="G115" s="3">
        <f t="shared" ref="G115:G123" si="75">INT(G$114*(MOD($A115-1,10)*0.05+0.8))</f>
        <v>141</v>
      </c>
      <c r="H115" s="3">
        <f>VLOOKUP(B115,原始数据!$H$6:$N$31,7,FALSE)</f>
        <v>10</v>
      </c>
      <c r="I115" s="3">
        <f>VLOOKUP(B115,原始数据!$H$6:$O$31,8,FALSE)</f>
        <v>100</v>
      </c>
    </row>
    <row r="116" spans="1:9">
      <c r="A116" s="3">
        <v>123</v>
      </c>
      <c r="B116" s="3">
        <v>12</v>
      </c>
      <c r="C116" s="3">
        <f t="shared" ref="C116:C123" si="76">INT(C$114*(MOD($A116-1,10)*0.05+0.8))</f>
        <v>9</v>
      </c>
      <c r="D116" s="3">
        <f t="shared" si="72"/>
        <v>18</v>
      </c>
      <c r="E116" s="3">
        <f t="shared" si="73"/>
        <v>36</v>
      </c>
      <c r="F116" s="3">
        <f t="shared" si="74"/>
        <v>74</v>
      </c>
      <c r="G116" s="3">
        <f t="shared" si="75"/>
        <v>149</v>
      </c>
      <c r="H116" s="3">
        <f>VLOOKUP(B116,原始数据!$H$6:$N$31,7,FALSE)</f>
        <v>10</v>
      </c>
      <c r="I116" s="3">
        <f>VLOOKUP(B116,原始数据!$H$6:$O$31,8,FALSE)</f>
        <v>100</v>
      </c>
    </row>
    <row r="117" spans="1:9">
      <c r="A117" s="3">
        <v>124</v>
      </c>
      <c r="B117" s="3">
        <v>12</v>
      </c>
      <c r="C117" s="3">
        <f t="shared" si="76"/>
        <v>9</v>
      </c>
      <c r="D117" s="3">
        <f t="shared" si="72"/>
        <v>19</v>
      </c>
      <c r="E117" s="3">
        <f t="shared" si="73"/>
        <v>38</v>
      </c>
      <c r="F117" s="3">
        <f t="shared" si="74"/>
        <v>78</v>
      </c>
      <c r="G117" s="3">
        <f t="shared" si="75"/>
        <v>157</v>
      </c>
      <c r="H117" s="3">
        <f>VLOOKUP(B117,原始数据!$H$6:$N$31,7,FALSE)</f>
        <v>10</v>
      </c>
      <c r="I117" s="3">
        <f>VLOOKUP(B117,原始数据!$H$6:$O$31,8,FALSE)</f>
        <v>100</v>
      </c>
    </row>
    <row r="118" spans="1:9">
      <c r="A118" s="3">
        <v>125</v>
      </c>
      <c r="B118" s="3">
        <v>12</v>
      </c>
      <c r="C118" s="3">
        <f t="shared" si="76"/>
        <v>10</v>
      </c>
      <c r="D118" s="3">
        <f t="shared" si="72"/>
        <v>20</v>
      </c>
      <c r="E118" s="3">
        <f t="shared" si="73"/>
        <v>41</v>
      </c>
      <c r="F118" s="3">
        <f t="shared" si="74"/>
        <v>83</v>
      </c>
      <c r="G118" s="3">
        <f t="shared" si="75"/>
        <v>166</v>
      </c>
      <c r="H118" s="3">
        <f>VLOOKUP(B118,原始数据!$H$6:$N$31,7,FALSE)</f>
        <v>10</v>
      </c>
      <c r="I118" s="3">
        <f>VLOOKUP(B118,原始数据!$H$6:$O$31,8,FALSE)</f>
        <v>100</v>
      </c>
    </row>
    <row r="119" spans="1:9">
      <c r="A119" s="3">
        <v>126</v>
      </c>
      <c r="B119" s="3">
        <v>12</v>
      </c>
      <c r="C119" s="3">
        <f t="shared" si="76"/>
        <v>10</v>
      </c>
      <c r="D119" s="3">
        <f t="shared" si="72"/>
        <v>21</v>
      </c>
      <c r="E119" s="3">
        <f t="shared" si="73"/>
        <v>43</v>
      </c>
      <c r="F119" s="3">
        <f t="shared" si="74"/>
        <v>87</v>
      </c>
      <c r="G119" s="3">
        <f t="shared" si="75"/>
        <v>174</v>
      </c>
      <c r="H119" s="3">
        <f>VLOOKUP(B119,原始数据!$H$6:$N$31,7,FALSE)</f>
        <v>10</v>
      </c>
      <c r="I119" s="3">
        <f>VLOOKUP(B119,原始数据!$H$6:$O$31,8,FALSE)</f>
        <v>100</v>
      </c>
    </row>
    <row r="120" spans="1:9">
      <c r="A120" s="3">
        <v>127</v>
      </c>
      <c r="B120" s="3">
        <v>12</v>
      </c>
      <c r="C120" s="3">
        <f t="shared" si="76"/>
        <v>11</v>
      </c>
      <c r="D120" s="3">
        <f t="shared" si="72"/>
        <v>22</v>
      </c>
      <c r="E120" s="3">
        <f t="shared" si="73"/>
        <v>45</v>
      </c>
      <c r="F120" s="3">
        <f t="shared" si="74"/>
        <v>91</v>
      </c>
      <c r="G120" s="3">
        <f t="shared" si="75"/>
        <v>182</v>
      </c>
      <c r="H120" s="3">
        <f>VLOOKUP(B120,原始数据!$H$6:$N$31,7,FALSE)</f>
        <v>10</v>
      </c>
      <c r="I120" s="3">
        <f>VLOOKUP(B120,原始数据!$H$6:$O$31,8,FALSE)</f>
        <v>100</v>
      </c>
    </row>
    <row r="121" spans="1:9">
      <c r="A121" s="3">
        <v>128</v>
      </c>
      <c r="B121" s="3">
        <v>12</v>
      </c>
      <c r="C121" s="3">
        <f t="shared" si="76"/>
        <v>11</v>
      </c>
      <c r="D121" s="3">
        <f t="shared" si="72"/>
        <v>23</v>
      </c>
      <c r="E121" s="3">
        <f t="shared" si="73"/>
        <v>47</v>
      </c>
      <c r="F121" s="3">
        <f t="shared" si="74"/>
        <v>95</v>
      </c>
      <c r="G121" s="3">
        <f t="shared" si="75"/>
        <v>190</v>
      </c>
      <c r="H121" s="3">
        <f>VLOOKUP(B121,原始数据!$H$6:$N$31,7,FALSE)</f>
        <v>10</v>
      </c>
      <c r="I121" s="3">
        <f>VLOOKUP(B121,原始数据!$H$6:$O$31,8,FALSE)</f>
        <v>100</v>
      </c>
    </row>
    <row r="122" spans="1:9">
      <c r="A122" s="3">
        <v>129</v>
      </c>
      <c r="B122" s="3">
        <v>12</v>
      </c>
      <c r="C122" s="3">
        <f t="shared" si="76"/>
        <v>12</v>
      </c>
      <c r="D122" s="3">
        <f t="shared" si="72"/>
        <v>24</v>
      </c>
      <c r="E122" s="3">
        <f t="shared" si="73"/>
        <v>49</v>
      </c>
      <c r="F122" s="3">
        <f t="shared" si="74"/>
        <v>99</v>
      </c>
      <c r="G122" s="3">
        <f t="shared" si="75"/>
        <v>199</v>
      </c>
      <c r="H122" s="3">
        <f>VLOOKUP(B122,原始数据!$H$6:$N$31,7,FALSE)</f>
        <v>10</v>
      </c>
      <c r="I122" s="3">
        <f>VLOOKUP(B122,原始数据!$H$6:$O$31,8,FALSE)</f>
        <v>100</v>
      </c>
    </row>
    <row r="123" spans="1:9">
      <c r="A123" s="3">
        <v>130</v>
      </c>
      <c r="B123" s="3">
        <v>12</v>
      </c>
      <c r="C123" s="3">
        <f t="shared" si="76"/>
        <v>12</v>
      </c>
      <c r="D123" s="3">
        <f t="shared" si="72"/>
        <v>25</v>
      </c>
      <c r="E123" s="3">
        <f t="shared" si="73"/>
        <v>51</v>
      </c>
      <c r="F123" s="3">
        <f t="shared" si="74"/>
        <v>103</v>
      </c>
      <c r="G123" s="3">
        <f t="shared" si="75"/>
        <v>207</v>
      </c>
      <c r="H123" s="3">
        <f>VLOOKUP(B123,原始数据!$H$6:$N$31,7,FALSE)</f>
        <v>10</v>
      </c>
      <c r="I123" s="3">
        <f>VLOOKUP(B123,原始数据!$H$6:$O$31,8,FALSE)</f>
        <v>100</v>
      </c>
    </row>
    <row r="124" spans="1:9">
      <c r="A124" s="3">
        <v>131</v>
      </c>
      <c r="B124" s="3">
        <v>13</v>
      </c>
      <c r="C124" s="1">
        <f>INT(F124/($J$4*$J$4*$J$4))</f>
        <v>20</v>
      </c>
      <c r="D124" s="1">
        <f>INT(F124/($J$4*$J$4))</f>
        <v>41</v>
      </c>
      <c r="E124" s="1">
        <f>INT(F124/$J$4)</f>
        <v>83</v>
      </c>
      <c r="F124" s="1">
        <f>原始数据!R18</f>
        <v>166</v>
      </c>
      <c r="G124" s="1">
        <f>F124*2</f>
        <v>332</v>
      </c>
      <c r="H124" s="3">
        <f>VLOOKUP(B124,原始数据!$H$6:$N$31,7,FALSE)</f>
        <v>10</v>
      </c>
      <c r="I124" s="3">
        <f>VLOOKUP(B124,原始数据!$H$6:$O$31,8,FALSE)</f>
        <v>50</v>
      </c>
    </row>
    <row r="125" spans="1:9">
      <c r="A125" s="3">
        <v>132</v>
      </c>
      <c r="B125" s="3">
        <v>13</v>
      </c>
      <c r="C125" s="3">
        <f>INT(C$124*(MOD($A125-1,10)*0.05+0.8))</f>
        <v>17</v>
      </c>
      <c r="D125" s="3">
        <f t="shared" ref="D125:D133" si="77">INT(D$124*(MOD($A125-1,10)*0.05+0.8))</f>
        <v>34</v>
      </c>
      <c r="E125" s="3">
        <f t="shared" ref="E125:E133" si="78">INT(E$124*(MOD($A125-1,10)*0.05+0.8))</f>
        <v>70</v>
      </c>
      <c r="F125" s="3">
        <f t="shared" ref="F125:F133" si="79">INT(F$124*(MOD($A125-1,10)*0.05+0.8))</f>
        <v>141</v>
      </c>
      <c r="G125" s="3">
        <f t="shared" ref="G125:G133" si="80">INT(G$124*(MOD($A125-1,10)*0.05+0.8))</f>
        <v>282</v>
      </c>
      <c r="H125" s="3">
        <f>VLOOKUP(B125,原始数据!$H$6:$N$31,7,FALSE)</f>
        <v>10</v>
      </c>
      <c r="I125" s="3">
        <f>VLOOKUP(B125,原始数据!$H$6:$O$31,8,FALSE)</f>
        <v>50</v>
      </c>
    </row>
    <row r="126" spans="1:9">
      <c r="A126" s="3">
        <v>133</v>
      </c>
      <c r="B126" s="3">
        <v>13</v>
      </c>
      <c r="C126" s="3">
        <f t="shared" ref="C126:C133" si="81">INT(C$124*(MOD($A126-1,10)*0.05+0.8))</f>
        <v>18</v>
      </c>
      <c r="D126" s="3">
        <f t="shared" si="77"/>
        <v>36</v>
      </c>
      <c r="E126" s="3">
        <f t="shared" si="78"/>
        <v>74</v>
      </c>
      <c r="F126" s="3">
        <f t="shared" si="79"/>
        <v>149</v>
      </c>
      <c r="G126" s="3">
        <f t="shared" si="80"/>
        <v>298</v>
      </c>
      <c r="H126" s="3">
        <f>VLOOKUP(B126,原始数据!$H$6:$N$31,7,FALSE)</f>
        <v>10</v>
      </c>
      <c r="I126" s="3">
        <f>VLOOKUP(B126,原始数据!$H$6:$O$31,8,FALSE)</f>
        <v>50</v>
      </c>
    </row>
    <row r="127" spans="1:9">
      <c r="A127" s="3">
        <v>134</v>
      </c>
      <c r="B127" s="3">
        <v>13</v>
      </c>
      <c r="C127" s="3">
        <f t="shared" si="81"/>
        <v>19</v>
      </c>
      <c r="D127" s="3">
        <f t="shared" si="77"/>
        <v>38</v>
      </c>
      <c r="E127" s="3">
        <f t="shared" si="78"/>
        <v>78</v>
      </c>
      <c r="F127" s="3">
        <f t="shared" si="79"/>
        <v>157</v>
      </c>
      <c r="G127" s="3">
        <f t="shared" si="80"/>
        <v>315</v>
      </c>
      <c r="H127" s="3">
        <f>VLOOKUP(B127,原始数据!$H$6:$N$31,7,FALSE)</f>
        <v>10</v>
      </c>
      <c r="I127" s="3">
        <f>VLOOKUP(B127,原始数据!$H$6:$O$31,8,FALSE)</f>
        <v>50</v>
      </c>
    </row>
    <row r="128" spans="1:9">
      <c r="A128" s="3">
        <v>135</v>
      </c>
      <c r="B128" s="3">
        <v>13</v>
      </c>
      <c r="C128" s="3">
        <f t="shared" si="81"/>
        <v>20</v>
      </c>
      <c r="D128" s="3">
        <f t="shared" si="77"/>
        <v>41</v>
      </c>
      <c r="E128" s="3">
        <f t="shared" si="78"/>
        <v>83</v>
      </c>
      <c r="F128" s="3">
        <f t="shared" si="79"/>
        <v>166</v>
      </c>
      <c r="G128" s="3">
        <f t="shared" si="80"/>
        <v>332</v>
      </c>
      <c r="H128" s="3">
        <f>VLOOKUP(B128,原始数据!$H$6:$N$31,7,FALSE)</f>
        <v>10</v>
      </c>
      <c r="I128" s="3">
        <f>VLOOKUP(B128,原始数据!$H$6:$O$31,8,FALSE)</f>
        <v>50</v>
      </c>
    </row>
    <row r="129" spans="1:9">
      <c r="A129" s="3">
        <v>136</v>
      </c>
      <c r="B129" s="3">
        <v>13</v>
      </c>
      <c r="C129" s="3">
        <f t="shared" si="81"/>
        <v>21</v>
      </c>
      <c r="D129" s="3">
        <f t="shared" si="77"/>
        <v>43</v>
      </c>
      <c r="E129" s="3">
        <f t="shared" si="78"/>
        <v>87</v>
      </c>
      <c r="F129" s="3">
        <f t="shared" si="79"/>
        <v>174</v>
      </c>
      <c r="G129" s="3">
        <f t="shared" si="80"/>
        <v>348</v>
      </c>
      <c r="H129" s="3">
        <f>VLOOKUP(B129,原始数据!$H$6:$N$31,7,FALSE)</f>
        <v>10</v>
      </c>
      <c r="I129" s="3">
        <f>VLOOKUP(B129,原始数据!$H$6:$O$31,8,FALSE)</f>
        <v>50</v>
      </c>
    </row>
    <row r="130" spans="1:9">
      <c r="A130" s="3">
        <v>137</v>
      </c>
      <c r="B130" s="3">
        <v>13</v>
      </c>
      <c r="C130" s="3">
        <f t="shared" si="81"/>
        <v>22</v>
      </c>
      <c r="D130" s="3">
        <f t="shared" si="77"/>
        <v>45</v>
      </c>
      <c r="E130" s="3">
        <f t="shared" si="78"/>
        <v>91</v>
      </c>
      <c r="F130" s="3">
        <f t="shared" si="79"/>
        <v>182</v>
      </c>
      <c r="G130" s="3">
        <f t="shared" si="80"/>
        <v>365</v>
      </c>
      <c r="H130" s="3">
        <f>VLOOKUP(B130,原始数据!$H$6:$N$31,7,FALSE)</f>
        <v>10</v>
      </c>
      <c r="I130" s="3">
        <f>VLOOKUP(B130,原始数据!$H$6:$O$31,8,FALSE)</f>
        <v>50</v>
      </c>
    </row>
    <row r="131" spans="1:9">
      <c r="A131" s="3">
        <v>138</v>
      </c>
      <c r="B131" s="3">
        <v>13</v>
      </c>
      <c r="C131" s="3">
        <f t="shared" si="81"/>
        <v>23</v>
      </c>
      <c r="D131" s="3">
        <f t="shared" si="77"/>
        <v>47</v>
      </c>
      <c r="E131" s="3">
        <f t="shared" si="78"/>
        <v>95</v>
      </c>
      <c r="F131" s="3">
        <f t="shared" si="79"/>
        <v>190</v>
      </c>
      <c r="G131" s="3">
        <f t="shared" si="80"/>
        <v>381</v>
      </c>
      <c r="H131" s="3">
        <f>VLOOKUP(B131,原始数据!$H$6:$N$31,7,FALSE)</f>
        <v>10</v>
      </c>
      <c r="I131" s="3">
        <f>VLOOKUP(B131,原始数据!$H$6:$O$31,8,FALSE)</f>
        <v>50</v>
      </c>
    </row>
    <row r="132" spans="1:9">
      <c r="A132" s="3">
        <v>139</v>
      </c>
      <c r="B132" s="3">
        <v>13</v>
      </c>
      <c r="C132" s="3">
        <f t="shared" si="81"/>
        <v>24</v>
      </c>
      <c r="D132" s="3">
        <f t="shared" si="77"/>
        <v>49</v>
      </c>
      <c r="E132" s="3">
        <f t="shared" si="78"/>
        <v>99</v>
      </c>
      <c r="F132" s="3">
        <f t="shared" si="79"/>
        <v>199</v>
      </c>
      <c r="G132" s="3">
        <f t="shared" si="80"/>
        <v>398</v>
      </c>
      <c r="H132" s="3">
        <f>VLOOKUP(B132,原始数据!$H$6:$N$31,7,FALSE)</f>
        <v>10</v>
      </c>
      <c r="I132" s="3">
        <f>VLOOKUP(B132,原始数据!$H$6:$O$31,8,FALSE)</f>
        <v>50</v>
      </c>
    </row>
    <row r="133" spans="1:9">
      <c r="A133" s="3">
        <v>140</v>
      </c>
      <c r="B133" s="3">
        <v>13</v>
      </c>
      <c r="C133" s="3">
        <f t="shared" si="81"/>
        <v>25</v>
      </c>
      <c r="D133" s="3">
        <f t="shared" si="77"/>
        <v>51</v>
      </c>
      <c r="E133" s="3">
        <f t="shared" si="78"/>
        <v>103</v>
      </c>
      <c r="F133" s="3">
        <f t="shared" si="79"/>
        <v>207</v>
      </c>
      <c r="G133" s="3">
        <f t="shared" si="80"/>
        <v>415</v>
      </c>
      <c r="H133" s="3">
        <f>VLOOKUP(B133,原始数据!$H$6:$N$31,7,FALSE)</f>
        <v>10</v>
      </c>
      <c r="I133" s="3">
        <f>VLOOKUP(B133,原始数据!$H$6:$O$31,8,FALSE)</f>
        <v>50</v>
      </c>
    </row>
    <row r="134" spans="1:9">
      <c r="A134" s="3">
        <v>141</v>
      </c>
      <c r="B134" s="3">
        <v>14</v>
      </c>
      <c r="C134" s="1">
        <f>INT(F134/($J$4*$J$4*$J$4))</f>
        <v>20</v>
      </c>
      <c r="D134" s="1">
        <f>INT(F134/($J$4*$J$4))</f>
        <v>41</v>
      </c>
      <c r="E134" s="1">
        <f>INT(F134/$J$4)</f>
        <v>83</v>
      </c>
      <c r="F134" s="1">
        <f>原始数据!R19</f>
        <v>166</v>
      </c>
      <c r="G134" s="1">
        <f>F134*2</f>
        <v>332</v>
      </c>
      <c r="H134" s="3">
        <f>VLOOKUP(B134,原始数据!$H$6:$N$31,7,FALSE)</f>
        <v>100</v>
      </c>
      <c r="I134" s="3">
        <f>VLOOKUP(B134,原始数据!$H$6:$O$31,8,FALSE)</f>
        <v>250</v>
      </c>
    </row>
    <row r="135" spans="1:9">
      <c r="A135" s="3">
        <v>142</v>
      </c>
      <c r="B135" s="3">
        <v>14</v>
      </c>
      <c r="C135" s="3">
        <f>INT(C$134*(MOD($A135-1,10)*0.05+0.8))</f>
        <v>17</v>
      </c>
      <c r="D135" s="3">
        <f t="shared" ref="D135:D143" si="82">INT(D$134*(MOD($A135-1,10)*0.05+0.8))</f>
        <v>34</v>
      </c>
      <c r="E135" s="3">
        <f t="shared" ref="E135:E143" si="83">INT(E$134*(MOD($A135-1,10)*0.05+0.8))</f>
        <v>70</v>
      </c>
      <c r="F135" s="3">
        <f t="shared" ref="F135:F143" si="84">INT(F$134*(MOD($A135-1,10)*0.05+0.8))</f>
        <v>141</v>
      </c>
      <c r="G135" s="3">
        <f t="shared" ref="G135:G143" si="85">INT(G$134*(MOD($A135-1,10)*0.05+0.8))</f>
        <v>282</v>
      </c>
      <c r="H135" s="3">
        <f>VLOOKUP(B135,原始数据!$H$6:$N$31,7,FALSE)</f>
        <v>100</v>
      </c>
      <c r="I135" s="3">
        <f>VLOOKUP(B135,原始数据!$H$6:$O$31,8,FALSE)</f>
        <v>250</v>
      </c>
    </row>
    <row r="136" spans="1:9">
      <c r="A136" s="3">
        <v>143</v>
      </c>
      <c r="B136" s="3">
        <v>14</v>
      </c>
      <c r="C136" s="3">
        <f t="shared" ref="C136:C143" si="86">INT(C$134*(MOD($A136-1,10)*0.05+0.8))</f>
        <v>18</v>
      </c>
      <c r="D136" s="3">
        <f t="shared" si="82"/>
        <v>36</v>
      </c>
      <c r="E136" s="3">
        <f t="shared" si="83"/>
        <v>74</v>
      </c>
      <c r="F136" s="3">
        <f t="shared" si="84"/>
        <v>149</v>
      </c>
      <c r="G136" s="3">
        <f t="shared" si="85"/>
        <v>298</v>
      </c>
      <c r="H136" s="3">
        <f>VLOOKUP(B136,原始数据!$H$6:$N$31,7,FALSE)</f>
        <v>100</v>
      </c>
      <c r="I136" s="3">
        <f>VLOOKUP(B136,原始数据!$H$6:$O$31,8,FALSE)</f>
        <v>250</v>
      </c>
    </row>
    <row r="137" spans="1:9">
      <c r="A137" s="3">
        <v>144</v>
      </c>
      <c r="B137" s="3">
        <v>14</v>
      </c>
      <c r="C137" s="3">
        <f t="shared" si="86"/>
        <v>19</v>
      </c>
      <c r="D137" s="3">
        <f t="shared" si="82"/>
        <v>38</v>
      </c>
      <c r="E137" s="3">
        <f t="shared" si="83"/>
        <v>78</v>
      </c>
      <c r="F137" s="3">
        <f t="shared" si="84"/>
        <v>157</v>
      </c>
      <c r="G137" s="3">
        <f t="shared" si="85"/>
        <v>315</v>
      </c>
      <c r="H137" s="3">
        <f>VLOOKUP(B137,原始数据!$H$6:$N$31,7,FALSE)</f>
        <v>100</v>
      </c>
      <c r="I137" s="3">
        <f>VLOOKUP(B137,原始数据!$H$6:$O$31,8,FALSE)</f>
        <v>250</v>
      </c>
    </row>
    <row r="138" spans="1:9">
      <c r="A138" s="3">
        <v>145</v>
      </c>
      <c r="B138" s="3">
        <v>14</v>
      </c>
      <c r="C138" s="3">
        <f t="shared" si="86"/>
        <v>20</v>
      </c>
      <c r="D138" s="3">
        <f t="shared" si="82"/>
        <v>41</v>
      </c>
      <c r="E138" s="3">
        <f t="shared" si="83"/>
        <v>83</v>
      </c>
      <c r="F138" s="3">
        <f t="shared" si="84"/>
        <v>166</v>
      </c>
      <c r="G138" s="3">
        <f t="shared" si="85"/>
        <v>332</v>
      </c>
      <c r="H138" s="3">
        <f>VLOOKUP(B138,原始数据!$H$6:$N$31,7,FALSE)</f>
        <v>100</v>
      </c>
      <c r="I138" s="3">
        <f>VLOOKUP(B138,原始数据!$H$6:$O$31,8,FALSE)</f>
        <v>250</v>
      </c>
    </row>
    <row r="139" spans="1:9">
      <c r="A139" s="3">
        <v>146</v>
      </c>
      <c r="B139" s="3">
        <v>14</v>
      </c>
      <c r="C139" s="3">
        <f t="shared" si="86"/>
        <v>21</v>
      </c>
      <c r="D139" s="3">
        <f t="shared" si="82"/>
        <v>43</v>
      </c>
      <c r="E139" s="3">
        <f t="shared" si="83"/>
        <v>87</v>
      </c>
      <c r="F139" s="3">
        <f t="shared" si="84"/>
        <v>174</v>
      </c>
      <c r="G139" s="3">
        <f t="shared" si="85"/>
        <v>348</v>
      </c>
      <c r="H139" s="3">
        <f>VLOOKUP(B139,原始数据!$H$6:$N$31,7,FALSE)</f>
        <v>100</v>
      </c>
      <c r="I139" s="3">
        <f>VLOOKUP(B139,原始数据!$H$6:$O$31,8,FALSE)</f>
        <v>250</v>
      </c>
    </row>
    <row r="140" spans="1:9">
      <c r="A140" s="3">
        <v>147</v>
      </c>
      <c r="B140" s="3">
        <v>14</v>
      </c>
      <c r="C140" s="3">
        <f t="shared" si="86"/>
        <v>22</v>
      </c>
      <c r="D140" s="3">
        <f t="shared" si="82"/>
        <v>45</v>
      </c>
      <c r="E140" s="3">
        <f t="shared" si="83"/>
        <v>91</v>
      </c>
      <c r="F140" s="3">
        <f t="shared" si="84"/>
        <v>182</v>
      </c>
      <c r="G140" s="3">
        <f t="shared" si="85"/>
        <v>365</v>
      </c>
      <c r="H140" s="3">
        <f>VLOOKUP(B140,原始数据!$H$6:$N$31,7,FALSE)</f>
        <v>100</v>
      </c>
      <c r="I140" s="3">
        <f>VLOOKUP(B140,原始数据!$H$6:$O$31,8,FALSE)</f>
        <v>250</v>
      </c>
    </row>
    <row r="141" spans="1:9">
      <c r="A141" s="3">
        <v>148</v>
      </c>
      <c r="B141" s="3">
        <v>14</v>
      </c>
      <c r="C141" s="3">
        <f t="shared" si="86"/>
        <v>23</v>
      </c>
      <c r="D141" s="3">
        <f t="shared" si="82"/>
        <v>47</v>
      </c>
      <c r="E141" s="3">
        <f t="shared" si="83"/>
        <v>95</v>
      </c>
      <c r="F141" s="3">
        <f t="shared" si="84"/>
        <v>190</v>
      </c>
      <c r="G141" s="3">
        <f t="shared" si="85"/>
        <v>381</v>
      </c>
      <c r="H141" s="3">
        <f>VLOOKUP(B141,原始数据!$H$6:$N$31,7,FALSE)</f>
        <v>100</v>
      </c>
      <c r="I141" s="3">
        <f>VLOOKUP(B141,原始数据!$H$6:$O$31,8,FALSE)</f>
        <v>250</v>
      </c>
    </row>
    <row r="142" spans="1:9">
      <c r="A142" s="3">
        <v>149</v>
      </c>
      <c r="B142" s="3">
        <v>14</v>
      </c>
      <c r="C142" s="3">
        <f t="shared" si="86"/>
        <v>24</v>
      </c>
      <c r="D142" s="3">
        <f t="shared" si="82"/>
        <v>49</v>
      </c>
      <c r="E142" s="3">
        <f t="shared" si="83"/>
        <v>99</v>
      </c>
      <c r="F142" s="3">
        <f t="shared" si="84"/>
        <v>199</v>
      </c>
      <c r="G142" s="3">
        <f t="shared" si="85"/>
        <v>398</v>
      </c>
      <c r="H142" s="3">
        <f>VLOOKUP(B142,原始数据!$H$6:$N$31,7,FALSE)</f>
        <v>100</v>
      </c>
      <c r="I142" s="3">
        <f>VLOOKUP(B142,原始数据!$H$6:$O$31,8,FALSE)</f>
        <v>250</v>
      </c>
    </row>
    <row r="143" spans="1:9">
      <c r="A143" s="3">
        <v>150</v>
      </c>
      <c r="B143" s="3">
        <v>14</v>
      </c>
      <c r="C143" s="3">
        <f t="shared" si="86"/>
        <v>25</v>
      </c>
      <c r="D143" s="3">
        <f t="shared" si="82"/>
        <v>51</v>
      </c>
      <c r="E143" s="3">
        <f t="shared" si="83"/>
        <v>103</v>
      </c>
      <c r="F143" s="3">
        <f t="shared" si="84"/>
        <v>207</v>
      </c>
      <c r="G143" s="3">
        <f t="shared" si="85"/>
        <v>415</v>
      </c>
      <c r="H143" s="3">
        <f>VLOOKUP(B143,原始数据!$H$6:$N$31,7,FALSE)</f>
        <v>100</v>
      </c>
      <c r="I143" s="3">
        <f>VLOOKUP(B143,原始数据!$H$6:$O$31,8,FALSE)</f>
        <v>250</v>
      </c>
    </row>
    <row r="144" spans="1:9">
      <c r="A144" s="3">
        <v>151</v>
      </c>
      <c r="B144" s="3">
        <v>15</v>
      </c>
      <c r="C144" s="1">
        <f>INT(F144/($J$4*$J$4*$J$4))</f>
        <v>52</v>
      </c>
      <c r="D144" s="1">
        <f>INT(F144/($J$4*$J$4))</f>
        <v>104</v>
      </c>
      <c r="E144" s="1">
        <f>INT(F144/$J$4)</f>
        <v>208</v>
      </c>
      <c r="F144" s="1">
        <f>原始数据!R20</f>
        <v>416</v>
      </c>
      <c r="G144" s="1">
        <f>F144*2</f>
        <v>832</v>
      </c>
      <c r="H144" s="3">
        <f>VLOOKUP(B144,原始数据!$H$6:$N$31,7,FALSE)</f>
        <v>100</v>
      </c>
      <c r="I144" s="3">
        <f>VLOOKUP(B144,原始数据!$H$6:$O$31,8,FALSE)</f>
        <v>200</v>
      </c>
    </row>
    <row r="145" spans="1:9">
      <c r="A145" s="3">
        <v>152</v>
      </c>
      <c r="B145" s="3">
        <v>15</v>
      </c>
      <c r="C145" s="3">
        <f>INT(C$144*(MOD($A145-1,10)*0.05+0.8))</f>
        <v>44</v>
      </c>
      <c r="D145" s="3">
        <f t="shared" ref="D145:D153" si="87">INT(D$144*(MOD($A145-1,10)*0.05+0.8))</f>
        <v>88</v>
      </c>
      <c r="E145" s="3">
        <f t="shared" ref="E145:E153" si="88">INT(E$144*(MOD($A145-1,10)*0.05+0.8))</f>
        <v>176</v>
      </c>
      <c r="F145" s="3">
        <f t="shared" ref="F145:F153" si="89">INT(F$144*(MOD($A145-1,10)*0.05+0.8))</f>
        <v>353</v>
      </c>
      <c r="G145" s="3">
        <f t="shared" ref="G145:G153" si="90">INT(G$144*(MOD($A145-1,10)*0.05+0.8))</f>
        <v>707</v>
      </c>
      <c r="H145" s="3">
        <f>VLOOKUP(B145,原始数据!$H$6:$N$31,7,FALSE)</f>
        <v>100</v>
      </c>
      <c r="I145" s="3">
        <f>VLOOKUP(B145,原始数据!$H$6:$O$31,8,FALSE)</f>
        <v>200</v>
      </c>
    </row>
    <row r="146" spans="1:9">
      <c r="A146" s="3">
        <v>153</v>
      </c>
      <c r="B146" s="3">
        <v>15</v>
      </c>
      <c r="C146" s="3">
        <f t="shared" ref="C146:C153" si="91">INT(C$144*(MOD($A146-1,10)*0.05+0.8))</f>
        <v>46</v>
      </c>
      <c r="D146" s="3">
        <f t="shared" si="87"/>
        <v>93</v>
      </c>
      <c r="E146" s="3">
        <f t="shared" si="88"/>
        <v>187</v>
      </c>
      <c r="F146" s="3">
        <f t="shared" si="89"/>
        <v>374</v>
      </c>
      <c r="G146" s="3">
        <f t="shared" si="90"/>
        <v>748</v>
      </c>
      <c r="H146" s="3">
        <f>VLOOKUP(B146,原始数据!$H$6:$N$31,7,FALSE)</f>
        <v>100</v>
      </c>
      <c r="I146" s="3">
        <f>VLOOKUP(B146,原始数据!$H$6:$O$31,8,FALSE)</f>
        <v>200</v>
      </c>
    </row>
    <row r="147" spans="1:9">
      <c r="A147" s="3">
        <v>154</v>
      </c>
      <c r="B147" s="3">
        <v>15</v>
      </c>
      <c r="C147" s="3">
        <f t="shared" si="91"/>
        <v>49</v>
      </c>
      <c r="D147" s="3">
        <f t="shared" si="87"/>
        <v>98</v>
      </c>
      <c r="E147" s="3">
        <f t="shared" si="88"/>
        <v>197</v>
      </c>
      <c r="F147" s="3">
        <f t="shared" si="89"/>
        <v>395</v>
      </c>
      <c r="G147" s="3">
        <f t="shared" si="90"/>
        <v>790</v>
      </c>
      <c r="H147" s="3">
        <f>VLOOKUP(B147,原始数据!$H$6:$N$31,7,FALSE)</f>
        <v>100</v>
      </c>
      <c r="I147" s="3">
        <f>VLOOKUP(B147,原始数据!$H$6:$O$31,8,FALSE)</f>
        <v>200</v>
      </c>
    </row>
    <row r="148" spans="1:9">
      <c r="A148" s="3">
        <v>155</v>
      </c>
      <c r="B148" s="3">
        <v>15</v>
      </c>
      <c r="C148" s="3">
        <f t="shared" si="91"/>
        <v>52</v>
      </c>
      <c r="D148" s="3">
        <f t="shared" si="87"/>
        <v>104</v>
      </c>
      <c r="E148" s="3">
        <f t="shared" si="88"/>
        <v>208</v>
      </c>
      <c r="F148" s="3">
        <f t="shared" si="89"/>
        <v>416</v>
      </c>
      <c r="G148" s="3">
        <f t="shared" si="90"/>
        <v>832</v>
      </c>
      <c r="H148" s="3">
        <f>VLOOKUP(B148,原始数据!$H$6:$N$31,7,FALSE)</f>
        <v>100</v>
      </c>
      <c r="I148" s="3">
        <f>VLOOKUP(B148,原始数据!$H$6:$O$31,8,FALSE)</f>
        <v>200</v>
      </c>
    </row>
    <row r="149" spans="1:9">
      <c r="A149" s="3">
        <v>156</v>
      </c>
      <c r="B149" s="3">
        <v>15</v>
      </c>
      <c r="C149" s="3">
        <f t="shared" si="91"/>
        <v>54</v>
      </c>
      <c r="D149" s="3">
        <f t="shared" si="87"/>
        <v>109</v>
      </c>
      <c r="E149" s="3">
        <f t="shared" si="88"/>
        <v>218</v>
      </c>
      <c r="F149" s="3">
        <f t="shared" si="89"/>
        <v>436</v>
      </c>
      <c r="G149" s="3">
        <f t="shared" si="90"/>
        <v>873</v>
      </c>
      <c r="H149" s="3">
        <f>VLOOKUP(B149,原始数据!$H$6:$N$31,7,FALSE)</f>
        <v>100</v>
      </c>
      <c r="I149" s="3">
        <f>VLOOKUP(B149,原始数据!$H$6:$O$31,8,FALSE)</f>
        <v>200</v>
      </c>
    </row>
    <row r="150" spans="1:9">
      <c r="A150" s="3">
        <v>157</v>
      </c>
      <c r="B150" s="3">
        <v>15</v>
      </c>
      <c r="C150" s="3">
        <f t="shared" si="91"/>
        <v>57</v>
      </c>
      <c r="D150" s="3">
        <f t="shared" si="87"/>
        <v>114</v>
      </c>
      <c r="E150" s="3">
        <f t="shared" si="88"/>
        <v>228</v>
      </c>
      <c r="F150" s="3">
        <f t="shared" si="89"/>
        <v>457</v>
      </c>
      <c r="G150" s="3">
        <f t="shared" si="90"/>
        <v>915</v>
      </c>
      <c r="H150" s="3">
        <f>VLOOKUP(B150,原始数据!$H$6:$N$31,7,FALSE)</f>
        <v>100</v>
      </c>
      <c r="I150" s="3">
        <f>VLOOKUP(B150,原始数据!$H$6:$O$31,8,FALSE)</f>
        <v>200</v>
      </c>
    </row>
    <row r="151" spans="1:9">
      <c r="A151" s="3">
        <v>158</v>
      </c>
      <c r="B151" s="3">
        <v>15</v>
      </c>
      <c r="C151" s="3">
        <f t="shared" si="91"/>
        <v>59</v>
      </c>
      <c r="D151" s="3">
        <f t="shared" si="87"/>
        <v>119</v>
      </c>
      <c r="E151" s="3">
        <f t="shared" si="88"/>
        <v>239</v>
      </c>
      <c r="F151" s="3">
        <f t="shared" si="89"/>
        <v>478</v>
      </c>
      <c r="G151" s="3">
        <f t="shared" si="90"/>
        <v>956</v>
      </c>
      <c r="H151" s="3">
        <f>VLOOKUP(B151,原始数据!$H$6:$N$31,7,FALSE)</f>
        <v>100</v>
      </c>
      <c r="I151" s="3">
        <f>VLOOKUP(B151,原始数据!$H$6:$O$31,8,FALSE)</f>
        <v>200</v>
      </c>
    </row>
    <row r="152" spans="1:9">
      <c r="A152" s="3">
        <v>159</v>
      </c>
      <c r="B152" s="3">
        <v>15</v>
      </c>
      <c r="C152" s="3">
        <f t="shared" si="91"/>
        <v>62</v>
      </c>
      <c r="D152" s="3">
        <f t="shared" si="87"/>
        <v>124</v>
      </c>
      <c r="E152" s="3">
        <f t="shared" si="88"/>
        <v>249</v>
      </c>
      <c r="F152" s="3">
        <f t="shared" si="89"/>
        <v>499</v>
      </c>
      <c r="G152" s="3">
        <f t="shared" si="90"/>
        <v>998</v>
      </c>
      <c r="H152" s="3">
        <f>VLOOKUP(B152,原始数据!$H$6:$N$31,7,FALSE)</f>
        <v>100</v>
      </c>
      <c r="I152" s="3">
        <f>VLOOKUP(B152,原始数据!$H$6:$O$31,8,FALSE)</f>
        <v>200</v>
      </c>
    </row>
    <row r="153" spans="1:9">
      <c r="A153" s="3">
        <v>160</v>
      </c>
      <c r="B153" s="3">
        <v>15</v>
      </c>
      <c r="C153" s="3">
        <f t="shared" si="91"/>
        <v>65</v>
      </c>
      <c r="D153" s="3">
        <f t="shared" si="87"/>
        <v>130</v>
      </c>
      <c r="E153" s="3">
        <f t="shared" si="88"/>
        <v>260</v>
      </c>
      <c r="F153" s="3">
        <f t="shared" si="89"/>
        <v>520</v>
      </c>
      <c r="G153" s="3">
        <f t="shared" si="90"/>
        <v>1040</v>
      </c>
      <c r="H153" s="3">
        <f>VLOOKUP(B153,原始数据!$H$6:$N$31,7,FALSE)</f>
        <v>100</v>
      </c>
      <c r="I153" s="3">
        <f>VLOOKUP(B153,原始数据!$H$6:$O$31,8,FALSE)</f>
        <v>200</v>
      </c>
    </row>
    <row r="154" spans="1:9">
      <c r="A154" s="3">
        <v>161</v>
      </c>
      <c r="B154" s="3">
        <v>16</v>
      </c>
      <c r="C154" s="1">
        <f>INT(F154/($J$4*$J$4*$J$4))</f>
        <v>5</v>
      </c>
      <c r="D154" s="1">
        <f>INT(F154/($J$4*$J$4))</f>
        <v>10</v>
      </c>
      <c r="E154" s="1">
        <f>INT(F154/$J$4)</f>
        <v>20</v>
      </c>
      <c r="F154" s="1">
        <f>原始数据!R21</f>
        <v>41</v>
      </c>
      <c r="G154" s="1">
        <f>F154*2</f>
        <v>82</v>
      </c>
      <c r="H154" s="3">
        <f>VLOOKUP(B154,原始数据!$H$6:$N$31,7,FALSE)</f>
        <v>10</v>
      </c>
      <c r="I154" s="3">
        <f>VLOOKUP(B154,原始数据!$H$6:$O$31,8,FALSE)</f>
        <v>200</v>
      </c>
    </row>
    <row r="155" spans="1:9">
      <c r="A155" s="3">
        <v>162</v>
      </c>
      <c r="B155" s="3">
        <v>16</v>
      </c>
      <c r="C155" s="3">
        <f>INT(C$154*(MOD($A155-1,10)*0.05+0.8))</f>
        <v>4</v>
      </c>
      <c r="D155" s="3">
        <f t="shared" ref="D155:D163" si="92">INT(D$154*(MOD($A155-1,10)*0.05+0.8))</f>
        <v>8</v>
      </c>
      <c r="E155" s="3">
        <f t="shared" ref="E155:E163" si="93">INT(E$154*(MOD($A155-1,10)*0.05+0.8))</f>
        <v>17</v>
      </c>
      <c r="F155" s="3">
        <f t="shared" ref="F155:F163" si="94">INT(F$154*(MOD($A155-1,10)*0.05+0.8))</f>
        <v>34</v>
      </c>
      <c r="G155" s="3">
        <f t="shared" ref="G155:G163" si="95">INT(G$154*(MOD($A155-1,10)*0.05+0.8))</f>
        <v>69</v>
      </c>
      <c r="H155" s="3">
        <f>VLOOKUP(B155,原始数据!$H$6:$N$31,7,FALSE)</f>
        <v>10</v>
      </c>
      <c r="I155" s="3">
        <f>VLOOKUP(B155,原始数据!$H$6:$O$31,8,FALSE)</f>
        <v>200</v>
      </c>
    </row>
    <row r="156" spans="1:9">
      <c r="A156" s="3">
        <v>163</v>
      </c>
      <c r="B156" s="3">
        <v>16</v>
      </c>
      <c r="C156" s="3">
        <f t="shared" ref="C156:C163" si="96">INT(C$154*(MOD($A156-1,10)*0.05+0.8))</f>
        <v>4</v>
      </c>
      <c r="D156" s="3">
        <f t="shared" si="92"/>
        <v>9</v>
      </c>
      <c r="E156" s="3">
        <f t="shared" si="93"/>
        <v>18</v>
      </c>
      <c r="F156" s="3">
        <f t="shared" si="94"/>
        <v>36</v>
      </c>
      <c r="G156" s="3">
        <f t="shared" si="95"/>
        <v>73</v>
      </c>
      <c r="H156" s="3">
        <f>VLOOKUP(B156,原始数据!$H$6:$N$31,7,FALSE)</f>
        <v>10</v>
      </c>
      <c r="I156" s="3">
        <f>VLOOKUP(B156,原始数据!$H$6:$O$31,8,FALSE)</f>
        <v>200</v>
      </c>
    </row>
    <row r="157" spans="1:9">
      <c r="A157" s="3">
        <v>164</v>
      </c>
      <c r="B157" s="3">
        <v>16</v>
      </c>
      <c r="C157" s="3">
        <f t="shared" si="96"/>
        <v>4</v>
      </c>
      <c r="D157" s="3">
        <f t="shared" si="92"/>
        <v>9</v>
      </c>
      <c r="E157" s="3">
        <f t="shared" si="93"/>
        <v>19</v>
      </c>
      <c r="F157" s="3">
        <f t="shared" si="94"/>
        <v>38</v>
      </c>
      <c r="G157" s="3">
        <f t="shared" si="95"/>
        <v>77</v>
      </c>
      <c r="H157" s="3">
        <f>VLOOKUP(B157,原始数据!$H$6:$N$31,7,FALSE)</f>
        <v>10</v>
      </c>
      <c r="I157" s="3">
        <f>VLOOKUP(B157,原始数据!$H$6:$O$31,8,FALSE)</f>
        <v>200</v>
      </c>
    </row>
    <row r="158" spans="1:9">
      <c r="A158" s="3">
        <v>165</v>
      </c>
      <c r="B158" s="3">
        <v>16</v>
      </c>
      <c r="C158" s="3">
        <f t="shared" si="96"/>
        <v>5</v>
      </c>
      <c r="D158" s="3">
        <f t="shared" si="92"/>
        <v>10</v>
      </c>
      <c r="E158" s="3">
        <f t="shared" si="93"/>
        <v>20</v>
      </c>
      <c r="F158" s="3">
        <f t="shared" si="94"/>
        <v>41</v>
      </c>
      <c r="G158" s="3">
        <f t="shared" si="95"/>
        <v>82</v>
      </c>
      <c r="H158" s="3">
        <f>VLOOKUP(B158,原始数据!$H$6:$N$31,7,FALSE)</f>
        <v>10</v>
      </c>
      <c r="I158" s="3">
        <f>VLOOKUP(B158,原始数据!$H$6:$O$31,8,FALSE)</f>
        <v>200</v>
      </c>
    </row>
    <row r="159" spans="1:9">
      <c r="A159" s="3">
        <v>166</v>
      </c>
      <c r="B159" s="3">
        <v>16</v>
      </c>
      <c r="C159" s="3">
        <f t="shared" si="96"/>
        <v>5</v>
      </c>
      <c r="D159" s="3">
        <f t="shared" si="92"/>
        <v>10</v>
      </c>
      <c r="E159" s="3">
        <f t="shared" si="93"/>
        <v>21</v>
      </c>
      <c r="F159" s="3">
        <f t="shared" si="94"/>
        <v>43</v>
      </c>
      <c r="G159" s="3">
        <f t="shared" si="95"/>
        <v>86</v>
      </c>
      <c r="H159" s="3">
        <f>VLOOKUP(B159,原始数据!$H$6:$N$31,7,FALSE)</f>
        <v>10</v>
      </c>
      <c r="I159" s="3">
        <f>VLOOKUP(B159,原始数据!$H$6:$O$31,8,FALSE)</f>
        <v>200</v>
      </c>
    </row>
    <row r="160" spans="1:9">
      <c r="A160" s="3">
        <v>167</v>
      </c>
      <c r="B160" s="3">
        <v>16</v>
      </c>
      <c r="C160" s="3">
        <f t="shared" si="96"/>
        <v>5</v>
      </c>
      <c r="D160" s="3">
        <f t="shared" si="92"/>
        <v>11</v>
      </c>
      <c r="E160" s="3">
        <f t="shared" si="93"/>
        <v>22</v>
      </c>
      <c r="F160" s="3">
        <f t="shared" si="94"/>
        <v>45</v>
      </c>
      <c r="G160" s="3">
        <f t="shared" si="95"/>
        <v>90</v>
      </c>
      <c r="H160" s="3">
        <f>VLOOKUP(B160,原始数据!$H$6:$N$31,7,FALSE)</f>
        <v>10</v>
      </c>
      <c r="I160" s="3">
        <f>VLOOKUP(B160,原始数据!$H$6:$O$31,8,FALSE)</f>
        <v>200</v>
      </c>
    </row>
    <row r="161" spans="1:9">
      <c r="A161" s="3">
        <v>168</v>
      </c>
      <c r="B161" s="3">
        <v>16</v>
      </c>
      <c r="C161" s="3">
        <f t="shared" si="96"/>
        <v>5</v>
      </c>
      <c r="D161" s="3">
        <f t="shared" si="92"/>
        <v>11</v>
      </c>
      <c r="E161" s="3">
        <f t="shared" si="93"/>
        <v>23</v>
      </c>
      <c r="F161" s="3">
        <f t="shared" si="94"/>
        <v>47</v>
      </c>
      <c r="G161" s="3">
        <f t="shared" si="95"/>
        <v>94</v>
      </c>
      <c r="H161" s="3">
        <f>VLOOKUP(B161,原始数据!$H$6:$N$31,7,FALSE)</f>
        <v>10</v>
      </c>
      <c r="I161" s="3">
        <f>VLOOKUP(B161,原始数据!$H$6:$O$31,8,FALSE)</f>
        <v>200</v>
      </c>
    </row>
    <row r="162" spans="1:9">
      <c r="A162" s="3">
        <v>169</v>
      </c>
      <c r="B162" s="3">
        <v>16</v>
      </c>
      <c r="C162" s="3">
        <f t="shared" si="96"/>
        <v>6</v>
      </c>
      <c r="D162" s="3">
        <f t="shared" si="92"/>
        <v>12</v>
      </c>
      <c r="E162" s="3">
        <f t="shared" si="93"/>
        <v>24</v>
      </c>
      <c r="F162" s="3">
        <f t="shared" si="94"/>
        <v>49</v>
      </c>
      <c r="G162" s="3">
        <f t="shared" si="95"/>
        <v>98</v>
      </c>
      <c r="H162" s="3">
        <f>VLOOKUP(B162,原始数据!$H$6:$N$31,7,FALSE)</f>
        <v>10</v>
      </c>
      <c r="I162" s="3">
        <f>VLOOKUP(B162,原始数据!$H$6:$O$31,8,FALSE)</f>
        <v>200</v>
      </c>
    </row>
    <row r="163" spans="1:9">
      <c r="A163" s="3">
        <v>170</v>
      </c>
      <c r="B163" s="3">
        <v>16</v>
      </c>
      <c r="C163" s="3">
        <f t="shared" si="96"/>
        <v>6</v>
      </c>
      <c r="D163" s="3">
        <f t="shared" si="92"/>
        <v>12</v>
      </c>
      <c r="E163" s="3">
        <f t="shared" si="93"/>
        <v>25</v>
      </c>
      <c r="F163" s="3">
        <f t="shared" si="94"/>
        <v>51</v>
      </c>
      <c r="G163" s="3">
        <f t="shared" si="95"/>
        <v>102</v>
      </c>
      <c r="H163" s="3">
        <f>VLOOKUP(B163,原始数据!$H$6:$N$31,7,FALSE)</f>
        <v>10</v>
      </c>
      <c r="I163" s="3">
        <f>VLOOKUP(B163,原始数据!$H$6:$O$31,8,FALSE)</f>
        <v>200</v>
      </c>
    </row>
    <row r="164" spans="1:9">
      <c r="A164" s="3">
        <v>171</v>
      </c>
      <c r="B164" s="3">
        <v>17</v>
      </c>
      <c r="C164" s="1">
        <f>INT(F164/($J$4*$J$4*$J$4))</f>
        <v>5</v>
      </c>
      <c r="D164" s="1">
        <f>INT(F164/($J$4*$J$4))</f>
        <v>10</v>
      </c>
      <c r="E164" s="1">
        <f>INT(F164/$J$4)</f>
        <v>20</v>
      </c>
      <c r="F164" s="1">
        <f>原始数据!R22</f>
        <v>41</v>
      </c>
      <c r="G164" s="1">
        <f>F164*2</f>
        <v>82</v>
      </c>
      <c r="H164" s="3">
        <f>VLOOKUP(B164,原始数据!$H$6:$N$31,7,FALSE)</f>
        <v>10</v>
      </c>
      <c r="I164" s="3">
        <f>VLOOKUP(B164,原始数据!$H$6:$O$31,8,FALSE)</f>
        <v>200</v>
      </c>
    </row>
    <row r="165" spans="1:9">
      <c r="A165" s="3">
        <v>172</v>
      </c>
      <c r="B165" s="3">
        <v>17</v>
      </c>
      <c r="C165" s="3">
        <f>INT(C$164*(MOD($A165-1,10)*0.05+0.8))</f>
        <v>4</v>
      </c>
      <c r="D165" s="3">
        <f t="shared" ref="D165:D173" si="97">INT(D$164*(MOD($A165-1,10)*0.05+0.8))</f>
        <v>8</v>
      </c>
      <c r="E165" s="3">
        <f t="shared" ref="E165:E173" si="98">INT(E$164*(MOD($A165-1,10)*0.05+0.8))</f>
        <v>17</v>
      </c>
      <c r="F165" s="3">
        <f t="shared" ref="F165:F173" si="99">INT(F$164*(MOD($A165-1,10)*0.05+0.8))</f>
        <v>34</v>
      </c>
      <c r="G165" s="3">
        <f t="shared" ref="G165:G173" si="100">INT(G$164*(MOD($A165-1,10)*0.05+0.8))</f>
        <v>69</v>
      </c>
      <c r="H165" s="3">
        <f>VLOOKUP(B165,原始数据!$H$6:$N$31,7,FALSE)</f>
        <v>10</v>
      </c>
      <c r="I165" s="3">
        <f>VLOOKUP(B165,原始数据!$H$6:$O$31,8,FALSE)</f>
        <v>200</v>
      </c>
    </row>
    <row r="166" spans="1:9">
      <c r="A166" s="3">
        <v>173</v>
      </c>
      <c r="B166" s="3">
        <v>17</v>
      </c>
      <c r="C166" s="3">
        <f t="shared" ref="C166:C173" si="101">INT(C$164*(MOD($A166-1,10)*0.05+0.8))</f>
        <v>4</v>
      </c>
      <c r="D166" s="3">
        <f t="shared" si="97"/>
        <v>9</v>
      </c>
      <c r="E166" s="3">
        <f t="shared" si="98"/>
        <v>18</v>
      </c>
      <c r="F166" s="3">
        <f t="shared" si="99"/>
        <v>36</v>
      </c>
      <c r="G166" s="3">
        <f t="shared" si="100"/>
        <v>73</v>
      </c>
      <c r="H166" s="3">
        <f>VLOOKUP(B166,原始数据!$H$6:$N$31,7,FALSE)</f>
        <v>10</v>
      </c>
      <c r="I166" s="3">
        <f>VLOOKUP(B166,原始数据!$H$6:$O$31,8,FALSE)</f>
        <v>200</v>
      </c>
    </row>
    <row r="167" spans="1:9">
      <c r="A167" s="3">
        <v>174</v>
      </c>
      <c r="B167" s="3">
        <v>17</v>
      </c>
      <c r="C167" s="3">
        <f t="shared" si="101"/>
        <v>4</v>
      </c>
      <c r="D167" s="3">
        <f t="shared" si="97"/>
        <v>9</v>
      </c>
      <c r="E167" s="3">
        <f t="shared" si="98"/>
        <v>19</v>
      </c>
      <c r="F167" s="3">
        <f t="shared" si="99"/>
        <v>38</v>
      </c>
      <c r="G167" s="3">
        <f t="shared" si="100"/>
        <v>77</v>
      </c>
      <c r="H167" s="3">
        <f>VLOOKUP(B167,原始数据!$H$6:$N$31,7,FALSE)</f>
        <v>10</v>
      </c>
      <c r="I167" s="3">
        <f>VLOOKUP(B167,原始数据!$H$6:$O$31,8,FALSE)</f>
        <v>200</v>
      </c>
    </row>
    <row r="168" spans="1:9">
      <c r="A168" s="3">
        <v>175</v>
      </c>
      <c r="B168" s="3">
        <v>17</v>
      </c>
      <c r="C168" s="3">
        <f t="shared" si="101"/>
        <v>5</v>
      </c>
      <c r="D168" s="3">
        <f t="shared" si="97"/>
        <v>10</v>
      </c>
      <c r="E168" s="3">
        <f t="shared" si="98"/>
        <v>20</v>
      </c>
      <c r="F168" s="3">
        <f t="shared" si="99"/>
        <v>41</v>
      </c>
      <c r="G168" s="3">
        <f t="shared" si="100"/>
        <v>82</v>
      </c>
      <c r="H168" s="3">
        <f>VLOOKUP(B168,原始数据!$H$6:$N$31,7,FALSE)</f>
        <v>10</v>
      </c>
      <c r="I168" s="3">
        <f>VLOOKUP(B168,原始数据!$H$6:$O$31,8,FALSE)</f>
        <v>200</v>
      </c>
    </row>
    <row r="169" spans="1:9">
      <c r="A169" s="3">
        <v>176</v>
      </c>
      <c r="B169" s="3">
        <v>17</v>
      </c>
      <c r="C169" s="3">
        <f t="shared" si="101"/>
        <v>5</v>
      </c>
      <c r="D169" s="3">
        <f t="shared" si="97"/>
        <v>10</v>
      </c>
      <c r="E169" s="3">
        <f t="shared" si="98"/>
        <v>21</v>
      </c>
      <c r="F169" s="3">
        <f t="shared" si="99"/>
        <v>43</v>
      </c>
      <c r="G169" s="3">
        <f t="shared" si="100"/>
        <v>86</v>
      </c>
      <c r="H169" s="3">
        <f>VLOOKUP(B169,原始数据!$H$6:$N$31,7,FALSE)</f>
        <v>10</v>
      </c>
      <c r="I169" s="3">
        <f>VLOOKUP(B169,原始数据!$H$6:$O$31,8,FALSE)</f>
        <v>200</v>
      </c>
    </row>
    <row r="170" spans="1:9">
      <c r="A170" s="3">
        <v>177</v>
      </c>
      <c r="B170" s="3">
        <v>17</v>
      </c>
      <c r="C170" s="3">
        <f t="shared" si="101"/>
        <v>5</v>
      </c>
      <c r="D170" s="3">
        <f t="shared" si="97"/>
        <v>11</v>
      </c>
      <c r="E170" s="3">
        <f t="shared" si="98"/>
        <v>22</v>
      </c>
      <c r="F170" s="3">
        <f t="shared" si="99"/>
        <v>45</v>
      </c>
      <c r="G170" s="3">
        <f t="shared" si="100"/>
        <v>90</v>
      </c>
      <c r="H170" s="3">
        <f>VLOOKUP(B170,原始数据!$H$6:$N$31,7,FALSE)</f>
        <v>10</v>
      </c>
      <c r="I170" s="3">
        <f>VLOOKUP(B170,原始数据!$H$6:$O$31,8,FALSE)</f>
        <v>200</v>
      </c>
    </row>
    <row r="171" spans="1:9">
      <c r="A171" s="3">
        <v>178</v>
      </c>
      <c r="B171" s="3">
        <v>17</v>
      </c>
      <c r="C171" s="3">
        <f t="shared" si="101"/>
        <v>5</v>
      </c>
      <c r="D171" s="3">
        <f t="shared" si="97"/>
        <v>11</v>
      </c>
      <c r="E171" s="3">
        <f t="shared" si="98"/>
        <v>23</v>
      </c>
      <c r="F171" s="3">
        <f t="shared" si="99"/>
        <v>47</v>
      </c>
      <c r="G171" s="3">
        <f t="shared" si="100"/>
        <v>94</v>
      </c>
      <c r="H171" s="3">
        <f>VLOOKUP(B171,原始数据!$H$6:$N$31,7,FALSE)</f>
        <v>10</v>
      </c>
      <c r="I171" s="3">
        <f>VLOOKUP(B171,原始数据!$H$6:$O$31,8,FALSE)</f>
        <v>200</v>
      </c>
    </row>
    <row r="172" spans="1:9">
      <c r="A172" s="3">
        <v>179</v>
      </c>
      <c r="B172" s="3">
        <v>17</v>
      </c>
      <c r="C172" s="3">
        <f t="shared" si="101"/>
        <v>6</v>
      </c>
      <c r="D172" s="3">
        <f t="shared" si="97"/>
        <v>12</v>
      </c>
      <c r="E172" s="3">
        <f t="shared" si="98"/>
        <v>24</v>
      </c>
      <c r="F172" s="3">
        <f t="shared" si="99"/>
        <v>49</v>
      </c>
      <c r="G172" s="3">
        <f t="shared" si="100"/>
        <v>98</v>
      </c>
      <c r="H172" s="3">
        <f>VLOOKUP(B172,原始数据!$H$6:$N$31,7,FALSE)</f>
        <v>10</v>
      </c>
      <c r="I172" s="3">
        <f>VLOOKUP(B172,原始数据!$H$6:$O$31,8,FALSE)</f>
        <v>200</v>
      </c>
    </row>
    <row r="173" spans="1:9">
      <c r="A173" s="3">
        <v>180</v>
      </c>
      <c r="B173" s="3">
        <v>17</v>
      </c>
      <c r="C173" s="3">
        <f t="shared" si="101"/>
        <v>6</v>
      </c>
      <c r="D173" s="3">
        <f t="shared" si="97"/>
        <v>12</v>
      </c>
      <c r="E173" s="3">
        <f t="shared" si="98"/>
        <v>25</v>
      </c>
      <c r="F173" s="3">
        <f t="shared" si="99"/>
        <v>51</v>
      </c>
      <c r="G173" s="3">
        <f t="shared" si="100"/>
        <v>102</v>
      </c>
      <c r="H173" s="3">
        <f>VLOOKUP(B173,原始数据!$H$6:$N$31,7,FALSE)</f>
        <v>10</v>
      </c>
      <c r="I173" s="3">
        <f>VLOOKUP(B173,原始数据!$H$6:$O$31,8,FALSE)</f>
        <v>200</v>
      </c>
    </row>
    <row r="174" spans="1:9">
      <c r="A174" s="3">
        <v>181</v>
      </c>
      <c r="B174" s="3">
        <v>18</v>
      </c>
      <c r="C174" s="1">
        <f>INT(F174/($J$4*$J$4*$J$4))</f>
        <v>41</v>
      </c>
      <c r="D174" s="1">
        <f>INT(F174/($J$4*$J$4))</f>
        <v>83</v>
      </c>
      <c r="E174" s="1">
        <f>INT(F174/$J$4)</f>
        <v>166</v>
      </c>
      <c r="F174" s="1">
        <f>原始数据!R23</f>
        <v>333</v>
      </c>
      <c r="G174" s="1">
        <f>F174*2</f>
        <v>666</v>
      </c>
      <c r="H174" s="3">
        <f>VLOOKUP(B174,原始数据!$H$6:$N$31,7,FALSE)</f>
        <v>100</v>
      </c>
      <c r="I174" s="3">
        <f>VLOOKUP(B174,原始数据!$H$6:$O$31,8,FALSE)</f>
        <v>250</v>
      </c>
    </row>
    <row r="175" spans="1:9">
      <c r="A175" s="3">
        <v>182</v>
      </c>
      <c r="B175" s="3">
        <v>18</v>
      </c>
      <c r="C175" s="3">
        <f>INT(C$174*(MOD($A175-1,10)*0.05+0.8))</f>
        <v>34</v>
      </c>
      <c r="D175" s="3">
        <f t="shared" ref="D175:D183" si="102">INT(D$174*(MOD($A175-1,10)*0.05+0.8))</f>
        <v>70</v>
      </c>
      <c r="E175" s="3">
        <f t="shared" ref="E175:E183" si="103">INT(E$174*(MOD($A175-1,10)*0.05+0.8))</f>
        <v>141</v>
      </c>
      <c r="F175" s="3">
        <f t="shared" ref="F175:F183" si="104">INT(F$174*(MOD($A175-1,10)*0.05+0.8))</f>
        <v>283</v>
      </c>
      <c r="G175" s="3">
        <f t="shared" ref="G175:G183" si="105">INT(G$174*(MOD($A175-1,10)*0.05+0.8))</f>
        <v>566</v>
      </c>
      <c r="H175" s="3">
        <f>VLOOKUP(B175,原始数据!$H$6:$N$31,7,FALSE)</f>
        <v>100</v>
      </c>
      <c r="I175" s="3">
        <f>VLOOKUP(B175,原始数据!$H$6:$O$31,8,FALSE)</f>
        <v>250</v>
      </c>
    </row>
    <row r="176" spans="1:9">
      <c r="A176" s="3">
        <v>183</v>
      </c>
      <c r="B176" s="3">
        <v>18</v>
      </c>
      <c r="C176" s="3">
        <f t="shared" ref="C176:C183" si="106">INT(C$174*(MOD($A176-1,10)*0.05+0.8))</f>
        <v>36</v>
      </c>
      <c r="D176" s="3">
        <f t="shared" si="102"/>
        <v>74</v>
      </c>
      <c r="E176" s="3">
        <f t="shared" si="103"/>
        <v>149</v>
      </c>
      <c r="F176" s="3">
        <f t="shared" si="104"/>
        <v>299</v>
      </c>
      <c r="G176" s="3">
        <f t="shared" si="105"/>
        <v>599</v>
      </c>
      <c r="H176" s="3">
        <f>VLOOKUP(B176,原始数据!$H$6:$N$31,7,FALSE)</f>
        <v>100</v>
      </c>
      <c r="I176" s="3">
        <f>VLOOKUP(B176,原始数据!$H$6:$O$31,8,FALSE)</f>
        <v>250</v>
      </c>
    </row>
    <row r="177" spans="1:9">
      <c r="A177" s="3">
        <v>184</v>
      </c>
      <c r="B177" s="3">
        <v>18</v>
      </c>
      <c r="C177" s="3">
        <f t="shared" si="106"/>
        <v>38</v>
      </c>
      <c r="D177" s="3">
        <f t="shared" si="102"/>
        <v>78</v>
      </c>
      <c r="E177" s="3">
        <f t="shared" si="103"/>
        <v>157</v>
      </c>
      <c r="F177" s="3">
        <f t="shared" si="104"/>
        <v>316</v>
      </c>
      <c r="G177" s="3">
        <f t="shared" si="105"/>
        <v>632</v>
      </c>
      <c r="H177" s="3">
        <f>VLOOKUP(B177,原始数据!$H$6:$N$31,7,FALSE)</f>
        <v>100</v>
      </c>
      <c r="I177" s="3">
        <f>VLOOKUP(B177,原始数据!$H$6:$O$31,8,FALSE)</f>
        <v>250</v>
      </c>
    </row>
    <row r="178" spans="1:9">
      <c r="A178" s="3">
        <v>185</v>
      </c>
      <c r="B178" s="3">
        <v>18</v>
      </c>
      <c r="C178" s="3">
        <f t="shared" si="106"/>
        <v>41</v>
      </c>
      <c r="D178" s="3">
        <f t="shared" si="102"/>
        <v>83</v>
      </c>
      <c r="E178" s="3">
        <f t="shared" si="103"/>
        <v>166</v>
      </c>
      <c r="F178" s="3">
        <f t="shared" si="104"/>
        <v>333</v>
      </c>
      <c r="G178" s="3">
        <f t="shared" si="105"/>
        <v>666</v>
      </c>
      <c r="H178" s="3">
        <f>VLOOKUP(B178,原始数据!$H$6:$N$31,7,FALSE)</f>
        <v>100</v>
      </c>
      <c r="I178" s="3">
        <f>VLOOKUP(B178,原始数据!$H$6:$O$31,8,FALSE)</f>
        <v>250</v>
      </c>
    </row>
    <row r="179" spans="1:9">
      <c r="A179" s="3">
        <v>186</v>
      </c>
      <c r="B179" s="3">
        <v>18</v>
      </c>
      <c r="C179" s="3">
        <f t="shared" si="106"/>
        <v>43</v>
      </c>
      <c r="D179" s="3">
        <f t="shared" si="102"/>
        <v>87</v>
      </c>
      <c r="E179" s="3">
        <f t="shared" si="103"/>
        <v>174</v>
      </c>
      <c r="F179" s="3">
        <f t="shared" si="104"/>
        <v>349</v>
      </c>
      <c r="G179" s="3">
        <f t="shared" si="105"/>
        <v>699</v>
      </c>
      <c r="H179" s="3">
        <f>VLOOKUP(B179,原始数据!$H$6:$N$31,7,FALSE)</f>
        <v>100</v>
      </c>
      <c r="I179" s="3">
        <f>VLOOKUP(B179,原始数据!$H$6:$O$31,8,FALSE)</f>
        <v>250</v>
      </c>
    </row>
    <row r="180" spans="1:9">
      <c r="A180" s="3">
        <v>187</v>
      </c>
      <c r="B180" s="3">
        <v>18</v>
      </c>
      <c r="C180" s="3">
        <f t="shared" si="106"/>
        <v>45</v>
      </c>
      <c r="D180" s="3">
        <f t="shared" si="102"/>
        <v>91</v>
      </c>
      <c r="E180" s="3">
        <f t="shared" si="103"/>
        <v>182</v>
      </c>
      <c r="F180" s="3">
        <f t="shared" si="104"/>
        <v>366</v>
      </c>
      <c r="G180" s="3">
        <f t="shared" si="105"/>
        <v>732</v>
      </c>
      <c r="H180" s="3">
        <f>VLOOKUP(B180,原始数据!$H$6:$N$31,7,FALSE)</f>
        <v>100</v>
      </c>
      <c r="I180" s="3">
        <f>VLOOKUP(B180,原始数据!$H$6:$O$31,8,FALSE)</f>
        <v>250</v>
      </c>
    </row>
    <row r="181" spans="1:9">
      <c r="A181" s="3">
        <v>188</v>
      </c>
      <c r="B181" s="3">
        <v>18</v>
      </c>
      <c r="C181" s="3">
        <f t="shared" si="106"/>
        <v>47</v>
      </c>
      <c r="D181" s="3">
        <f t="shared" si="102"/>
        <v>95</v>
      </c>
      <c r="E181" s="3">
        <f t="shared" si="103"/>
        <v>190</v>
      </c>
      <c r="F181" s="3">
        <f t="shared" si="104"/>
        <v>382</v>
      </c>
      <c r="G181" s="3">
        <f t="shared" si="105"/>
        <v>765</v>
      </c>
      <c r="H181" s="3">
        <f>VLOOKUP(B181,原始数据!$H$6:$N$31,7,FALSE)</f>
        <v>100</v>
      </c>
      <c r="I181" s="3">
        <f>VLOOKUP(B181,原始数据!$H$6:$O$31,8,FALSE)</f>
        <v>250</v>
      </c>
    </row>
    <row r="182" spans="1:9">
      <c r="A182" s="3">
        <v>189</v>
      </c>
      <c r="B182" s="3">
        <v>18</v>
      </c>
      <c r="C182" s="3">
        <f t="shared" si="106"/>
        <v>49</v>
      </c>
      <c r="D182" s="3">
        <f t="shared" si="102"/>
        <v>99</v>
      </c>
      <c r="E182" s="3">
        <f t="shared" si="103"/>
        <v>199</v>
      </c>
      <c r="F182" s="3">
        <f t="shared" si="104"/>
        <v>399</v>
      </c>
      <c r="G182" s="3">
        <f t="shared" si="105"/>
        <v>799</v>
      </c>
      <c r="H182" s="3">
        <f>VLOOKUP(B182,原始数据!$H$6:$N$31,7,FALSE)</f>
        <v>100</v>
      </c>
      <c r="I182" s="3">
        <f>VLOOKUP(B182,原始数据!$H$6:$O$31,8,FALSE)</f>
        <v>250</v>
      </c>
    </row>
    <row r="183" spans="1:9">
      <c r="A183" s="3">
        <v>190</v>
      </c>
      <c r="B183" s="3">
        <v>18</v>
      </c>
      <c r="C183" s="3">
        <f t="shared" si="106"/>
        <v>51</v>
      </c>
      <c r="D183" s="3">
        <f t="shared" si="102"/>
        <v>103</v>
      </c>
      <c r="E183" s="3">
        <f t="shared" si="103"/>
        <v>207</v>
      </c>
      <c r="F183" s="3">
        <f t="shared" si="104"/>
        <v>416</v>
      </c>
      <c r="G183" s="3">
        <f t="shared" si="105"/>
        <v>832</v>
      </c>
      <c r="H183" s="3">
        <f>VLOOKUP(B183,原始数据!$H$6:$N$31,7,FALSE)</f>
        <v>100</v>
      </c>
      <c r="I183" s="3">
        <f>VLOOKUP(B183,原始数据!$H$6:$O$31,8,FALSE)</f>
        <v>250</v>
      </c>
    </row>
    <row r="184" spans="1:9">
      <c r="A184" s="3">
        <v>191</v>
      </c>
      <c r="B184" s="3">
        <v>19</v>
      </c>
      <c r="C184" s="1">
        <f>INT(F184/($J$4*$J$4*$J$4))</f>
        <v>6</v>
      </c>
      <c r="D184" s="1">
        <f>INT(F184/($J$4*$J$4))</f>
        <v>12</v>
      </c>
      <c r="E184" s="1">
        <f>INT(F184/$J$4)</f>
        <v>25</v>
      </c>
      <c r="F184" s="1">
        <f>原始数据!R24</f>
        <v>50</v>
      </c>
      <c r="G184" s="1">
        <f>F184*2</f>
        <v>100</v>
      </c>
      <c r="H184" s="3">
        <f>VLOOKUP(B184,原始数据!$H$6:$N$31,7,FALSE)</f>
        <v>10</v>
      </c>
      <c r="I184" s="3">
        <f>VLOOKUP(B184,原始数据!$H$6:$O$31,8,FALSE)</f>
        <v>166</v>
      </c>
    </row>
    <row r="185" spans="1:9">
      <c r="A185" s="3">
        <v>192</v>
      </c>
      <c r="B185" s="3">
        <v>19</v>
      </c>
      <c r="C185" s="3">
        <f>INT(C$184*(MOD($A185-1,10)*0.05+0.8))</f>
        <v>5</v>
      </c>
      <c r="D185" s="3">
        <f t="shared" ref="D185:D193" si="107">INT(D$184*(MOD($A185-1,10)*0.05+0.8))</f>
        <v>10</v>
      </c>
      <c r="E185" s="3">
        <f t="shared" ref="E185:E193" si="108">INT(E$184*(MOD($A185-1,10)*0.05+0.8))</f>
        <v>21</v>
      </c>
      <c r="F185" s="3">
        <f t="shared" ref="F185:F193" si="109">INT(F$184*(MOD($A185-1,10)*0.05+0.8))</f>
        <v>42</v>
      </c>
      <c r="G185" s="3">
        <f t="shared" ref="G185:G193" si="110">INT(G$184*(MOD($A185-1,10)*0.05+0.8))</f>
        <v>85</v>
      </c>
      <c r="H185" s="3">
        <f>VLOOKUP(B185,原始数据!$H$6:$N$31,7,FALSE)</f>
        <v>10</v>
      </c>
      <c r="I185" s="3">
        <f>VLOOKUP(B185,原始数据!$H$6:$O$31,8,FALSE)</f>
        <v>166</v>
      </c>
    </row>
    <row r="186" spans="1:9">
      <c r="A186" s="3">
        <v>193</v>
      </c>
      <c r="B186" s="3">
        <v>19</v>
      </c>
      <c r="C186" s="3">
        <f t="shared" ref="C186:C193" si="111">INT(C$184*(MOD($A186-1,10)*0.05+0.8))</f>
        <v>5</v>
      </c>
      <c r="D186" s="3">
        <f t="shared" si="107"/>
        <v>10</v>
      </c>
      <c r="E186" s="3">
        <f t="shared" si="108"/>
        <v>22</v>
      </c>
      <c r="F186" s="3">
        <f t="shared" si="109"/>
        <v>45</v>
      </c>
      <c r="G186" s="3">
        <f t="shared" si="110"/>
        <v>90</v>
      </c>
      <c r="H186" s="3">
        <f>VLOOKUP(B186,原始数据!$H$6:$N$31,7,FALSE)</f>
        <v>10</v>
      </c>
      <c r="I186" s="3">
        <f>VLOOKUP(B186,原始数据!$H$6:$O$31,8,FALSE)</f>
        <v>166</v>
      </c>
    </row>
    <row r="187" spans="1:9">
      <c r="A187" s="3">
        <v>194</v>
      </c>
      <c r="B187" s="3">
        <v>19</v>
      </c>
      <c r="C187" s="3">
        <f t="shared" si="111"/>
        <v>5</v>
      </c>
      <c r="D187" s="3">
        <f t="shared" si="107"/>
        <v>11</v>
      </c>
      <c r="E187" s="3">
        <f t="shared" si="108"/>
        <v>23</v>
      </c>
      <c r="F187" s="3">
        <f t="shared" si="109"/>
        <v>47</v>
      </c>
      <c r="G187" s="3">
        <f t="shared" si="110"/>
        <v>95</v>
      </c>
      <c r="H187" s="3">
        <f>VLOOKUP(B187,原始数据!$H$6:$N$31,7,FALSE)</f>
        <v>10</v>
      </c>
      <c r="I187" s="3">
        <f>VLOOKUP(B187,原始数据!$H$6:$O$31,8,FALSE)</f>
        <v>166</v>
      </c>
    </row>
    <row r="188" spans="1:9">
      <c r="A188" s="3">
        <v>195</v>
      </c>
      <c r="B188" s="3">
        <v>19</v>
      </c>
      <c r="C188" s="3">
        <f t="shared" si="111"/>
        <v>6</v>
      </c>
      <c r="D188" s="3">
        <f t="shared" si="107"/>
        <v>12</v>
      </c>
      <c r="E188" s="3">
        <f t="shared" si="108"/>
        <v>25</v>
      </c>
      <c r="F188" s="3">
        <f t="shared" si="109"/>
        <v>50</v>
      </c>
      <c r="G188" s="3">
        <f t="shared" si="110"/>
        <v>100</v>
      </c>
      <c r="H188" s="3">
        <f>VLOOKUP(B188,原始数据!$H$6:$N$31,7,FALSE)</f>
        <v>10</v>
      </c>
      <c r="I188" s="3">
        <f>VLOOKUP(B188,原始数据!$H$6:$O$31,8,FALSE)</f>
        <v>166</v>
      </c>
    </row>
    <row r="189" spans="1:9">
      <c r="A189" s="3">
        <v>196</v>
      </c>
      <c r="B189" s="3">
        <v>19</v>
      </c>
      <c r="C189" s="3">
        <f t="shared" si="111"/>
        <v>6</v>
      </c>
      <c r="D189" s="3">
        <f t="shared" si="107"/>
        <v>12</v>
      </c>
      <c r="E189" s="3">
        <f t="shared" si="108"/>
        <v>26</v>
      </c>
      <c r="F189" s="3">
        <f t="shared" si="109"/>
        <v>52</v>
      </c>
      <c r="G189" s="3">
        <f t="shared" si="110"/>
        <v>105</v>
      </c>
      <c r="H189" s="3">
        <f>VLOOKUP(B189,原始数据!$H$6:$N$31,7,FALSE)</f>
        <v>10</v>
      </c>
      <c r="I189" s="3">
        <f>VLOOKUP(B189,原始数据!$H$6:$O$31,8,FALSE)</f>
        <v>166</v>
      </c>
    </row>
    <row r="190" spans="1:9">
      <c r="A190" s="3">
        <v>197</v>
      </c>
      <c r="B190" s="3">
        <v>19</v>
      </c>
      <c r="C190" s="3">
        <f t="shared" si="111"/>
        <v>6</v>
      </c>
      <c r="D190" s="3">
        <f t="shared" si="107"/>
        <v>13</v>
      </c>
      <c r="E190" s="3">
        <f t="shared" si="108"/>
        <v>27</v>
      </c>
      <c r="F190" s="3">
        <f t="shared" si="109"/>
        <v>55</v>
      </c>
      <c r="G190" s="3">
        <f t="shared" si="110"/>
        <v>110</v>
      </c>
      <c r="H190" s="3">
        <f>VLOOKUP(B190,原始数据!$H$6:$N$31,7,FALSE)</f>
        <v>10</v>
      </c>
      <c r="I190" s="3">
        <f>VLOOKUP(B190,原始数据!$H$6:$O$31,8,FALSE)</f>
        <v>166</v>
      </c>
    </row>
    <row r="191" spans="1:9">
      <c r="A191" s="3">
        <v>198</v>
      </c>
      <c r="B191" s="3">
        <v>19</v>
      </c>
      <c r="C191" s="3">
        <f t="shared" si="111"/>
        <v>6</v>
      </c>
      <c r="D191" s="3">
        <f t="shared" si="107"/>
        <v>13</v>
      </c>
      <c r="E191" s="3">
        <f t="shared" si="108"/>
        <v>28</v>
      </c>
      <c r="F191" s="3">
        <f t="shared" si="109"/>
        <v>57</v>
      </c>
      <c r="G191" s="3">
        <f t="shared" si="110"/>
        <v>115</v>
      </c>
      <c r="H191" s="3">
        <f>VLOOKUP(B191,原始数据!$H$6:$N$31,7,FALSE)</f>
        <v>10</v>
      </c>
      <c r="I191" s="3">
        <f>VLOOKUP(B191,原始数据!$H$6:$O$31,8,FALSE)</f>
        <v>166</v>
      </c>
    </row>
    <row r="192" spans="1:9">
      <c r="A192" s="3">
        <v>199</v>
      </c>
      <c r="B192" s="3">
        <v>19</v>
      </c>
      <c r="C192" s="3">
        <f t="shared" si="111"/>
        <v>7</v>
      </c>
      <c r="D192" s="3">
        <f t="shared" si="107"/>
        <v>14</v>
      </c>
      <c r="E192" s="3">
        <f t="shared" si="108"/>
        <v>30</v>
      </c>
      <c r="F192" s="3">
        <f t="shared" si="109"/>
        <v>60</v>
      </c>
      <c r="G192" s="3">
        <f t="shared" si="110"/>
        <v>120</v>
      </c>
      <c r="H192" s="3">
        <f>VLOOKUP(B192,原始数据!$H$6:$N$31,7,FALSE)</f>
        <v>10</v>
      </c>
      <c r="I192" s="3">
        <f>VLOOKUP(B192,原始数据!$H$6:$O$31,8,FALSE)</f>
        <v>166</v>
      </c>
    </row>
    <row r="193" spans="1:9">
      <c r="A193" s="3">
        <v>200</v>
      </c>
      <c r="B193" s="3">
        <v>19</v>
      </c>
      <c r="C193" s="3">
        <f t="shared" si="111"/>
        <v>7</v>
      </c>
      <c r="D193" s="3">
        <f t="shared" si="107"/>
        <v>15</v>
      </c>
      <c r="E193" s="3">
        <f t="shared" si="108"/>
        <v>31</v>
      </c>
      <c r="F193" s="3">
        <f t="shared" si="109"/>
        <v>62</v>
      </c>
      <c r="G193" s="3">
        <f t="shared" si="110"/>
        <v>125</v>
      </c>
      <c r="H193" s="3">
        <f>VLOOKUP(B193,原始数据!$H$6:$N$31,7,FALSE)</f>
        <v>10</v>
      </c>
      <c r="I193" s="3">
        <f>VLOOKUP(B193,原始数据!$H$6:$O$31,8,FALSE)</f>
        <v>166</v>
      </c>
    </row>
    <row r="194" spans="1:9">
      <c r="A194" s="3">
        <v>201</v>
      </c>
      <c r="B194" s="3">
        <v>20</v>
      </c>
      <c r="C194" s="1">
        <f>INT(F194/($J$4*$J$4*$J$4))</f>
        <v>3</v>
      </c>
      <c r="D194" s="1">
        <f>INT(F194/($J$4*$J$4))</f>
        <v>6</v>
      </c>
      <c r="E194" s="1">
        <f>INT(F194/$J$4)</f>
        <v>12</v>
      </c>
      <c r="F194" s="1">
        <f>原始数据!R25</f>
        <v>25</v>
      </c>
      <c r="G194" s="1">
        <f>F194*2</f>
        <v>50</v>
      </c>
      <c r="H194" s="3">
        <f>VLOOKUP(B194,原始数据!$H$6:$N$31,7,FALSE)</f>
        <v>10</v>
      </c>
      <c r="I194" s="3">
        <f>VLOOKUP(B194,原始数据!$H$6:$O$31,8,FALSE)</f>
        <v>333</v>
      </c>
    </row>
    <row r="195" spans="1:9">
      <c r="A195" s="3">
        <v>202</v>
      </c>
      <c r="B195" s="3">
        <v>20</v>
      </c>
      <c r="C195" s="3">
        <f>INT(C$194*(MOD($A195-1,10)*0.05+0.8))</f>
        <v>2</v>
      </c>
      <c r="D195" s="3">
        <f t="shared" ref="D195:D203" si="112">INT(D$194*(MOD($A195-1,10)*0.05+0.8))</f>
        <v>5</v>
      </c>
      <c r="E195" s="3">
        <f t="shared" ref="E195:E203" si="113">INT(E$194*(MOD($A195-1,10)*0.05+0.8))</f>
        <v>10</v>
      </c>
      <c r="F195" s="3">
        <f t="shared" ref="F195:F203" si="114">INT(F$194*(MOD($A195-1,10)*0.05+0.8))</f>
        <v>21</v>
      </c>
      <c r="G195" s="3">
        <f t="shared" ref="G195:G203" si="115">INT(G$194*(MOD($A195-1,10)*0.05+0.8))</f>
        <v>42</v>
      </c>
      <c r="H195" s="3">
        <f>VLOOKUP(B195,原始数据!$H$6:$N$31,7,FALSE)</f>
        <v>10</v>
      </c>
      <c r="I195" s="3">
        <f>VLOOKUP(B195,原始数据!$H$6:$O$31,8,FALSE)</f>
        <v>333</v>
      </c>
    </row>
    <row r="196" spans="1:9">
      <c r="A196" s="3">
        <v>203</v>
      </c>
      <c r="B196" s="3">
        <v>20</v>
      </c>
      <c r="C196" s="3">
        <f t="shared" ref="C196:C203" si="116">INT(C$194*(MOD($A196-1,10)*0.05+0.8))</f>
        <v>2</v>
      </c>
      <c r="D196" s="3">
        <f t="shared" si="112"/>
        <v>5</v>
      </c>
      <c r="E196" s="3">
        <f t="shared" si="113"/>
        <v>10</v>
      </c>
      <c r="F196" s="3">
        <f t="shared" si="114"/>
        <v>22</v>
      </c>
      <c r="G196" s="3">
        <f t="shared" si="115"/>
        <v>45</v>
      </c>
      <c r="H196" s="3">
        <f>VLOOKUP(B196,原始数据!$H$6:$N$31,7,FALSE)</f>
        <v>10</v>
      </c>
      <c r="I196" s="3">
        <f>VLOOKUP(B196,原始数据!$H$6:$O$31,8,FALSE)</f>
        <v>333</v>
      </c>
    </row>
    <row r="197" spans="1:9">
      <c r="A197" s="3">
        <v>204</v>
      </c>
      <c r="B197" s="3">
        <v>20</v>
      </c>
      <c r="C197" s="3">
        <f t="shared" si="116"/>
        <v>2</v>
      </c>
      <c r="D197" s="3">
        <f t="shared" si="112"/>
        <v>5</v>
      </c>
      <c r="E197" s="3">
        <f t="shared" si="113"/>
        <v>11</v>
      </c>
      <c r="F197" s="3">
        <f t="shared" si="114"/>
        <v>23</v>
      </c>
      <c r="G197" s="3">
        <f t="shared" si="115"/>
        <v>47</v>
      </c>
      <c r="H197" s="3">
        <f>VLOOKUP(B197,原始数据!$H$6:$N$31,7,FALSE)</f>
        <v>10</v>
      </c>
      <c r="I197" s="3">
        <f>VLOOKUP(B197,原始数据!$H$6:$O$31,8,FALSE)</f>
        <v>333</v>
      </c>
    </row>
    <row r="198" spans="1:9">
      <c r="A198" s="3">
        <v>205</v>
      </c>
      <c r="B198" s="3">
        <v>20</v>
      </c>
      <c r="C198" s="3">
        <f t="shared" si="116"/>
        <v>3</v>
      </c>
      <c r="D198" s="3">
        <f t="shared" si="112"/>
        <v>6</v>
      </c>
      <c r="E198" s="3">
        <f t="shared" si="113"/>
        <v>12</v>
      </c>
      <c r="F198" s="3">
        <f t="shared" si="114"/>
        <v>25</v>
      </c>
      <c r="G198" s="3">
        <f t="shared" si="115"/>
        <v>50</v>
      </c>
      <c r="H198" s="3">
        <f>VLOOKUP(B198,原始数据!$H$6:$N$31,7,FALSE)</f>
        <v>10</v>
      </c>
      <c r="I198" s="3">
        <f>VLOOKUP(B198,原始数据!$H$6:$O$31,8,FALSE)</f>
        <v>333</v>
      </c>
    </row>
    <row r="199" spans="1:9">
      <c r="A199" s="3">
        <v>206</v>
      </c>
      <c r="B199" s="3">
        <v>20</v>
      </c>
      <c r="C199" s="3">
        <f t="shared" si="116"/>
        <v>3</v>
      </c>
      <c r="D199" s="3">
        <f t="shared" si="112"/>
        <v>6</v>
      </c>
      <c r="E199" s="3">
        <f t="shared" si="113"/>
        <v>12</v>
      </c>
      <c r="F199" s="3">
        <f t="shared" si="114"/>
        <v>26</v>
      </c>
      <c r="G199" s="3">
        <f t="shared" si="115"/>
        <v>52</v>
      </c>
      <c r="H199" s="3">
        <f>VLOOKUP(B199,原始数据!$H$6:$N$31,7,FALSE)</f>
        <v>10</v>
      </c>
      <c r="I199" s="3">
        <f>VLOOKUP(B199,原始数据!$H$6:$O$31,8,FALSE)</f>
        <v>333</v>
      </c>
    </row>
    <row r="200" spans="1:9">
      <c r="A200" s="3">
        <v>207</v>
      </c>
      <c r="B200" s="3">
        <v>20</v>
      </c>
      <c r="C200" s="3">
        <f t="shared" si="116"/>
        <v>3</v>
      </c>
      <c r="D200" s="3">
        <f t="shared" si="112"/>
        <v>6</v>
      </c>
      <c r="E200" s="3">
        <f t="shared" si="113"/>
        <v>13</v>
      </c>
      <c r="F200" s="3">
        <f t="shared" si="114"/>
        <v>27</v>
      </c>
      <c r="G200" s="3">
        <f t="shared" si="115"/>
        <v>55</v>
      </c>
      <c r="H200" s="3">
        <f>VLOOKUP(B200,原始数据!$H$6:$N$31,7,FALSE)</f>
        <v>10</v>
      </c>
      <c r="I200" s="3">
        <f>VLOOKUP(B200,原始数据!$H$6:$O$31,8,FALSE)</f>
        <v>333</v>
      </c>
    </row>
    <row r="201" spans="1:9">
      <c r="A201" s="3">
        <v>208</v>
      </c>
      <c r="B201" s="3">
        <v>20</v>
      </c>
      <c r="C201" s="3">
        <f t="shared" si="116"/>
        <v>3</v>
      </c>
      <c r="D201" s="3">
        <f t="shared" si="112"/>
        <v>6</v>
      </c>
      <c r="E201" s="3">
        <f t="shared" si="113"/>
        <v>13</v>
      </c>
      <c r="F201" s="3">
        <f t="shared" si="114"/>
        <v>28</v>
      </c>
      <c r="G201" s="3">
        <f t="shared" si="115"/>
        <v>57</v>
      </c>
      <c r="H201" s="3">
        <f>VLOOKUP(B201,原始数据!$H$6:$N$31,7,FALSE)</f>
        <v>10</v>
      </c>
      <c r="I201" s="3">
        <f>VLOOKUP(B201,原始数据!$H$6:$O$31,8,FALSE)</f>
        <v>333</v>
      </c>
    </row>
    <row r="202" spans="1:9">
      <c r="A202" s="3">
        <v>209</v>
      </c>
      <c r="B202" s="3">
        <v>20</v>
      </c>
      <c r="C202" s="3">
        <f t="shared" si="116"/>
        <v>3</v>
      </c>
      <c r="D202" s="3">
        <f t="shared" si="112"/>
        <v>7</v>
      </c>
      <c r="E202" s="3">
        <f t="shared" si="113"/>
        <v>14</v>
      </c>
      <c r="F202" s="3">
        <f t="shared" si="114"/>
        <v>30</v>
      </c>
      <c r="G202" s="3">
        <f t="shared" si="115"/>
        <v>60</v>
      </c>
      <c r="H202" s="3">
        <f>VLOOKUP(B202,原始数据!$H$6:$N$31,7,FALSE)</f>
        <v>10</v>
      </c>
      <c r="I202" s="3">
        <f>VLOOKUP(B202,原始数据!$H$6:$O$31,8,FALSE)</f>
        <v>333</v>
      </c>
    </row>
    <row r="203" spans="1:9">
      <c r="A203" s="3">
        <v>210</v>
      </c>
      <c r="B203" s="3">
        <v>20</v>
      </c>
      <c r="C203" s="3">
        <f t="shared" si="116"/>
        <v>3</v>
      </c>
      <c r="D203" s="3">
        <f t="shared" si="112"/>
        <v>7</v>
      </c>
      <c r="E203" s="3">
        <f t="shared" si="113"/>
        <v>15</v>
      </c>
      <c r="F203" s="3">
        <f t="shared" si="114"/>
        <v>31</v>
      </c>
      <c r="G203" s="3">
        <f t="shared" si="115"/>
        <v>62</v>
      </c>
      <c r="H203" s="3">
        <f>VLOOKUP(B203,原始数据!$H$6:$N$31,7,FALSE)</f>
        <v>10</v>
      </c>
      <c r="I203" s="3">
        <f>VLOOKUP(B203,原始数据!$H$6:$O$31,8,FALSE)</f>
        <v>333</v>
      </c>
    </row>
    <row r="204" spans="1:9">
      <c r="A204" s="3">
        <v>211</v>
      </c>
      <c r="B204" s="3">
        <v>21</v>
      </c>
      <c r="C204" s="1">
        <f>INT(F204/($J$4*$J$4*$J$4))</f>
        <v>20</v>
      </c>
      <c r="D204" s="1">
        <f>INT(F204/($J$4*$J$4))</f>
        <v>41</v>
      </c>
      <c r="E204" s="1">
        <f>INT(F204/$J$4)</f>
        <v>83</v>
      </c>
      <c r="F204" s="1">
        <f>原始数据!R26</f>
        <v>166</v>
      </c>
      <c r="G204" s="1">
        <f>F204*2</f>
        <v>332</v>
      </c>
      <c r="H204" s="3">
        <f>VLOOKUP(B204,原始数据!$H$6:$N$31,7,FALSE)</f>
        <v>10</v>
      </c>
      <c r="I204" s="3">
        <f>VLOOKUP(B204,原始数据!$H$6:$O$31,8,FALSE)</f>
        <v>50</v>
      </c>
    </row>
    <row r="205" spans="1:9">
      <c r="A205" s="3">
        <v>212</v>
      </c>
      <c r="B205" s="3">
        <v>21</v>
      </c>
      <c r="C205" s="3">
        <f>INT(C$204*(MOD($A205-1,10)*0.05+0.8))</f>
        <v>17</v>
      </c>
      <c r="D205" s="3">
        <f t="shared" ref="D205:D213" si="117">INT(D$204*(MOD($A205-1,10)*0.05+0.8))</f>
        <v>34</v>
      </c>
      <c r="E205" s="3">
        <f t="shared" ref="E205:E213" si="118">INT(E$204*(MOD($A205-1,10)*0.05+0.8))</f>
        <v>70</v>
      </c>
      <c r="F205" s="3">
        <f t="shared" ref="F205:F213" si="119">INT(F$204*(MOD($A205-1,10)*0.05+0.8))</f>
        <v>141</v>
      </c>
      <c r="G205" s="3">
        <f t="shared" ref="G205:G213" si="120">INT(G$204*(MOD($A205-1,10)*0.05+0.8))</f>
        <v>282</v>
      </c>
      <c r="H205" s="3">
        <f>VLOOKUP(B205,原始数据!$H$6:$N$31,7,FALSE)</f>
        <v>10</v>
      </c>
      <c r="I205" s="3">
        <f>VLOOKUP(B205,原始数据!$H$6:$O$31,8,FALSE)</f>
        <v>50</v>
      </c>
    </row>
    <row r="206" spans="1:9">
      <c r="A206" s="3">
        <v>213</v>
      </c>
      <c r="B206" s="3">
        <v>21</v>
      </c>
      <c r="C206" s="3">
        <f t="shared" ref="C206:C213" si="121">INT(C$204*(MOD($A206-1,10)*0.05+0.8))</f>
        <v>18</v>
      </c>
      <c r="D206" s="3">
        <f t="shared" si="117"/>
        <v>36</v>
      </c>
      <c r="E206" s="3">
        <f t="shared" si="118"/>
        <v>74</v>
      </c>
      <c r="F206" s="3">
        <f t="shared" si="119"/>
        <v>149</v>
      </c>
      <c r="G206" s="3">
        <f t="shared" si="120"/>
        <v>298</v>
      </c>
      <c r="H206" s="3">
        <f>VLOOKUP(B206,原始数据!$H$6:$N$31,7,FALSE)</f>
        <v>10</v>
      </c>
      <c r="I206" s="3">
        <f>VLOOKUP(B206,原始数据!$H$6:$O$31,8,FALSE)</f>
        <v>50</v>
      </c>
    </row>
    <row r="207" spans="1:9">
      <c r="A207" s="3">
        <v>214</v>
      </c>
      <c r="B207" s="3">
        <v>21</v>
      </c>
      <c r="C207" s="3">
        <f t="shared" si="121"/>
        <v>19</v>
      </c>
      <c r="D207" s="3">
        <f t="shared" si="117"/>
        <v>38</v>
      </c>
      <c r="E207" s="3">
        <f t="shared" si="118"/>
        <v>78</v>
      </c>
      <c r="F207" s="3">
        <f t="shared" si="119"/>
        <v>157</v>
      </c>
      <c r="G207" s="3">
        <f t="shared" si="120"/>
        <v>315</v>
      </c>
      <c r="H207" s="3">
        <f>VLOOKUP(B207,原始数据!$H$6:$N$31,7,FALSE)</f>
        <v>10</v>
      </c>
      <c r="I207" s="3">
        <f>VLOOKUP(B207,原始数据!$H$6:$O$31,8,FALSE)</f>
        <v>50</v>
      </c>
    </row>
    <row r="208" spans="1:9">
      <c r="A208" s="3">
        <v>215</v>
      </c>
      <c r="B208" s="3">
        <v>21</v>
      </c>
      <c r="C208" s="3">
        <f t="shared" si="121"/>
        <v>20</v>
      </c>
      <c r="D208" s="3">
        <f t="shared" si="117"/>
        <v>41</v>
      </c>
      <c r="E208" s="3">
        <f t="shared" si="118"/>
        <v>83</v>
      </c>
      <c r="F208" s="3">
        <f t="shared" si="119"/>
        <v>166</v>
      </c>
      <c r="G208" s="3">
        <f t="shared" si="120"/>
        <v>332</v>
      </c>
      <c r="H208" s="3">
        <f>VLOOKUP(B208,原始数据!$H$6:$N$31,7,FALSE)</f>
        <v>10</v>
      </c>
      <c r="I208" s="3">
        <f>VLOOKUP(B208,原始数据!$H$6:$O$31,8,FALSE)</f>
        <v>50</v>
      </c>
    </row>
    <row r="209" spans="1:9">
      <c r="A209" s="3">
        <v>216</v>
      </c>
      <c r="B209" s="3">
        <v>21</v>
      </c>
      <c r="C209" s="3">
        <f t="shared" si="121"/>
        <v>21</v>
      </c>
      <c r="D209" s="3">
        <f t="shared" si="117"/>
        <v>43</v>
      </c>
      <c r="E209" s="3">
        <f t="shared" si="118"/>
        <v>87</v>
      </c>
      <c r="F209" s="3">
        <f t="shared" si="119"/>
        <v>174</v>
      </c>
      <c r="G209" s="3">
        <f t="shared" si="120"/>
        <v>348</v>
      </c>
      <c r="H209" s="3">
        <f>VLOOKUP(B209,原始数据!$H$6:$N$31,7,FALSE)</f>
        <v>10</v>
      </c>
      <c r="I209" s="3">
        <f>VLOOKUP(B209,原始数据!$H$6:$O$31,8,FALSE)</f>
        <v>50</v>
      </c>
    </row>
    <row r="210" spans="1:9">
      <c r="A210" s="3">
        <v>217</v>
      </c>
      <c r="B210" s="3">
        <v>21</v>
      </c>
      <c r="C210" s="3">
        <f t="shared" si="121"/>
        <v>22</v>
      </c>
      <c r="D210" s="3">
        <f t="shared" si="117"/>
        <v>45</v>
      </c>
      <c r="E210" s="3">
        <f t="shared" si="118"/>
        <v>91</v>
      </c>
      <c r="F210" s="3">
        <f t="shared" si="119"/>
        <v>182</v>
      </c>
      <c r="G210" s="3">
        <f t="shared" si="120"/>
        <v>365</v>
      </c>
      <c r="H210" s="3">
        <f>VLOOKUP(B210,原始数据!$H$6:$N$31,7,FALSE)</f>
        <v>10</v>
      </c>
      <c r="I210" s="3">
        <f>VLOOKUP(B210,原始数据!$H$6:$O$31,8,FALSE)</f>
        <v>50</v>
      </c>
    </row>
    <row r="211" spans="1:9">
      <c r="A211" s="3">
        <v>218</v>
      </c>
      <c r="B211" s="3">
        <v>21</v>
      </c>
      <c r="C211" s="3">
        <f t="shared" si="121"/>
        <v>23</v>
      </c>
      <c r="D211" s="3">
        <f t="shared" si="117"/>
        <v>47</v>
      </c>
      <c r="E211" s="3">
        <f t="shared" si="118"/>
        <v>95</v>
      </c>
      <c r="F211" s="3">
        <f t="shared" si="119"/>
        <v>190</v>
      </c>
      <c r="G211" s="3">
        <f t="shared" si="120"/>
        <v>381</v>
      </c>
      <c r="H211" s="3">
        <f>VLOOKUP(B211,原始数据!$H$6:$N$31,7,FALSE)</f>
        <v>10</v>
      </c>
      <c r="I211" s="3">
        <f>VLOOKUP(B211,原始数据!$H$6:$O$31,8,FALSE)</f>
        <v>50</v>
      </c>
    </row>
    <row r="212" spans="1:9">
      <c r="A212" s="3">
        <v>219</v>
      </c>
      <c r="B212" s="3">
        <v>21</v>
      </c>
      <c r="C212" s="3">
        <f t="shared" si="121"/>
        <v>24</v>
      </c>
      <c r="D212" s="3">
        <f t="shared" si="117"/>
        <v>49</v>
      </c>
      <c r="E212" s="3">
        <f t="shared" si="118"/>
        <v>99</v>
      </c>
      <c r="F212" s="3">
        <f t="shared" si="119"/>
        <v>199</v>
      </c>
      <c r="G212" s="3">
        <f t="shared" si="120"/>
        <v>398</v>
      </c>
      <c r="H212" s="3">
        <f>VLOOKUP(B212,原始数据!$H$6:$N$31,7,FALSE)</f>
        <v>10</v>
      </c>
      <c r="I212" s="3">
        <f>VLOOKUP(B212,原始数据!$H$6:$O$31,8,FALSE)</f>
        <v>50</v>
      </c>
    </row>
    <row r="213" spans="1:9">
      <c r="A213" s="3">
        <v>220</v>
      </c>
      <c r="B213" s="3">
        <v>21</v>
      </c>
      <c r="C213" s="3">
        <f t="shared" si="121"/>
        <v>25</v>
      </c>
      <c r="D213" s="3">
        <f t="shared" si="117"/>
        <v>51</v>
      </c>
      <c r="E213" s="3">
        <f t="shared" si="118"/>
        <v>103</v>
      </c>
      <c r="F213" s="3">
        <f t="shared" si="119"/>
        <v>207</v>
      </c>
      <c r="G213" s="3">
        <f t="shared" si="120"/>
        <v>415</v>
      </c>
      <c r="H213" s="3">
        <f>VLOOKUP(B213,原始数据!$H$6:$N$31,7,FALSE)</f>
        <v>10</v>
      </c>
      <c r="I213" s="3">
        <f>VLOOKUP(B213,原始数据!$H$6:$O$31,8,FALSE)</f>
        <v>50</v>
      </c>
    </row>
    <row r="214" spans="1:9">
      <c r="A214" s="3">
        <v>221</v>
      </c>
      <c r="B214" s="3">
        <v>22</v>
      </c>
      <c r="C214" s="1">
        <f>INT(F214/($J$4*$J$4*$J$4))</f>
        <v>10</v>
      </c>
      <c r="D214" s="1">
        <f>INT(F214/($J$4*$J$4))</f>
        <v>20</v>
      </c>
      <c r="E214" s="1">
        <f>INT(F214/$J$4)</f>
        <v>41</v>
      </c>
      <c r="F214" s="1">
        <f>原始数据!R27</f>
        <v>83</v>
      </c>
      <c r="G214" s="1">
        <f>F214*2</f>
        <v>166</v>
      </c>
      <c r="H214" s="3">
        <f>VLOOKUP(B214,原始数据!$H$6:$N$31,7,FALSE)</f>
        <v>10</v>
      </c>
      <c r="I214" s="3">
        <f>VLOOKUP(B214,原始数据!$H$6:$O$31,8,FALSE)</f>
        <v>50</v>
      </c>
    </row>
    <row r="215" spans="1:9">
      <c r="A215" s="3">
        <v>222</v>
      </c>
      <c r="B215" s="3">
        <v>22</v>
      </c>
      <c r="C215" s="3">
        <f>INT(C$214*(MOD($A215-1,10)*0.05+0.8))</f>
        <v>8</v>
      </c>
      <c r="D215" s="3">
        <f t="shared" ref="D215:D223" si="122">INT(D$214*(MOD($A215-1,10)*0.05+0.8))</f>
        <v>17</v>
      </c>
      <c r="E215" s="3">
        <f t="shared" ref="E215:E223" si="123">INT(E$214*(MOD($A215-1,10)*0.05+0.8))</f>
        <v>34</v>
      </c>
      <c r="F215" s="3">
        <f t="shared" ref="F215:F223" si="124">INT(F$214*(MOD($A215-1,10)*0.05+0.8))</f>
        <v>70</v>
      </c>
      <c r="G215" s="3">
        <f t="shared" ref="G215:G223" si="125">INT(G$214*(MOD($A215-1,10)*0.05+0.8))</f>
        <v>141</v>
      </c>
      <c r="H215" s="3">
        <f>VLOOKUP(B215,原始数据!$H$6:$N$31,7,FALSE)</f>
        <v>10</v>
      </c>
      <c r="I215" s="3">
        <f>VLOOKUP(B215,原始数据!$H$6:$O$31,8,FALSE)</f>
        <v>50</v>
      </c>
    </row>
    <row r="216" spans="1:9">
      <c r="A216" s="3">
        <v>223</v>
      </c>
      <c r="B216" s="3">
        <v>22</v>
      </c>
      <c r="C216" s="3">
        <f t="shared" ref="C216:C223" si="126">INT(C$214*(MOD($A216-1,10)*0.05+0.8))</f>
        <v>9</v>
      </c>
      <c r="D216" s="3">
        <f t="shared" si="122"/>
        <v>18</v>
      </c>
      <c r="E216" s="3">
        <f t="shared" si="123"/>
        <v>36</v>
      </c>
      <c r="F216" s="3">
        <f t="shared" si="124"/>
        <v>74</v>
      </c>
      <c r="G216" s="3">
        <f t="shared" si="125"/>
        <v>149</v>
      </c>
      <c r="H216" s="3">
        <f>VLOOKUP(B216,原始数据!$H$6:$N$31,7,FALSE)</f>
        <v>10</v>
      </c>
      <c r="I216" s="3">
        <f>VLOOKUP(B216,原始数据!$H$6:$O$31,8,FALSE)</f>
        <v>50</v>
      </c>
    </row>
    <row r="217" spans="1:9">
      <c r="A217" s="3">
        <v>224</v>
      </c>
      <c r="B217" s="3">
        <v>22</v>
      </c>
      <c r="C217" s="3">
        <f t="shared" si="126"/>
        <v>9</v>
      </c>
      <c r="D217" s="3">
        <f t="shared" si="122"/>
        <v>19</v>
      </c>
      <c r="E217" s="3">
        <f t="shared" si="123"/>
        <v>38</v>
      </c>
      <c r="F217" s="3">
        <f t="shared" si="124"/>
        <v>78</v>
      </c>
      <c r="G217" s="3">
        <f t="shared" si="125"/>
        <v>157</v>
      </c>
      <c r="H217" s="3">
        <f>VLOOKUP(B217,原始数据!$H$6:$N$31,7,FALSE)</f>
        <v>10</v>
      </c>
      <c r="I217" s="3">
        <f>VLOOKUP(B217,原始数据!$H$6:$O$31,8,FALSE)</f>
        <v>50</v>
      </c>
    </row>
    <row r="218" spans="1:9">
      <c r="A218" s="3">
        <v>225</v>
      </c>
      <c r="B218" s="3">
        <v>22</v>
      </c>
      <c r="C218" s="3">
        <f t="shared" si="126"/>
        <v>10</v>
      </c>
      <c r="D218" s="3">
        <f t="shared" si="122"/>
        <v>20</v>
      </c>
      <c r="E218" s="3">
        <f t="shared" si="123"/>
        <v>41</v>
      </c>
      <c r="F218" s="3">
        <f t="shared" si="124"/>
        <v>83</v>
      </c>
      <c r="G218" s="3">
        <f t="shared" si="125"/>
        <v>166</v>
      </c>
      <c r="H218" s="3">
        <f>VLOOKUP(B218,原始数据!$H$6:$N$31,7,FALSE)</f>
        <v>10</v>
      </c>
      <c r="I218" s="3">
        <f>VLOOKUP(B218,原始数据!$H$6:$O$31,8,FALSE)</f>
        <v>50</v>
      </c>
    </row>
    <row r="219" spans="1:9">
      <c r="A219" s="3">
        <v>226</v>
      </c>
      <c r="B219" s="3">
        <v>22</v>
      </c>
      <c r="C219" s="3">
        <f t="shared" si="126"/>
        <v>10</v>
      </c>
      <c r="D219" s="3">
        <f t="shared" si="122"/>
        <v>21</v>
      </c>
      <c r="E219" s="3">
        <f t="shared" si="123"/>
        <v>43</v>
      </c>
      <c r="F219" s="3">
        <f t="shared" si="124"/>
        <v>87</v>
      </c>
      <c r="G219" s="3">
        <f t="shared" si="125"/>
        <v>174</v>
      </c>
      <c r="H219" s="3">
        <f>VLOOKUP(B219,原始数据!$H$6:$N$31,7,FALSE)</f>
        <v>10</v>
      </c>
      <c r="I219" s="3">
        <f>VLOOKUP(B219,原始数据!$H$6:$O$31,8,FALSE)</f>
        <v>50</v>
      </c>
    </row>
    <row r="220" spans="1:9">
      <c r="A220" s="3">
        <v>227</v>
      </c>
      <c r="B220" s="3">
        <v>22</v>
      </c>
      <c r="C220" s="3">
        <f t="shared" si="126"/>
        <v>11</v>
      </c>
      <c r="D220" s="3">
        <f t="shared" si="122"/>
        <v>22</v>
      </c>
      <c r="E220" s="3">
        <f t="shared" si="123"/>
        <v>45</v>
      </c>
      <c r="F220" s="3">
        <f t="shared" si="124"/>
        <v>91</v>
      </c>
      <c r="G220" s="3">
        <f t="shared" si="125"/>
        <v>182</v>
      </c>
      <c r="H220" s="3">
        <f>VLOOKUP(B220,原始数据!$H$6:$N$31,7,FALSE)</f>
        <v>10</v>
      </c>
      <c r="I220" s="3">
        <f>VLOOKUP(B220,原始数据!$H$6:$O$31,8,FALSE)</f>
        <v>50</v>
      </c>
    </row>
    <row r="221" spans="1:9">
      <c r="A221" s="3">
        <v>228</v>
      </c>
      <c r="B221" s="3">
        <v>22</v>
      </c>
      <c r="C221" s="3">
        <f t="shared" si="126"/>
        <v>11</v>
      </c>
      <c r="D221" s="3">
        <f t="shared" si="122"/>
        <v>23</v>
      </c>
      <c r="E221" s="3">
        <f t="shared" si="123"/>
        <v>47</v>
      </c>
      <c r="F221" s="3">
        <f t="shared" si="124"/>
        <v>95</v>
      </c>
      <c r="G221" s="3">
        <f t="shared" si="125"/>
        <v>190</v>
      </c>
      <c r="H221" s="3">
        <f>VLOOKUP(B221,原始数据!$H$6:$N$31,7,FALSE)</f>
        <v>10</v>
      </c>
      <c r="I221" s="3">
        <f>VLOOKUP(B221,原始数据!$H$6:$O$31,8,FALSE)</f>
        <v>50</v>
      </c>
    </row>
    <row r="222" spans="1:9">
      <c r="A222" s="3">
        <v>229</v>
      </c>
      <c r="B222" s="3">
        <v>22</v>
      </c>
      <c r="C222" s="3">
        <f t="shared" si="126"/>
        <v>12</v>
      </c>
      <c r="D222" s="3">
        <f t="shared" si="122"/>
        <v>24</v>
      </c>
      <c r="E222" s="3">
        <f t="shared" si="123"/>
        <v>49</v>
      </c>
      <c r="F222" s="3">
        <f t="shared" si="124"/>
        <v>99</v>
      </c>
      <c r="G222" s="3">
        <f t="shared" si="125"/>
        <v>199</v>
      </c>
      <c r="H222" s="3">
        <f>VLOOKUP(B222,原始数据!$H$6:$N$31,7,FALSE)</f>
        <v>10</v>
      </c>
      <c r="I222" s="3">
        <f>VLOOKUP(B222,原始数据!$H$6:$O$31,8,FALSE)</f>
        <v>50</v>
      </c>
    </row>
    <row r="223" spans="1:9">
      <c r="A223" s="3">
        <v>230</v>
      </c>
      <c r="B223" s="3">
        <v>22</v>
      </c>
      <c r="C223" s="3">
        <f t="shared" si="126"/>
        <v>12</v>
      </c>
      <c r="D223" s="3">
        <f t="shared" si="122"/>
        <v>25</v>
      </c>
      <c r="E223" s="3">
        <f t="shared" si="123"/>
        <v>51</v>
      </c>
      <c r="F223" s="3">
        <f t="shared" si="124"/>
        <v>103</v>
      </c>
      <c r="G223" s="3">
        <f t="shared" si="125"/>
        <v>207</v>
      </c>
      <c r="H223" s="3">
        <f>VLOOKUP(B223,原始数据!$H$6:$N$31,7,FALSE)</f>
        <v>10</v>
      </c>
      <c r="I223" s="3">
        <f>VLOOKUP(B223,原始数据!$H$6:$O$31,8,FALSE)</f>
        <v>50</v>
      </c>
    </row>
    <row r="224" spans="1:9">
      <c r="A224" s="3">
        <v>231</v>
      </c>
      <c r="B224" s="3">
        <v>23</v>
      </c>
      <c r="C224" s="1">
        <f>INT(F224/($J$4*$J$4*$J$4))</f>
        <v>10</v>
      </c>
      <c r="D224" s="1">
        <f>INT(F224/($J$4*$J$4))</f>
        <v>20</v>
      </c>
      <c r="E224" s="1">
        <f>INT(F224/$J$4)</f>
        <v>41</v>
      </c>
      <c r="F224" s="1">
        <f>原始数据!R28</f>
        <v>83</v>
      </c>
      <c r="G224" s="1">
        <f>F224*2</f>
        <v>166</v>
      </c>
      <c r="H224" s="3">
        <f>VLOOKUP(B224,原始数据!$H$6:$N$31,7,FALSE)</f>
        <v>10</v>
      </c>
      <c r="I224" s="3">
        <f>VLOOKUP(B224,原始数据!$H$6:$O$31,8,FALSE)</f>
        <v>50</v>
      </c>
    </row>
    <row r="225" spans="1:9">
      <c r="A225" s="3">
        <v>232</v>
      </c>
      <c r="B225" s="3">
        <v>23</v>
      </c>
      <c r="C225" s="3">
        <f>INT(C$224*(MOD($A225-1,10)*0.05+0.8))</f>
        <v>8</v>
      </c>
      <c r="D225" s="3">
        <f t="shared" ref="D225:D233" si="127">INT(D$224*(MOD($A225-1,10)*0.05+0.8))</f>
        <v>17</v>
      </c>
      <c r="E225" s="3">
        <f t="shared" ref="E225:E233" si="128">INT(E$224*(MOD($A225-1,10)*0.05+0.8))</f>
        <v>34</v>
      </c>
      <c r="F225" s="3">
        <f t="shared" ref="F225:F233" si="129">INT(F$224*(MOD($A225-1,10)*0.05+0.8))</f>
        <v>70</v>
      </c>
      <c r="G225" s="3">
        <f t="shared" ref="G225:G233" si="130">INT(G$224*(MOD($A225-1,10)*0.05+0.8))</f>
        <v>141</v>
      </c>
      <c r="H225" s="3">
        <f>VLOOKUP(B225,原始数据!$H$6:$N$31,7,FALSE)</f>
        <v>10</v>
      </c>
      <c r="I225" s="3">
        <f>VLOOKUP(B225,原始数据!$H$6:$O$31,8,FALSE)</f>
        <v>50</v>
      </c>
    </row>
    <row r="226" spans="1:9">
      <c r="A226" s="3">
        <v>233</v>
      </c>
      <c r="B226" s="3">
        <v>23</v>
      </c>
      <c r="C226" s="3">
        <f t="shared" ref="C226:C233" si="131">INT(C$224*(MOD($A226-1,10)*0.05+0.8))</f>
        <v>9</v>
      </c>
      <c r="D226" s="3">
        <f t="shared" si="127"/>
        <v>18</v>
      </c>
      <c r="E226" s="3">
        <f t="shared" si="128"/>
        <v>36</v>
      </c>
      <c r="F226" s="3">
        <f t="shared" si="129"/>
        <v>74</v>
      </c>
      <c r="G226" s="3">
        <f t="shared" si="130"/>
        <v>149</v>
      </c>
      <c r="H226" s="3">
        <f>VLOOKUP(B226,原始数据!$H$6:$N$31,7,FALSE)</f>
        <v>10</v>
      </c>
      <c r="I226" s="3">
        <f>VLOOKUP(B226,原始数据!$H$6:$O$31,8,FALSE)</f>
        <v>50</v>
      </c>
    </row>
    <row r="227" spans="1:9">
      <c r="A227" s="3">
        <v>234</v>
      </c>
      <c r="B227" s="3">
        <v>23</v>
      </c>
      <c r="C227" s="3">
        <f t="shared" si="131"/>
        <v>9</v>
      </c>
      <c r="D227" s="3">
        <f t="shared" si="127"/>
        <v>19</v>
      </c>
      <c r="E227" s="3">
        <f t="shared" si="128"/>
        <v>38</v>
      </c>
      <c r="F227" s="3">
        <f t="shared" si="129"/>
        <v>78</v>
      </c>
      <c r="G227" s="3">
        <f t="shared" si="130"/>
        <v>157</v>
      </c>
      <c r="H227" s="3">
        <f>VLOOKUP(B227,原始数据!$H$6:$N$31,7,FALSE)</f>
        <v>10</v>
      </c>
      <c r="I227" s="3">
        <f>VLOOKUP(B227,原始数据!$H$6:$O$31,8,FALSE)</f>
        <v>50</v>
      </c>
    </row>
    <row r="228" spans="1:9">
      <c r="A228" s="3">
        <v>235</v>
      </c>
      <c r="B228" s="3">
        <v>23</v>
      </c>
      <c r="C228" s="3">
        <f t="shared" si="131"/>
        <v>10</v>
      </c>
      <c r="D228" s="3">
        <f t="shared" si="127"/>
        <v>20</v>
      </c>
      <c r="E228" s="3">
        <f t="shared" si="128"/>
        <v>41</v>
      </c>
      <c r="F228" s="3">
        <f t="shared" si="129"/>
        <v>83</v>
      </c>
      <c r="G228" s="3">
        <f t="shared" si="130"/>
        <v>166</v>
      </c>
      <c r="H228" s="3">
        <f>VLOOKUP(B228,原始数据!$H$6:$N$31,7,FALSE)</f>
        <v>10</v>
      </c>
      <c r="I228" s="3">
        <f>VLOOKUP(B228,原始数据!$H$6:$O$31,8,FALSE)</f>
        <v>50</v>
      </c>
    </row>
    <row r="229" spans="1:9">
      <c r="A229" s="3">
        <v>236</v>
      </c>
      <c r="B229" s="3">
        <v>23</v>
      </c>
      <c r="C229" s="3">
        <f t="shared" si="131"/>
        <v>10</v>
      </c>
      <c r="D229" s="3">
        <f t="shared" si="127"/>
        <v>21</v>
      </c>
      <c r="E229" s="3">
        <f t="shared" si="128"/>
        <v>43</v>
      </c>
      <c r="F229" s="3">
        <f t="shared" si="129"/>
        <v>87</v>
      </c>
      <c r="G229" s="3">
        <f t="shared" si="130"/>
        <v>174</v>
      </c>
      <c r="H229" s="3">
        <f>VLOOKUP(B229,原始数据!$H$6:$N$31,7,FALSE)</f>
        <v>10</v>
      </c>
      <c r="I229" s="3">
        <f>VLOOKUP(B229,原始数据!$H$6:$O$31,8,FALSE)</f>
        <v>50</v>
      </c>
    </row>
    <row r="230" spans="1:9">
      <c r="A230" s="3">
        <v>237</v>
      </c>
      <c r="B230" s="3">
        <v>23</v>
      </c>
      <c r="C230" s="3">
        <f t="shared" si="131"/>
        <v>11</v>
      </c>
      <c r="D230" s="3">
        <f t="shared" si="127"/>
        <v>22</v>
      </c>
      <c r="E230" s="3">
        <f t="shared" si="128"/>
        <v>45</v>
      </c>
      <c r="F230" s="3">
        <f t="shared" si="129"/>
        <v>91</v>
      </c>
      <c r="G230" s="3">
        <f t="shared" si="130"/>
        <v>182</v>
      </c>
      <c r="H230" s="3">
        <f>VLOOKUP(B230,原始数据!$H$6:$N$31,7,FALSE)</f>
        <v>10</v>
      </c>
      <c r="I230" s="3">
        <f>VLOOKUP(B230,原始数据!$H$6:$O$31,8,FALSE)</f>
        <v>50</v>
      </c>
    </row>
    <row r="231" spans="1:9">
      <c r="A231" s="3">
        <v>238</v>
      </c>
      <c r="B231" s="3">
        <v>23</v>
      </c>
      <c r="C231" s="3">
        <f t="shared" si="131"/>
        <v>11</v>
      </c>
      <c r="D231" s="3">
        <f t="shared" si="127"/>
        <v>23</v>
      </c>
      <c r="E231" s="3">
        <f t="shared" si="128"/>
        <v>47</v>
      </c>
      <c r="F231" s="3">
        <f t="shared" si="129"/>
        <v>95</v>
      </c>
      <c r="G231" s="3">
        <f t="shared" si="130"/>
        <v>190</v>
      </c>
      <c r="H231" s="3">
        <f>VLOOKUP(B231,原始数据!$H$6:$N$31,7,FALSE)</f>
        <v>10</v>
      </c>
      <c r="I231" s="3">
        <f>VLOOKUP(B231,原始数据!$H$6:$O$31,8,FALSE)</f>
        <v>50</v>
      </c>
    </row>
    <row r="232" spans="1:9">
      <c r="A232" s="3">
        <v>239</v>
      </c>
      <c r="B232" s="3">
        <v>23</v>
      </c>
      <c r="C232" s="3">
        <f t="shared" si="131"/>
        <v>12</v>
      </c>
      <c r="D232" s="3">
        <f t="shared" si="127"/>
        <v>24</v>
      </c>
      <c r="E232" s="3">
        <f t="shared" si="128"/>
        <v>49</v>
      </c>
      <c r="F232" s="3">
        <f t="shared" si="129"/>
        <v>99</v>
      </c>
      <c r="G232" s="3">
        <f t="shared" si="130"/>
        <v>199</v>
      </c>
      <c r="H232" s="3">
        <f>VLOOKUP(B232,原始数据!$H$6:$N$31,7,FALSE)</f>
        <v>10</v>
      </c>
      <c r="I232" s="3">
        <f>VLOOKUP(B232,原始数据!$H$6:$O$31,8,FALSE)</f>
        <v>50</v>
      </c>
    </row>
    <row r="233" spans="1:9">
      <c r="A233" s="3">
        <v>240</v>
      </c>
      <c r="B233" s="3">
        <v>23</v>
      </c>
      <c r="C233" s="3">
        <f t="shared" si="131"/>
        <v>12</v>
      </c>
      <c r="D233" s="3">
        <f t="shared" si="127"/>
        <v>25</v>
      </c>
      <c r="E233" s="3">
        <f t="shared" si="128"/>
        <v>51</v>
      </c>
      <c r="F233" s="3">
        <f t="shared" si="129"/>
        <v>103</v>
      </c>
      <c r="G233" s="3">
        <f t="shared" si="130"/>
        <v>207</v>
      </c>
      <c r="H233" s="3">
        <f>VLOOKUP(B233,原始数据!$H$6:$N$31,7,FALSE)</f>
        <v>10</v>
      </c>
      <c r="I233" s="3">
        <f>VLOOKUP(B233,原始数据!$H$6:$O$31,8,FALSE)</f>
        <v>50</v>
      </c>
    </row>
    <row r="234" spans="1:9">
      <c r="A234" s="3">
        <v>241</v>
      </c>
      <c r="B234" s="3">
        <v>24</v>
      </c>
      <c r="C234" s="1">
        <f>INT(F234/($J$4*$J$4*$J$4))</f>
        <v>10</v>
      </c>
      <c r="D234" s="1">
        <f>INT(F234/($J$4*$J$4))</f>
        <v>20</v>
      </c>
      <c r="E234" s="1">
        <f>INT(F234/$J$4)</f>
        <v>41</v>
      </c>
      <c r="F234" s="1">
        <f>原始数据!R29</f>
        <v>83</v>
      </c>
      <c r="G234" s="1">
        <f>F234*2</f>
        <v>166</v>
      </c>
      <c r="H234" s="3">
        <f>VLOOKUP(B234,原始数据!$H$6:$N$31,7,FALSE)</f>
        <v>10</v>
      </c>
      <c r="I234" s="3">
        <f>VLOOKUP(B234,原始数据!$H$6:$O$31,8,FALSE)</f>
        <v>50</v>
      </c>
    </row>
    <row r="235" spans="1:9">
      <c r="A235" s="3">
        <v>242</v>
      </c>
      <c r="B235" s="3">
        <v>24</v>
      </c>
      <c r="C235" s="3">
        <f>INT(C$234*(MOD($A235-1,10)*0.05+0.8))</f>
        <v>8</v>
      </c>
      <c r="D235" s="3">
        <f t="shared" ref="D235:D243" si="132">INT(D$234*(MOD($A235-1,10)*0.05+0.8))</f>
        <v>17</v>
      </c>
      <c r="E235" s="3">
        <f t="shared" ref="E235:E243" si="133">INT(E$234*(MOD($A235-1,10)*0.05+0.8))</f>
        <v>34</v>
      </c>
      <c r="F235" s="3">
        <f t="shared" ref="F235:F243" si="134">INT(F$234*(MOD($A235-1,10)*0.05+0.8))</f>
        <v>70</v>
      </c>
      <c r="G235" s="3">
        <f t="shared" ref="G235:G243" si="135">INT(G$234*(MOD($A235-1,10)*0.05+0.8))</f>
        <v>141</v>
      </c>
      <c r="H235" s="3">
        <f>VLOOKUP(B235,原始数据!$H$6:$N$31,7,FALSE)</f>
        <v>10</v>
      </c>
      <c r="I235" s="3">
        <f>VLOOKUP(B235,原始数据!$H$6:$O$31,8,FALSE)</f>
        <v>50</v>
      </c>
    </row>
    <row r="236" spans="1:9">
      <c r="A236" s="3">
        <v>243</v>
      </c>
      <c r="B236" s="3">
        <v>24</v>
      </c>
      <c r="C236" s="3">
        <f t="shared" ref="C236:C243" si="136">INT(C$234*(MOD($A236-1,10)*0.05+0.8))</f>
        <v>9</v>
      </c>
      <c r="D236" s="3">
        <f t="shared" si="132"/>
        <v>18</v>
      </c>
      <c r="E236" s="3">
        <f t="shared" si="133"/>
        <v>36</v>
      </c>
      <c r="F236" s="3">
        <f t="shared" si="134"/>
        <v>74</v>
      </c>
      <c r="G236" s="3">
        <f t="shared" si="135"/>
        <v>149</v>
      </c>
      <c r="H236" s="3">
        <f>VLOOKUP(B236,原始数据!$H$6:$N$31,7,FALSE)</f>
        <v>10</v>
      </c>
      <c r="I236" s="3">
        <f>VLOOKUP(B236,原始数据!$H$6:$O$31,8,FALSE)</f>
        <v>50</v>
      </c>
    </row>
    <row r="237" spans="1:9">
      <c r="A237" s="3">
        <v>244</v>
      </c>
      <c r="B237" s="3">
        <v>24</v>
      </c>
      <c r="C237" s="3">
        <f t="shared" si="136"/>
        <v>9</v>
      </c>
      <c r="D237" s="3">
        <f t="shared" si="132"/>
        <v>19</v>
      </c>
      <c r="E237" s="3">
        <f t="shared" si="133"/>
        <v>38</v>
      </c>
      <c r="F237" s="3">
        <f t="shared" si="134"/>
        <v>78</v>
      </c>
      <c r="G237" s="3">
        <f t="shared" si="135"/>
        <v>157</v>
      </c>
      <c r="H237" s="3">
        <f>VLOOKUP(B237,原始数据!$H$6:$N$31,7,FALSE)</f>
        <v>10</v>
      </c>
      <c r="I237" s="3">
        <f>VLOOKUP(B237,原始数据!$H$6:$O$31,8,FALSE)</f>
        <v>50</v>
      </c>
    </row>
    <row r="238" spans="1:9">
      <c r="A238" s="3">
        <v>245</v>
      </c>
      <c r="B238" s="3">
        <v>24</v>
      </c>
      <c r="C238" s="3">
        <f t="shared" si="136"/>
        <v>10</v>
      </c>
      <c r="D238" s="3">
        <f t="shared" si="132"/>
        <v>20</v>
      </c>
      <c r="E238" s="3">
        <f t="shared" si="133"/>
        <v>41</v>
      </c>
      <c r="F238" s="3">
        <f t="shared" si="134"/>
        <v>83</v>
      </c>
      <c r="G238" s="3">
        <f t="shared" si="135"/>
        <v>166</v>
      </c>
      <c r="H238" s="3">
        <f>VLOOKUP(B238,原始数据!$H$6:$N$31,7,FALSE)</f>
        <v>10</v>
      </c>
      <c r="I238" s="3">
        <f>VLOOKUP(B238,原始数据!$H$6:$O$31,8,FALSE)</f>
        <v>50</v>
      </c>
    </row>
    <row r="239" spans="1:9">
      <c r="A239" s="3">
        <v>246</v>
      </c>
      <c r="B239" s="3">
        <v>24</v>
      </c>
      <c r="C239" s="3">
        <f t="shared" si="136"/>
        <v>10</v>
      </c>
      <c r="D239" s="3">
        <f t="shared" si="132"/>
        <v>21</v>
      </c>
      <c r="E239" s="3">
        <f t="shared" si="133"/>
        <v>43</v>
      </c>
      <c r="F239" s="3">
        <f t="shared" si="134"/>
        <v>87</v>
      </c>
      <c r="G239" s="3">
        <f t="shared" si="135"/>
        <v>174</v>
      </c>
      <c r="H239" s="3">
        <f>VLOOKUP(B239,原始数据!$H$6:$N$31,7,FALSE)</f>
        <v>10</v>
      </c>
      <c r="I239" s="3">
        <f>VLOOKUP(B239,原始数据!$H$6:$O$31,8,FALSE)</f>
        <v>50</v>
      </c>
    </row>
    <row r="240" spans="1:9">
      <c r="A240" s="3">
        <v>247</v>
      </c>
      <c r="B240" s="3">
        <v>24</v>
      </c>
      <c r="C240" s="3">
        <f t="shared" si="136"/>
        <v>11</v>
      </c>
      <c r="D240" s="3">
        <f t="shared" si="132"/>
        <v>22</v>
      </c>
      <c r="E240" s="3">
        <f t="shared" si="133"/>
        <v>45</v>
      </c>
      <c r="F240" s="3">
        <f t="shared" si="134"/>
        <v>91</v>
      </c>
      <c r="G240" s="3">
        <f t="shared" si="135"/>
        <v>182</v>
      </c>
      <c r="H240" s="3">
        <f>VLOOKUP(B240,原始数据!$H$6:$N$31,7,FALSE)</f>
        <v>10</v>
      </c>
      <c r="I240" s="3">
        <f>VLOOKUP(B240,原始数据!$H$6:$O$31,8,FALSE)</f>
        <v>50</v>
      </c>
    </row>
    <row r="241" spans="1:9">
      <c r="A241" s="3">
        <v>248</v>
      </c>
      <c r="B241" s="3">
        <v>24</v>
      </c>
      <c r="C241" s="3">
        <f t="shared" si="136"/>
        <v>11</v>
      </c>
      <c r="D241" s="3">
        <f t="shared" si="132"/>
        <v>23</v>
      </c>
      <c r="E241" s="3">
        <f t="shared" si="133"/>
        <v>47</v>
      </c>
      <c r="F241" s="3">
        <f t="shared" si="134"/>
        <v>95</v>
      </c>
      <c r="G241" s="3">
        <f t="shared" si="135"/>
        <v>190</v>
      </c>
      <c r="H241" s="3">
        <f>VLOOKUP(B241,原始数据!$H$6:$N$31,7,FALSE)</f>
        <v>10</v>
      </c>
      <c r="I241" s="3">
        <f>VLOOKUP(B241,原始数据!$H$6:$O$31,8,FALSE)</f>
        <v>50</v>
      </c>
    </row>
    <row r="242" spans="1:9">
      <c r="A242" s="3">
        <v>249</v>
      </c>
      <c r="B242" s="3">
        <v>24</v>
      </c>
      <c r="C242" s="3">
        <f t="shared" si="136"/>
        <v>12</v>
      </c>
      <c r="D242" s="3">
        <f t="shared" si="132"/>
        <v>24</v>
      </c>
      <c r="E242" s="3">
        <f t="shared" si="133"/>
        <v>49</v>
      </c>
      <c r="F242" s="3">
        <f t="shared" si="134"/>
        <v>99</v>
      </c>
      <c r="G242" s="3">
        <f t="shared" si="135"/>
        <v>199</v>
      </c>
      <c r="H242" s="3">
        <f>VLOOKUP(B242,原始数据!$H$6:$N$31,7,FALSE)</f>
        <v>10</v>
      </c>
      <c r="I242" s="3">
        <f>VLOOKUP(B242,原始数据!$H$6:$O$31,8,FALSE)</f>
        <v>50</v>
      </c>
    </row>
    <row r="243" spans="1:9">
      <c r="A243" s="3">
        <v>250</v>
      </c>
      <c r="B243" s="3">
        <v>24</v>
      </c>
      <c r="C243" s="3">
        <f t="shared" si="136"/>
        <v>12</v>
      </c>
      <c r="D243" s="3">
        <f t="shared" si="132"/>
        <v>25</v>
      </c>
      <c r="E243" s="3">
        <f t="shared" si="133"/>
        <v>51</v>
      </c>
      <c r="F243" s="3">
        <f t="shared" si="134"/>
        <v>103</v>
      </c>
      <c r="G243" s="3">
        <f t="shared" si="135"/>
        <v>207</v>
      </c>
      <c r="H243" s="3">
        <f>VLOOKUP(B243,原始数据!$H$6:$N$31,7,FALSE)</f>
        <v>10</v>
      </c>
      <c r="I243" s="3">
        <f>VLOOKUP(B243,原始数据!$H$6:$O$31,8,FALSE)</f>
        <v>50</v>
      </c>
    </row>
    <row r="244" spans="1:9">
      <c r="A244" s="3">
        <v>251</v>
      </c>
      <c r="B244" s="3">
        <v>25</v>
      </c>
      <c r="C244" s="1">
        <f>INT(F244/($J$4*$J$4*$J$4))</f>
        <v>31</v>
      </c>
      <c r="D244" s="1">
        <f>INT(F244/($J$4*$J$4))</f>
        <v>62</v>
      </c>
      <c r="E244" s="1">
        <f>INT(F244/$J$4)</f>
        <v>125</v>
      </c>
      <c r="F244" s="1">
        <f>原始数据!R30</f>
        <v>250</v>
      </c>
      <c r="G244" s="1">
        <f>F244*2</f>
        <v>500</v>
      </c>
      <c r="H244" s="3">
        <f>VLOOKUP(B244,原始数据!$H$6:$N$31,7,FALSE)</f>
        <v>1000</v>
      </c>
      <c r="I244" s="3">
        <f>VLOOKUP(B244,原始数据!$H$6:$O$31,8,FALSE)</f>
        <v>3333</v>
      </c>
    </row>
    <row r="245" spans="1:9">
      <c r="A245" s="3">
        <v>252</v>
      </c>
      <c r="B245" s="3">
        <v>25</v>
      </c>
      <c r="C245" s="3">
        <f>INT(C$244*(MOD($A245-1,10)*0.05+0.8))</f>
        <v>26</v>
      </c>
      <c r="D245" s="3">
        <f t="shared" ref="D245:D253" si="137">INT(D$244*(MOD($A245-1,10)*0.05+0.8))</f>
        <v>52</v>
      </c>
      <c r="E245" s="3">
        <f t="shared" ref="E245:E253" si="138">INT(E$244*(MOD($A245-1,10)*0.05+0.8))</f>
        <v>106</v>
      </c>
      <c r="F245" s="3">
        <f t="shared" ref="F245:F253" si="139">INT(F$244*(MOD($A245-1,10)*0.05+0.8))</f>
        <v>212</v>
      </c>
      <c r="G245" s="3">
        <f t="shared" ref="G245:G253" si="140">INT(G$244*(MOD($A245-1,10)*0.05+0.8))</f>
        <v>425</v>
      </c>
      <c r="H245" s="3">
        <f>VLOOKUP(B245,原始数据!$H$6:$N$31,7,FALSE)</f>
        <v>1000</v>
      </c>
      <c r="I245" s="3">
        <f>VLOOKUP(B245,原始数据!$H$6:$O$31,8,FALSE)</f>
        <v>3333</v>
      </c>
    </row>
    <row r="246" spans="1:9">
      <c r="A246" s="3">
        <v>253</v>
      </c>
      <c r="B246" s="3">
        <v>25</v>
      </c>
      <c r="C246" s="3">
        <f t="shared" ref="C246:C253" si="141">INT(C$244*(MOD($A246-1,10)*0.05+0.8))</f>
        <v>27</v>
      </c>
      <c r="D246" s="3">
        <f t="shared" si="137"/>
        <v>55</v>
      </c>
      <c r="E246" s="3">
        <f t="shared" si="138"/>
        <v>112</v>
      </c>
      <c r="F246" s="3">
        <f t="shared" si="139"/>
        <v>225</v>
      </c>
      <c r="G246" s="3">
        <f t="shared" si="140"/>
        <v>450</v>
      </c>
      <c r="H246" s="3">
        <f>VLOOKUP(B246,原始数据!$H$6:$N$31,7,FALSE)</f>
        <v>1000</v>
      </c>
      <c r="I246" s="3">
        <f>VLOOKUP(B246,原始数据!$H$6:$O$31,8,FALSE)</f>
        <v>3333</v>
      </c>
    </row>
    <row r="247" spans="1:9">
      <c r="A247" s="3">
        <v>254</v>
      </c>
      <c r="B247" s="3">
        <v>25</v>
      </c>
      <c r="C247" s="3">
        <f t="shared" si="141"/>
        <v>29</v>
      </c>
      <c r="D247" s="3">
        <f t="shared" si="137"/>
        <v>58</v>
      </c>
      <c r="E247" s="3">
        <f t="shared" si="138"/>
        <v>118</v>
      </c>
      <c r="F247" s="3">
        <f t="shared" si="139"/>
        <v>237</v>
      </c>
      <c r="G247" s="3">
        <f t="shared" si="140"/>
        <v>475</v>
      </c>
      <c r="H247" s="3">
        <f>VLOOKUP(B247,原始数据!$H$6:$N$31,7,FALSE)</f>
        <v>1000</v>
      </c>
      <c r="I247" s="3">
        <f>VLOOKUP(B247,原始数据!$H$6:$O$31,8,FALSE)</f>
        <v>3333</v>
      </c>
    </row>
    <row r="248" spans="1:9">
      <c r="A248" s="3">
        <v>255</v>
      </c>
      <c r="B248" s="3">
        <v>25</v>
      </c>
      <c r="C248" s="3">
        <f t="shared" si="141"/>
        <v>31</v>
      </c>
      <c r="D248" s="3">
        <f t="shared" si="137"/>
        <v>62</v>
      </c>
      <c r="E248" s="3">
        <f t="shared" si="138"/>
        <v>125</v>
      </c>
      <c r="F248" s="3">
        <f t="shared" si="139"/>
        <v>250</v>
      </c>
      <c r="G248" s="3">
        <f t="shared" si="140"/>
        <v>500</v>
      </c>
      <c r="H248" s="3">
        <f>VLOOKUP(B248,原始数据!$H$6:$N$31,7,FALSE)</f>
        <v>1000</v>
      </c>
      <c r="I248" s="3">
        <f>VLOOKUP(B248,原始数据!$H$6:$O$31,8,FALSE)</f>
        <v>3333</v>
      </c>
    </row>
    <row r="249" spans="1:9">
      <c r="A249" s="3">
        <v>256</v>
      </c>
      <c r="B249" s="3">
        <v>25</v>
      </c>
      <c r="C249" s="3">
        <f t="shared" si="141"/>
        <v>32</v>
      </c>
      <c r="D249" s="3">
        <f t="shared" si="137"/>
        <v>65</v>
      </c>
      <c r="E249" s="3">
        <f t="shared" si="138"/>
        <v>131</v>
      </c>
      <c r="F249" s="3">
        <f t="shared" si="139"/>
        <v>262</v>
      </c>
      <c r="G249" s="3">
        <f t="shared" si="140"/>
        <v>525</v>
      </c>
      <c r="H249" s="3">
        <f>VLOOKUP(B249,原始数据!$H$6:$N$31,7,FALSE)</f>
        <v>1000</v>
      </c>
      <c r="I249" s="3">
        <f>VLOOKUP(B249,原始数据!$H$6:$O$31,8,FALSE)</f>
        <v>3333</v>
      </c>
    </row>
    <row r="250" spans="1:9">
      <c r="A250" s="3">
        <v>257</v>
      </c>
      <c r="B250" s="3">
        <v>25</v>
      </c>
      <c r="C250" s="3">
        <f t="shared" si="141"/>
        <v>34</v>
      </c>
      <c r="D250" s="3">
        <f t="shared" si="137"/>
        <v>68</v>
      </c>
      <c r="E250" s="3">
        <f t="shared" si="138"/>
        <v>137</v>
      </c>
      <c r="F250" s="3">
        <f t="shared" si="139"/>
        <v>275</v>
      </c>
      <c r="G250" s="3">
        <f t="shared" si="140"/>
        <v>550</v>
      </c>
      <c r="H250" s="3">
        <f>VLOOKUP(B250,原始数据!$H$6:$N$31,7,FALSE)</f>
        <v>1000</v>
      </c>
      <c r="I250" s="3">
        <f>VLOOKUP(B250,原始数据!$H$6:$O$31,8,FALSE)</f>
        <v>3333</v>
      </c>
    </row>
    <row r="251" spans="1:9">
      <c r="A251" s="3">
        <v>258</v>
      </c>
      <c r="B251" s="3">
        <v>25</v>
      </c>
      <c r="C251" s="3">
        <f t="shared" si="141"/>
        <v>35</v>
      </c>
      <c r="D251" s="3">
        <f t="shared" si="137"/>
        <v>71</v>
      </c>
      <c r="E251" s="3">
        <f t="shared" si="138"/>
        <v>143</v>
      </c>
      <c r="F251" s="3">
        <f t="shared" si="139"/>
        <v>287</v>
      </c>
      <c r="G251" s="3">
        <f t="shared" si="140"/>
        <v>575</v>
      </c>
      <c r="H251" s="3">
        <f>VLOOKUP(B251,原始数据!$H$6:$N$31,7,FALSE)</f>
        <v>1000</v>
      </c>
      <c r="I251" s="3">
        <f>VLOOKUP(B251,原始数据!$H$6:$O$31,8,FALSE)</f>
        <v>3333</v>
      </c>
    </row>
    <row r="252" spans="1:9">
      <c r="A252" s="3">
        <v>259</v>
      </c>
      <c r="B252" s="3">
        <v>25</v>
      </c>
      <c r="C252" s="3">
        <f t="shared" si="141"/>
        <v>37</v>
      </c>
      <c r="D252" s="3">
        <f t="shared" si="137"/>
        <v>74</v>
      </c>
      <c r="E252" s="3">
        <f t="shared" si="138"/>
        <v>150</v>
      </c>
      <c r="F252" s="3">
        <f t="shared" si="139"/>
        <v>300</v>
      </c>
      <c r="G252" s="3">
        <f t="shared" si="140"/>
        <v>600</v>
      </c>
      <c r="H252" s="3">
        <f>VLOOKUP(B252,原始数据!$H$6:$N$31,7,FALSE)</f>
        <v>1000</v>
      </c>
      <c r="I252" s="3">
        <f>VLOOKUP(B252,原始数据!$H$6:$O$31,8,FALSE)</f>
        <v>3333</v>
      </c>
    </row>
    <row r="253" spans="1:9">
      <c r="A253" s="3">
        <v>260</v>
      </c>
      <c r="B253" s="3">
        <v>25</v>
      </c>
      <c r="C253" s="3">
        <f t="shared" si="141"/>
        <v>38</v>
      </c>
      <c r="D253" s="3">
        <f t="shared" si="137"/>
        <v>77</v>
      </c>
      <c r="E253" s="3">
        <f t="shared" si="138"/>
        <v>156</v>
      </c>
      <c r="F253" s="3">
        <f t="shared" si="139"/>
        <v>312</v>
      </c>
      <c r="G253" s="3">
        <f t="shared" si="140"/>
        <v>625</v>
      </c>
      <c r="H253" s="3">
        <f>VLOOKUP(B253,原始数据!$H$6:$N$31,7,FALSE)</f>
        <v>1000</v>
      </c>
      <c r="I253" s="3">
        <f>VLOOKUP(B253,原始数据!$H$6:$O$31,8,FALSE)</f>
        <v>3333</v>
      </c>
    </row>
    <row r="254" spans="1:9">
      <c r="A254" s="3">
        <v>261</v>
      </c>
      <c r="B254" s="3">
        <v>26</v>
      </c>
      <c r="C254" s="1">
        <f>INT(F254/($J$4*$J$4*$J$4))</f>
        <v>31</v>
      </c>
      <c r="D254" s="1">
        <f>INT(F254/($J$4*$J$4))</f>
        <v>62</v>
      </c>
      <c r="E254" s="1">
        <f>INT(F254/$J$4)</f>
        <v>125</v>
      </c>
      <c r="F254" s="1">
        <f>原始数据!R31</f>
        <v>250</v>
      </c>
      <c r="G254" s="1">
        <f>F254*2</f>
        <v>500</v>
      </c>
      <c r="H254" s="3">
        <f>VLOOKUP(B254,原始数据!$H$6:$N$31,7,FALSE)</f>
        <v>1000</v>
      </c>
      <c r="I254" s="3">
        <f>VLOOKUP(B254,原始数据!$H$6:$O$31,8,FALSE)</f>
        <v>3333</v>
      </c>
    </row>
    <row r="255" spans="1:9">
      <c r="A255" s="3">
        <v>262</v>
      </c>
      <c r="B255" s="3">
        <v>26</v>
      </c>
      <c r="C255" s="3">
        <f>INT(C$254*(MOD($A255-1,10)*0.05+0.8))</f>
        <v>26</v>
      </c>
      <c r="D255" s="3">
        <f t="shared" ref="D255:D263" si="142">INT(D$254*(MOD($A255-1,10)*0.05+0.8))</f>
        <v>52</v>
      </c>
      <c r="E255" s="3">
        <f t="shared" ref="E255:E263" si="143">INT(E$254*(MOD($A255-1,10)*0.05+0.8))</f>
        <v>106</v>
      </c>
      <c r="F255" s="3">
        <f t="shared" ref="F255:F263" si="144">INT(F$254*(MOD($A255-1,10)*0.05+0.8))</f>
        <v>212</v>
      </c>
      <c r="G255" s="3">
        <f t="shared" ref="G255:G263" si="145">INT(G$254*(MOD($A255-1,10)*0.05+0.8))</f>
        <v>425</v>
      </c>
      <c r="H255" s="3">
        <f>VLOOKUP(B255,原始数据!$H$6:$N$31,7,FALSE)</f>
        <v>1000</v>
      </c>
      <c r="I255" s="3">
        <f>VLOOKUP(B255,原始数据!$H$6:$O$31,8,FALSE)</f>
        <v>3333</v>
      </c>
    </row>
    <row r="256" spans="1:9">
      <c r="A256" s="3">
        <v>263</v>
      </c>
      <c r="B256" s="3">
        <v>26</v>
      </c>
      <c r="C256" s="3">
        <f t="shared" ref="C256:C263" si="146">INT(C$254*(MOD($A256-1,10)*0.05+0.8))</f>
        <v>27</v>
      </c>
      <c r="D256" s="3">
        <f t="shared" si="142"/>
        <v>55</v>
      </c>
      <c r="E256" s="3">
        <f t="shared" si="143"/>
        <v>112</v>
      </c>
      <c r="F256" s="3">
        <f t="shared" si="144"/>
        <v>225</v>
      </c>
      <c r="G256" s="3">
        <f t="shared" si="145"/>
        <v>450</v>
      </c>
      <c r="H256" s="3">
        <f>VLOOKUP(B256,原始数据!$H$6:$N$31,7,FALSE)</f>
        <v>1000</v>
      </c>
      <c r="I256" s="3">
        <f>VLOOKUP(B256,原始数据!$H$6:$O$31,8,FALSE)</f>
        <v>3333</v>
      </c>
    </row>
    <row r="257" spans="1:9">
      <c r="A257" s="3">
        <v>264</v>
      </c>
      <c r="B257" s="3">
        <v>26</v>
      </c>
      <c r="C257" s="3">
        <f t="shared" si="146"/>
        <v>29</v>
      </c>
      <c r="D257" s="3">
        <f t="shared" si="142"/>
        <v>58</v>
      </c>
      <c r="E257" s="3">
        <f t="shared" si="143"/>
        <v>118</v>
      </c>
      <c r="F257" s="3">
        <f t="shared" si="144"/>
        <v>237</v>
      </c>
      <c r="G257" s="3">
        <f t="shared" si="145"/>
        <v>475</v>
      </c>
      <c r="H257" s="3">
        <f>VLOOKUP(B257,原始数据!$H$6:$N$31,7,FALSE)</f>
        <v>1000</v>
      </c>
      <c r="I257" s="3">
        <f>VLOOKUP(B257,原始数据!$H$6:$O$31,8,FALSE)</f>
        <v>3333</v>
      </c>
    </row>
    <row r="258" spans="1:9">
      <c r="A258" s="3">
        <v>265</v>
      </c>
      <c r="B258" s="3">
        <v>26</v>
      </c>
      <c r="C258" s="3">
        <f t="shared" si="146"/>
        <v>31</v>
      </c>
      <c r="D258" s="3">
        <f t="shared" si="142"/>
        <v>62</v>
      </c>
      <c r="E258" s="3">
        <f t="shared" si="143"/>
        <v>125</v>
      </c>
      <c r="F258" s="3">
        <f t="shared" si="144"/>
        <v>250</v>
      </c>
      <c r="G258" s="3">
        <f t="shared" si="145"/>
        <v>500</v>
      </c>
      <c r="H258" s="3">
        <f>VLOOKUP(B258,原始数据!$H$6:$N$31,7,FALSE)</f>
        <v>1000</v>
      </c>
      <c r="I258" s="3">
        <f>VLOOKUP(B258,原始数据!$H$6:$O$31,8,FALSE)</f>
        <v>3333</v>
      </c>
    </row>
    <row r="259" spans="1:9">
      <c r="A259" s="3">
        <v>266</v>
      </c>
      <c r="B259" s="3">
        <v>26</v>
      </c>
      <c r="C259" s="3">
        <f t="shared" si="146"/>
        <v>32</v>
      </c>
      <c r="D259" s="3">
        <f t="shared" si="142"/>
        <v>65</v>
      </c>
      <c r="E259" s="3">
        <f t="shared" si="143"/>
        <v>131</v>
      </c>
      <c r="F259" s="3">
        <f t="shared" si="144"/>
        <v>262</v>
      </c>
      <c r="G259" s="3">
        <f t="shared" si="145"/>
        <v>525</v>
      </c>
      <c r="H259" s="3">
        <f>VLOOKUP(B259,原始数据!$H$6:$N$31,7,FALSE)</f>
        <v>1000</v>
      </c>
      <c r="I259" s="3">
        <f>VLOOKUP(B259,原始数据!$H$6:$O$31,8,FALSE)</f>
        <v>3333</v>
      </c>
    </row>
    <row r="260" spans="1:9">
      <c r="A260" s="3">
        <v>267</v>
      </c>
      <c r="B260" s="3">
        <v>26</v>
      </c>
      <c r="C260" s="3">
        <f t="shared" si="146"/>
        <v>34</v>
      </c>
      <c r="D260" s="3">
        <f t="shared" si="142"/>
        <v>68</v>
      </c>
      <c r="E260" s="3">
        <f t="shared" si="143"/>
        <v>137</v>
      </c>
      <c r="F260" s="3">
        <f t="shared" si="144"/>
        <v>275</v>
      </c>
      <c r="G260" s="3">
        <f t="shared" si="145"/>
        <v>550</v>
      </c>
      <c r="H260" s="3">
        <f>VLOOKUP(B260,原始数据!$H$6:$N$31,7,FALSE)</f>
        <v>1000</v>
      </c>
      <c r="I260" s="3">
        <f>VLOOKUP(B260,原始数据!$H$6:$O$31,8,FALSE)</f>
        <v>3333</v>
      </c>
    </row>
    <row r="261" spans="1:9">
      <c r="A261" s="3">
        <v>268</v>
      </c>
      <c r="B261" s="3">
        <v>26</v>
      </c>
      <c r="C261" s="3">
        <f t="shared" si="146"/>
        <v>35</v>
      </c>
      <c r="D261" s="3">
        <f t="shared" si="142"/>
        <v>71</v>
      </c>
      <c r="E261" s="3">
        <f t="shared" si="143"/>
        <v>143</v>
      </c>
      <c r="F261" s="3">
        <f t="shared" si="144"/>
        <v>287</v>
      </c>
      <c r="G261" s="3">
        <f t="shared" si="145"/>
        <v>575</v>
      </c>
      <c r="H261" s="3">
        <f>VLOOKUP(B261,原始数据!$H$6:$N$31,7,FALSE)</f>
        <v>1000</v>
      </c>
      <c r="I261" s="3">
        <f>VLOOKUP(B261,原始数据!$H$6:$O$31,8,FALSE)</f>
        <v>3333</v>
      </c>
    </row>
    <row r="262" spans="1:9">
      <c r="A262" s="3">
        <v>269</v>
      </c>
      <c r="B262" s="3">
        <v>26</v>
      </c>
      <c r="C262" s="3">
        <f t="shared" si="146"/>
        <v>37</v>
      </c>
      <c r="D262" s="3">
        <f t="shared" si="142"/>
        <v>74</v>
      </c>
      <c r="E262" s="3">
        <f t="shared" si="143"/>
        <v>150</v>
      </c>
      <c r="F262" s="3">
        <f t="shared" si="144"/>
        <v>300</v>
      </c>
      <c r="G262" s="3">
        <f t="shared" si="145"/>
        <v>600</v>
      </c>
      <c r="H262" s="3">
        <f>VLOOKUP(B262,原始数据!$H$6:$N$31,7,FALSE)</f>
        <v>1000</v>
      </c>
      <c r="I262" s="3">
        <f>VLOOKUP(B262,原始数据!$H$6:$O$31,8,FALSE)</f>
        <v>3333</v>
      </c>
    </row>
    <row r="263" spans="1:9">
      <c r="A263" s="3">
        <v>270</v>
      </c>
      <c r="B263" s="3">
        <v>26</v>
      </c>
      <c r="C263" s="3">
        <f t="shared" si="146"/>
        <v>38</v>
      </c>
      <c r="D263" s="3">
        <f t="shared" si="142"/>
        <v>77</v>
      </c>
      <c r="E263" s="3">
        <f t="shared" si="143"/>
        <v>156</v>
      </c>
      <c r="F263" s="3">
        <f t="shared" si="144"/>
        <v>312</v>
      </c>
      <c r="G263" s="3">
        <f t="shared" si="145"/>
        <v>625</v>
      </c>
      <c r="H263" s="3">
        <f>VLOOKUP(B263,原始数据!$H$6:$N$31,7,FALSE)</f>
        <v>1000</v>
      </c>
      <c r="I263" s="3">
        <f>VLOOKUP(B263,原始数据!$H$6:$O$31,8,FALSE)</f>
        <v>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T40"/>
  <sheetViews>
    <sheetView tabSelected="1" workbookViewId="0">
      <selection activeCell="S39" sqref="S39"/>
    </sheetView>
  </sheetViews>
  <sheetFormatPr defaultColWidth="9" defaultRowHeight="14"/>
  <cols>
    <col min="5" max="5" width="12.6272727272727"/>
    <col min="9" max="9" width="15.2545454545455" customWidth="1"/>
    <col min="10" max="10" width="21.5" customWidth="1"/>
    <col min="11" max="11" width="9" customWidth="1"/>
    <col min="12" max="12" width="19.2545454545455" customWidth="1"/>
    <col min="13" max="13" width="8.75454545454545" customWidth="1"/>
    <col min="14" max="14" width="4.62727272727273" customWidth="1"/>
    <col min="15" max="15" width="6.37272727272727" customWidth="1"/>
    <col min="16" max="16" width="8.62727272727273" customWidth="1"/>
    <col min="17" max="17" width="29.8727272727273" customWidth="1"/>
    <col min="18" max="18" width="12.6272727272727"/>
  </cols>
  <sheetData>
    <row r="3" spans="16:16">
      <c r="P3" t="s">
        <v>19</v>
      </c>
    </row>
    <row r="4" spans="4:7">
      <c r="D4" t="s">
        <v>20</v>
      </c>
      <c r="E4" t="s">
        <v>21</v>
      </c>
      <c r="F4" t="s">
        <v>22</v>
      </c>
      <c r="G4" t="s">
        <v>23</v>
      </c>
    </row>
    <row r="5" spans="4:18">
      <c r="D5">
        <f>INT(G5/8)</f>
        <v>15</v>
      </c>
      <c r="E5">
        <f>INT(G5/4)</f>
        <v>31</v>
      </c>
      <c r="F5">
        <f>INT(G5/2)</f>
        <v>62</v>
      </c>
      <c r="G5">
        <v>125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R5" t="s">
        <v>31</v>
      </c>
    </row>
    <row r="6" spans="8:20">
      <c r="H6">
        <v>1</v>
      </c>
      <c r="I6" t="s">
        <v>32</v>
      </c>
      <c r="J6">
        <v>6000</v>
      </c>
      <c r="K6">
        <f>P6*6</f>
        <v>12</v>
      </c>
      <c r="L6">
        <v>6000</v>
      </c>
      <c r="M6">
        <f t="shared" ref="M6:M11" si="0">L6*N6</f>
        <v>6000</v>
      </c>
      <c r="N6">
        <v>1</v>
      </c>
      <c r="O6">
        <v>1</v>
      </c>
      <c r="P6">
        <v>2</v>
      </c>
      <c r="Q6" t="s">
        <v>33</v>
      </c>
      <c r="R6" s="1">
        <f>INT(M6/K6/2)</f>
        <v>250</v>
      </c>
      <c r="S6">
        <v>1</v>
      </c>
      <c r="T6" t="s">
        <v>34</v>
      </c>
    </row>
    <row r="7" spans="8:20">
      <c r="H7">
        <v>2</v>
      </c>
      <c r="I7" t="s">
        <v>35</v>
      </c>
      <c r="J7">
        <v>360</v>
      </c>
      <c r="K7">
        <f>P7*6</f>
        <v>12</v>
      </c>
      <c r="L7">
        <v>360</v>
      </c>
      <c r="M7">
        <f t="shared" si="0"/>
        <v>3600</v>
      </c>
      <c r="N7">
        <v>10</v>
      </c>
      <c r="O7">
        <f>INT(10000*N7/M7)</f>
        <v>27</v>
      </c>
      <c r="P7">
        <v>2</v>
      </c>
      <c r="Q7" t="s">
        <v>36</v>
      </c>
      <c r="R7" s="1">
        <f>INT(M7/K7/2)</f>
        <v>150</v>
      </c>
      <c r="S7">
        <v>2</v>
      </c>
      <c r="T7" t="s">
        <v>37</v>
      </c>
    </row>
    <row r="8" spans="3:20">
      <c r="C8" t="s">
        <v>38</v>
      </c>
      <c r="D8" t="s">
        <v>39</v>
      </c>
      <c r="E8" t="s">
        <v>39</v>
      </c>
      <c r="F8" t="s">
        <v>39</v>
      </c>
      <c r="H8">
        <v>3</v>
      </c>
      <c r="I8" t="s">
        <v>40</v>
      </c>
      <c r="J8">
        <v>360</v>
      </c>
      <c r="K8">
        <f>P8*6</f>
        <v>12</v>
      </c>
      <c r="L8">
        <v>360</v>
      </c>
      <c r="M8">
        <f t="shared" si="0"/>
        <v>3600</v>
      </c>
      <c r="N8">
        <v>10</v>
      </c>
      <c r="O8">
        <f>INT(10000*N8/M8)</f>
        <v>27</v>
      </c>
      <c r="P8">
        <v>2</v>
      </c>
      <c r="Q8" t="s">
        <v>33</v>
      </c>
      <c r="R8" s="1">
        <f>INT(M8/K8/2)</f>
        <v>150</v>
      </c>
      <c r="S8">
        <v>3</v>
      </c>
      <c r="T8" t="s">
        <v>41</v>
      </c>
    </row>
    <row r="9" spans="3:20">
      <c r="C9">
        <v>1.1</v>
      </c>
      <c r="D9">
        <f>D$5*$C9</f>
        <v>16.5</v>
      </c>
      <c r="E9">
        <f>E$5*$C9</f>
        <v>34.1</v>
      </c>
      <c r="F9">
        <f>F$5*$C9</f>
        <v>68.2</v>
      </c>
      <c r="G9" s="1">
        <f>G$5*$C9</f>
        <v>137.5</v>
      </c>
      <c r="H9">
        <v>4</v>
      </c>
      <c r="I9" t="s">
        <v>42</v>
      </c>
      <c r="J9">
        <v>330</v>
      </c>
      <c r="K9">
        <f>P9*6</f>
        <v>12</v>
      </c>
      <c r="L9">
        <v>330</v>
      </c>
      <c r="M9">
        <f t="shared" si="0"/>
        <v>3300</v>
      </c>
      <c r="N9">
        <v>10</v>
      </c>
      <c r="O9">
        <f>INT(10000*N9/M9)</f>
        <v>30</v>
      </c>
      <c r="P9">
        <v>2</v>
      </c>
      <c r="Q9" t="s">
        <v>43</v>
      </c>
      <c r="R9" s="1">
        <f>INT(M9/K9/2)</f>
        <v>137</v>
      </c>
      <c r="S9">
        <v>4</v>
      </c>
      <c r="T9" t="s">
        <v>44</v>
      </c>
    </row>
    <row r="10" spans="3:20">
      <c r="C10">
        <v>1.2</v>
      </c>
      <c r="D10">
        <f t="shared" ref="D10:D28" si="1">D$5*$C10</f>
        <v>18</v>
      </c>
      <c r="E10">
        <f t="shared" ref="E10:E28" si="2">E$5*$C10</f>
        <v>37.2</v>
      </c>
      <c r="F10">
        <f t="shared" ref="F10:F28" si="3">F$5*$C10</f>
        <v>74.4</v>
      </c>
      <c r="G10" s="1">
        <f t="shared" ref="G10:G28" si="4">G$5*$C10</f>
        <v>150</v>
      </c>
      <c r="H10">
        <v>5</v>
      </c>
      <c r="I10" t="s">
        <v>45</v>
      </c>
      <c r="J10">
        <v>200</v>
      </c>
      <c r="K10">
        <f t="shared" ref="K10:K31" si="5">P10*6</f>
        <v>6</v>
      </c>
      <c r="L10">
        <v>200</v>
      </c>
      <c r="M10">
        <f t="shared" si="0"/>
        <v>2000</v>
      </c>
      <c r="N10">
        <v>10</v>
      </c>
      <c r="O10">
        <f t="shared" ref="O10:O22" si="6">INT(10000*N10/M10)</f>
        <v>50</v>
      </c>
      <c r="P10">
        <v>1</v>
      </c>
      <c r="Q10" t="s">
        <v>46</v>
      </c>
      <c r="R10" s="1">
        <f t="shared" ref="R10:R31" si="7">INT(M10/K10/2)</f>
        <v>166</v>
      </c>
      <c r="S10">
        <v>5</v>
      </c>
      <c r="T10" t="s">
        <v>45</v>
      </c>
    </row>
    <row r="11" spans="3:20">
      <c r="C11">
        <v>1.3</v>
      </c>
      <c r="D11">
        <f t="shared" si="1"/>
        <v>19.5</v>
      </c>
      <c r="E11">
        <f t="shared" si="2"/>
        <v>40.3</v>
      </c>
      <c r="F11">
        <f t="shared" si="3"/>
        <v>80.6</v>
      </c>
      <c r="G11" s="1">
        <f t="shared" si="4"/>
        <v>162.5</v>
      </c>
      <c r="H11">
        <v>6</v>
      </c>
      <c r="I11" t="s">
        <v>47</v>
      </c>
      <c r="J11">
        <v>300</v>
      </c>
      <c r="K11">
        <f t="shared" si="5"/>
        <v>6</v>
      </c>
      <c r="L11">
        <v>300</v>
      </c>
      <c r="M11">
        <f t="shared" si="0"/>
        <v>3000</v>
      </c>
      <c r="N11">
        <v>10</v>
      </c>
      <c r="O11">
        <f t="shared" si="6"/>
        <v>33</v>
      </c>
      <c r="P11">
        <v>1</v>
      </c>
      <c r="Q11" t="s">
        <v>48</v>
      </c>
      <c r="R11" s="1">
        <f t="shared" si="7"/>
        <v>250</v>
      </c>
      <c r="S11">
        <v>6</v>
      </c>
      <c r="T11" t="s">
        <v>47</v>
      </c>
    </row>
    <row r="12" spans="3:20">
      <c r="C12">
        <v>1.4</v>
      </c>
      <c r="D12">
        <f t="shared" si="1"/>
        <v>21</v>
      </c>
      <c r="E12">
        <f t="shared" si="2"/>
        <v>43.4</v>
      </c>
      <c r="F12">
        <f t="shared" si="3"/>
        <v>86.8</v>
      </c>
      <c r="G12" s="1">
        <f t="shared" si="4"/>
        <v>175</v>
      </c>
      <c r="H12">
        <v>7</v>
      </c>
      <c r="I12" t="s">
        <v>49</v>
      </c>
      <c r="J12">
        <v>150</v>
      </c>
      <c r="K12">
        <f t="shared" si="5"/>
        <v>6</v>
      </c>
      <c r="L12">
        <v>150</v>
      </c>
      <c r="M12">
        <f t="shared" ref="M12:M20" si="8">L12*N12</f>
        <v>1500</v>
      </c>
      <c r="N12">
        <v>10</v>
      </c>
      <c r="O12">
        <f t="shared" si="6"/>
        <v>66</v>
      </c>
      <c r="P12">
        <v>1</v>
      </c>
      <c r="Q12" t="s">
        <v>48</v>
      </c>
      <c r="R12" s="1">
        <f t="shared" si="7"/>
        <v>125</v>
      </c>
      <c r="S12">
        <v>7</v>
      </c>
      <c r="T12" t="s">
        <v>49</v>
      </c>
    </row>
    <row r="13" spans="3:20">
      <c r="C13">
        <v>1.5</v>
      </c>
      <c r="D13">
        <f t="shared" si="1"/>
        <v>22.5</v>
      </c>
      <c r="E13">
        <f t="shared" si="2"/>
        <v>46.5</v>
      </c>
      <c r="F13">
        <f t="shared" si="3"/>
        <v>93</v>
      </c>
      <c r="G13" s="1">
        <f t="shared" si="4"/>
        <v>187.5</v>
      </c>
      <c r="H13">
        <v>8</v>
      </c>
      <c r="I13" s="1" t="s">
        <v>50</v>
      </c>
      <c r="J13" s="2">
        <v>80</v>
      </c>
      <c r="K13">
        <f t="shared" si="5"/>
        <v>6</v>
      </c>
      <c r="L13" s="2">
        <v>80</v>
      </c>
      <c r="M13">
        <f t="shared" si="8"/>
        <v>800</v>
      </c>
      <c r="N13">
        <v>10</v>
      </c>
      <c r="O13">
        <f t="shared" si="6"/>
        <v>125</v>
      </c>
      <c r="P13">
        <v>1</v>
      </c>
      <c r="Q13" t="s">
        <v>51</v>
      </c>
      <c r="R13" s="1">
        <f t="shared" si="7"/>
        <v>66</v>
      </c>
      <c r="S13">
        <v>8</v>
      </c>
      <c r="T13" t="s">
        <v>52</v>
      </c>
    </row>
    <row r="14" spans="3:20">
      <c r="C14">
        <v>1.6</v>
      </c>
      <c r="D14">
        <f t="shared" si="1"/>
        <v>24</v>
      </c>
      <c r="E14">
        <f t="shared" si="2"/>
        <v>49.6</v>
      </c>
      <c r="F14">
        <f t="shared" si="3"/>
        <v>99.2</v>
      </c>
      <c r="G14" s="1">
        <f t="shared" si="4"/>
        <v>200</v>
      </c>
      <c r="H14">
        <v>9</v>
      </c>
      <c r="I14" s="1" t="s">
        <v>53</v>
      </c>
      <c r="J14" s="2">
        <v>200</v>
      </c>
      <c r="K14">
        <f t="shared" si="5"/>
        <v>6</v>
      </c>
      <c r="L14" s="2">
        <v>200</v>
      </c>
      <c r="M14">
        <f t="shared" si="8"/>
        <v>2000</v>
      </c>
      <c r="N14">
        <v>10</v>
      </c>
      <c r="O14">
        <f t="shared" si="6"/>
        <v>50</v>
      </c>
      <c r="P14">
        <v>1</v>
      </c>
      <c r="Q14" t="s">
        <v>48</v>
      </c>
      <c r="R14" s="1">
        <f t="shared" si="7"/>
        <v>166</v>
      </c>
      <c r="S14">
        <v>9</v>
      </c>
      <c r="T14" t="s">
        <v>54</v>
      </c>
    </row>
    <row r="15" spans="3:20">
      <c r="C15">
        <v>1.7</v>
      </c>
      <c r="D15">
        <f t="shared" si="1"/>
        <v>25.5</v>
      </c>
      <c r="E15">
        <f t="shared" si="2"/>
        <v>52.7</v>
      </c>
      <c r="F15">
        <f t="shared" si="3"/>
        <v>105.4</v>
      </c>
      <c r="G15" s="1">
        <f t="shared" si="4"/>
        <v>212.5</v>
      </c>
      <c r="H15">
        <v>10</v>
      </c>
      <c r="I15" s="1" t="s">
        <v>55</v>
      </c>
      <c r="J15" s="2">
        <v>80</v>
      </c>
      <c r="K15">
        <f t="shared" si="5"/>
        <v>6</v>
      </c>
      <c r="L15" s="2">
        <v>80</v>
      </c>
      <c r="M15">
        <f t="shared" si="8"/>
        <v>800</v>
      </c>
      <c r="N15">
        <v>10</v>
      </c>
      <c r="O15">
        <f t="shared" si="6"/>
        <v>125</v>
      </c>
      <c r="P15">
        <v>1</v>
      </c>
      <c r="Q15" t="s">
        <v>51</v>
      </c>
      <c r="R15" s="1">
        <f t="shared" si="7"/>
        <v>66</v>
      </c>
      <c r="S15">
        <v>10</v>
      </c>
      <c r="T15" t="s">
        <v>56</v>
      </c>
    </row>
    <row r="16" spans="3:20">
      <c r="C16">
        <v>1.8</v>
      </c>
      <c r="D16">
        <f t="shared" si="1"/>
        <v>27</v>
      </c>
      <c r="E16">
        <f t="shared" si="2"/>
        <v>55.8</v>
      </c>
      <c r="F16">
        <f t="shared" si="3"/>
        <v>111.6</v>
      </c>
      <c r="G16" s="1">
        <f t="shared" si="4"/>
        <v>225</v>
      </c>
      <c r="H16">
        <v>11</v>
      </c>
      <c r="I16" s="1" t="s">
        <v>57</v>
      </c>
      <c r="J16" s="2">
        <v>200</v>
      </c>
      <c r="K16">
        <f t="shared" si="5"/>
        <v>6</v>
      </c>
      <c r="L16" s="2">
        <v>200</v>
      </c>
      <c r="M16">
        <f t="shared" si="8"/>
        <v>2000</v>
      </c>
      <c r="N16">
        <v>10</v>
      </c>
      <c r="O16">
        <f t="shared" si="6"/>
        <v>50</v>
      </c>
      <c r="P16">
        <v>1</v>
      </c>
      <c r="Q16" t="s">
        <v>58</v>
      </c>
      <c r="R16" s="1">
        <f t="shared" si="7"/>
        <v>166</v>
      </c>
      <c r="S16">
        <v>11</v>
      </c>
      <c r="T16" t="s">
        <v>59</v>
      </c>
    </row>
    <row r="17" spans="3:20">
      <c r="C17">
        <v>1.9</v>
      </c>
      <c r="D17">
        <f t="shared" si="1"/>
        <v>28.5</v>
      </c>
      <c r="E17">
        <f t="shared" si="2"/>
        <v>58.9</v>
      </c>
      <c r="F17">
        <f t="shared" si="3"/>
        <v>117.8</v>
      </c>
      <c r="G17" s="1">
        <f t="shared" si="4"/>
        <v>237.5</v>
      </c>
      <c r="H17">
        <v>12</v>
      </c>
      <c r="I17" s="1" t="s">
        <v>60</v>
      </c>
      <c r="J17" s="2">
        <v>100</v>
      </c>
      <c r="K17">
        <f t="shared" si="5"/>
        <v>6</v>
      </c>
      <c r="L17" s="2">
        <v>100</v>
      </c>
      <c r="M17">
        <f t="shared" si="8"/>
        <v>1000</v>
      </c>
      <c r="N17">
        <v>10</v>
      </c>
      <c r="O17">
        <f t="shared" si="6"/>
        <v>100</v>
      </c>
      <c r="P17">
        <v>1</v>
      </c>
      <c r="Q17" t="s">
        <v>48</v>
      </c>
      <c r="R17" s="1">
        <f t="shared" si="7"/>
        <v>83</v>
      </c>
      <c r="S17">
        <v>12</v>
      </c>
      <c r="T17" t="s">
        <v>60</v>
      </c>
    </row>
    <row r="18" spans="3:20">
      <c r="C18">
        <v>2</v>
      </c>
      <c r="D18">
        <f t="shared" si="1"/>
        <v>30</v>
      </c>
      <c r="E18">
        <f t="shared" si="2"/>
        <v>62</v>
      </c>
      <c r="F18">
        <f t="shared" si="3"/>
        <v>124</v>
      </c>
      <c r="G18" s="1">
        <f t="shared" si="4"/>
        <v>250</v>
      </c>
      <c r="H18">
        <v>13</v>
      </c>
      <c r="I18" s="1" t="s">
        <v>61</v>
      </c>
      <c r="J18" s="2">
        <v>200</v>
      </c>
      <c r="K18">
        <f t="shared" si="5"/>
        <v>6</v>
      </c>
      <c r="L18" s="2">
        <v>200</v>
      </c>
      <c r="M18">
        <f t="shared" si="8"/>
        <v>2000</v>
      </c>
      <c r="N18">
        <v>10</v>
      </c>
      <c r="O18">
        <f t="shared" si="6"/>
        <v>50</v>
      </c>
      <c r="P18">
        <v>1</v>
      </c>
      <c r="Q18" t="s">
        <v>48</v>
      </c>
      <c r="R18" s="1">
        <f t="shared" si="7"/>
        <v>166</v>
      </c>
      <c r="S18">
        <v>13</v>
      </c>
      <c r="T18" t="s">
        <v>61</v>
      </c>
    </row>
    <row r="19" spans="3:20">
      <c r="C19">
        <v>2.1</v>
      </c>
      <c r="D19">
        <f t="shared" si="1"/>
        <v>31.5</v>
      </c>
      <c r="E19">
        <f t="shared" si="2"/>
        <v>65.1</v>
      </c>
      <c r="F19">
        <f t="shared" si="3"/>
        <v>130.2</v>
      </c>
      <c r="H19">
        <v>14</v>
      </c>
      <c r="I19" s="1" t="s">
        <v>62</v>
      </c>
      <c r="J19" s="2">
        <v>40</v>
      </c>
      <c r="K19">
        <f t="shared" si="5"/>
        <v>12</v>
      </c>
      <c r="L19" s="2">
        <v>40</v>
      </c>
      <c r="M19">
        <f t="shared" si="8"/>
        <v>4000</v>
      </c>
      <c r="N19">
        <v>100</v>
      </c>
      <c r="O19">
        <f t="shared" si="6"/>
        <v>250</v>
      </c>
      <c r="P19">
        <v>2</v>
      </c>
      <c r="Q19" t="s">
        <v>63</v>
      </c>
      <c r="R19" s="1">
        <f t="shared" si="7"/>
        <v>166</v>
      </c>
      <c r="S19">
        <v>14</v>
      </c>
      <c r="T19" t="s">
        <v>62</v>
      </c>
    </row>
    <row r="20" spans="3:20">
      <c r="C20">
        <v>2.2</v>
      </c>
      <c r="D20">
        <f t="shared" si="1"/>
        <v>33</v>
      </c>
      <c r="E20">
        <f t="shared" si="2"/>
        <v>68.2</v>
      </c>
      <c r="F20">
        <f t="shared" si="3"/>
        <v>136.4</v>
      </c>
      <c r="H20">
        <v>15</v>
      </c>
      <c r="I20" s="1" t="s">
        <v>64</v>
      </c>
      <c r="J20" s="2">
        <v>50</v>
      </c>
      <c r="K20">
        <f t="shared" si="5"/>
        <v>6</v>
      </c>
      <c r="L20" s="2">
        <v>50</v>
      </c>
      <c r="M20">
        <f t="shared" si="8"/>
        <v>5000</v>
      </c>
      <c r="N20">
        <v>100</v>
      </c>
      <c r="O20">
        <f t="shared" si="6"/>
        <v>200</v>
      </c>
      <c r="P20">
        <v>1</v>
      </c>
      <c r="Q20" t="s">
        <v>65</v>
      </c>
      <c r="R20" s="1">
        <f t="shared" si="7"/>
        <v>416</v>
      </c>
      <c r="S20">
        <v>15</v>
      </c>
      <c r="T20" t="s">
        <v>66</v>
      </c>
    </row>
    <row r="21" spans="3:20">
      <c r="C21">
        <v>2.3</v>
      </c>
      <c r="D21">
        <f t="shared" si="1"/>
        <v>34.5</v>
      </c>
      <c r="E21">
        <f t="shared" si="2"/>
        <v>71.3</v>
      </c>
      <c r="F21">
        <f t="shared" si="3"/>
        <v>142.6</v>
      </c>
      <c r="H21">
        <v>16</v>
      </c>
      <c r="I21" t="s">
        <v>67</v>
      </c>
      <c r="J21" s="2">
        <v>50</v>
      </c>
      <c r="K21">
        <f t="shared" si="5"/>
        <v>6</v>
      </c>
      <c r="L21" s="2">
        <v>50</v>
      </c>
      <c r="M21">
        <f t="shared" ref="M21:M31" si="9">L21*N21</f>
        <v>500</v>
      </c>
      <c r="N21">
        <v>10</v>
      </c>
      <c r="O21">
        <f t="shared" si="6"/>
        <v>200</v>
      </c>
      <c r="P21">
        <v>1</v>
      </c>
      <c r="Q21" t="s">
        <v>51</v>
      </c>
      <c r="R21" s="1">
        <f t="shared" si="7"/>
        <v>41</v>
      </c>
      <c r="S21">
        <v>16</v>
      </c>
      <c r="T21" t="s">
        <v>67</v>
      </c>
    </row>
    <row r="22" spans="3:20">
      <c r="C22">
        <v>2.4</v>
      </c>
      <c r="D22">
        <f t="shared" si="1"/>
        <v>36</v>
      </c>
      <c r="E22">
        <f t="shared" si="2"/>
        <v>74.4</v>
      </c>
      <c r="F22">
        <f t="shared" si="3"/>
        <v>148.8</v>
      </c>
      <c r="H22">
        <v>17</v>
      </c>
      <c r="I22" t="s">
        <v>68</v>
      </c>
      <c r="J22" s="2">
        <v>50</v>
      </c>
      <c r="K22">
        <f t="shared" si="5"/>
        <v>6</v>
      </c>
      <c r="L22" s="2">
        <v>50</v>
      </c>
      <c r="M22">
        <f t="shared" si="9"/>
        <v>500</v>
      </c>
      <c r="N22">
        <v>10</v>
      </c>
      <c r="O22">
        <f t="shared" si="6"/>
        <v>200</v>
      </c>
      <c r="P22">
        <v>1</v>
      </c>
      <c r="Q22" t="s">
        <v>51</v>
      </c>
      <c r="R22" s="1">
        <f t="shared" si="7"/>
        <v>41</v>
      </c>
      <c r="S22">
        <v>17</v>
      </c>
      <c r="T22" t="s">
        <v>68</v>
      </c>
    </row>
    <row r="23" spans="3:20">
      <c r="C23">
        <v>2.5</v>
      </c>
      <c r="D23">
        <f t="shared" si="1"/>
        <v>37.5</v>
      </c>
      <c r="E23">
        <f t="shared" si="2"/>
        <v>77.5</v>
      </c>
      <c r="F23">
        <f t="shared" si="3"/>
        <v>155</v>
      </c>
      <c r="H23">
        <v>18</v>
      </c>
      <c r="I23" s="1" t="s">
        <v>69</v>
      </c>
      <c r="J23" s="2">
        <v>40</v>
      </c>
      <c r="K23">
        <f t="shared" si="5"/>
        <v>6</v>
      </c>
      <c r="L23" s="2">
        <v>40</v>
      </c>
      <c r="M23">
        <f t="shared" si="9"/>
        <v>4000</v>
      </c>
      <c r="N23">
        <v>100</v>
      </c>
      <c r="O23">
        <f t="shared" ref="O23:O31" si="10">INT(10000*N23/M23)</f>
        <v>250</v>
      </c>
      <c r="P23">
        <v>1</v>
      </c>
      <c r="Q23" t="s">
        <v>46</v>
      </c>
      <c r="R23" s="1">
        <f t="shared" si="7"/>
        <v>333</v>
      </c>
      <c r="S23">
        <v>18</v>
      </c>
      <c r="T23" t="s">
        <v>69</v>
      </c>
    </row>
    <row r="24" spans="3:20">
      <c r="C24">
        <v>2.6</v>
      </c>
      <c r="D24">
        <f t="shared" si="1"/>
        <v>39</v>
      </c>
      <c r="E24">
        <f t="shared" si="2"/>
        <v>80.6</v>
      </c>
      <c r="F24">
        <f t="shared" si="3"/>
        <v>161.2</v>
      </c>
      <c r="H24">
        <v>19</v>
      </c>
      <c r="I24" s="1" t="s">
        <v>70</v>
      </c>
      <c r="J24" s="2">
        <v>60</v>
      </c>
      <c r="K24">
        <f t="shared" si="5"/>
        <v>6</v>
      </c>
      <c r="L24" s="2">
        <v>60</v>
      </c>
      <c r="M24">
        <f t="shared" si="9"/>
        <v>600</v>
      </c>
      <c r="N24">
        <v>10</v>
      </c>
      <c r="O24">
        <f t="shared" si="10"/>
        <v>166</v>
      </c>
      <c r="P24">
        <v>1</v>
      </c>
      <c r="Q24" t="s">
        <v>46</v>
      </c>
      <c r="R24" s="1">
        <f t="shared" si="7"/>
        <v>50</v>
      </c>
      <c r="S24">
        <v>19</v>
      </c>
      <c r="T24" t="s">
        <v>70</v>
      </c>
    </row>
    <row r="25" spans="3:20">
      <c r="C25">
        <v>2.7</v>
      </c>
      <c r="D25">
        <f t="shared" si="1"/>
        <v>40.5</v>
      </c>
      <c r="E25">
        <f t="shared" si="2"/>
        <v>83.7</v>
      </c>
      <c r="F25">
        <f t="shared" si="3"/>
        <v>167.4</v>
      </c>
      <c r="H25">
        <v>20</v>
      </c>
      <c r="I25" s="1" t="s">
        <v>71</v>
      </c>
      <c r="J25" s="2">
        <v>30</v>
      </c>
      <c r="K25">
        <f t="shared" si="5"/>
        <v>6</v>
      </c>
      <c r="L25" s="2">
        <v>30</v>
      </c>
      <c r="M25">
        <f t="shared" si="9"/>
        <v>300</v>
      </c>
      <c r="N25">
        <v>10</v>
      </c>
      <c r="O25">
        <f t="shared" si="10"/>
        <v>333</v>
      </c>
      <c r="P25">
        <v>1</v>
      </c>
      <c r="Q25" t="s">
        <v>65</v>
      </c>
      <c r="R25" s="1">
        <f t="shared" si="7"/>
        <v>25</v>
      </c>
      <c r="S25">
        <v>20</v>
      </c>
      <c r="T25" t="s">
        <v>71</v>
      </c>
    </row>
    <row r="26" spans="3:20">
      <c r="C26">
        <v>2.8</v>
      </c>
      <c r="D26">
        <f t="shared" si="1"/>
        <v>42</v>
      </c>
      <c r="E26">
        <f t="shared" si="2"/>
        <v>86.8</v>
      </c>
      <c r="F26">
        <f t="shared" si="3"/>
        <v>173.6</v>
      </c>
      <c r="H26">
        <v>21</v>
      </c>
      <c r="I26" s="1" t="s">
        <v>72</v>
      </c>
      <c r="J26" s="2">
        <v>200</v>
      </c>
      <c r="K26">
        <f t="shared" si="5"/>
        <v>6</v>
      </c>
      <c r="L26" s="2">
        <v>200</v>
      </c>
      <c r="M26">
        <f t="shared" si="9"/>
        <v>2000</v>
      </c>
      <c r="N26">
        <v>10</v>
      </c>
      <c r="O26">
        <f t="shared" si="10"/>
        <v>50</v>
      </c>
      <c r="P26">
        <v>1</v>
      </c>
      <c r="Q26" t="s">
        <v>65</v>
      </c>
      <c r="R26" s="1">
        <f t="shared" si="7"/>
        <v>166</v>
      </c>
      <c r="S26">
        <v>21</v>
      </c>
      <c r="T26" t="s">
        <v>72</v>
      </c>
    </row>
    <row r="27" spans="3:20">
      <c r="C27">
        <v>2.9</v>
      </c>
      <c r="D27">
        <f t="shared" si="1"/>
        <v>43.5</v>
      </c>
      <c r="E27">
        <f t="shared" si="2"/>
        <v>89.9</v>
      </c>
      <c r="F27">
        <f t="shared" si="3"/>
        <v>179.8</v>
      </c>
      <c r="H27">
        <v>22</v>
      </c>
      <c r="I27" s="1" t="s">
        <v>73</v>
      </c>
      <c r="J27" s="2">
        <v>200</v>
      </c>
      <c r="K27">
        <f t="shared" si="5"/>
        <v>12</v>
      </c>
      <c r="L27" s="2">
        <v>200</v>
      </c>
      <c r="M27">
        <f t="shared" si="9"/>
        <v>2000</v>
      </c>
      <c r="N27">
        <v>10</v>
      </c>
      <c r="O27">
        <f t="shared" si="10"/>
        <v>50</v>
      </c>
      <c r="P27">
        <v>2</v>
      </c>
      <c r="Q27" t="s">
        <v>74</v>
      </c>
      <c r="R27" s="1">
        <f t="shared" si="7"/>
        <v>83</v>
      </c>
      <c r="S27">
        <v>22</v>
      </c>
      <c r="T27" t="s">
        <v>73</v>
      </c>
    </row>
    <row r="28" spans="3:20">
      <c r="C28">
        <v>3</v>
      </c>
      <c r="D28">
        <f t="shared" si="1"/>
        <v>45</v>
      </c>
      <c r="E28">
        <f t="shared" si="2"/>
        <v>93</v>
      </c>
      <c r="F28">
        <f t="shared" si="3"/>
        <v>186</v>
      </c>
      <c r="H28">
        <v>23</v>
      </c>
      <c r="I28" s="1" t="s">
        <v>75</v>
      </c>
      <c r="J28" s="2">
        <v>200</v>
      </c>
      <c r="K28">
        <f t="shared" si="5"/>
        <v>12</v>
      </c>
      <c r="L28" s="2">
        <v>200</v>
      </c>
      <c r="M28">
        <f t="shared" si="9"/>
        <v>2000</v>
      </c>
      <c r="N28">
        <v>10</v>
      </c>
      <c r="O28">
        <f t="shared" si="10"/>
        <v>50</v>
      </c>
      <c r="P28">
        <v>2</v>
      </c>
      <c r="Q28" t="s">
        <v>74</v>
      </c>
      <c r="R28" s="1">
        <f t="shared" si="7"/>
        <v>83</v>
      </c>
      <c r="S28">
        <v>23</v>
      </c>
      <c r="T28" t="s">
        <v>75</v>
      </c>
    </row>
    <row r="29" spans="8:20">
      <c r="H29">
        <v>24</v>
      </c>
      <c r="I29" s="1" t="s">
        <v>76</v>
      </c>
      <c r="J29" s="2">
        <v>200</v>
      </c>
      <c r="K29">
        <f t="shared" si="5"/>
        <v>12</v>
      </c>
      <c r="L29" s="2">
        <v>200</v>
      </c>
      <c r="M29">
        <f t="shared" si="9"/>
        <v>2000</v>
      </c>
      <c r="N29">
        <v>10</v>
      </c>
      <c r="O29">
        <f t="shared" si="10"/>
        <v>50</v>
      </c>
      <c r="P29">
        <v>2</v>
      </c>
      <c r="Q29" t="s">
        <v>74</v>
      </c>
      <c r="R29" s="1">
        <f t="shared" si="7"/>
        <v>83</v>
      </c>
      <c r="S29">
        <v>24</v>
      </c>
      <c r="T29" t="s">
        <v>76</v>
      </c>
    </row>
    <row r="30" spans="8:20">
      <c r="H30">
        <v>25</v>
      </c>
      <c r="I30" s="1" t="s">
        <v>77</v>
      </c>
      <c r="J30" s="2">
        <v>2</v>
      </c>
      <c r="K30">
        <f t="shared" si="5"/>
        <v>6</v>
      </c>
      <c r="L30" s="2">
        <v>3</v>
      </c>
      <c r="M30">
        <f t="shared" si="9"/>
        <v>3000</v>
      </c>
      <c r="N30">
        <v>1000</v>
      </c>
      <c r="O30">
        <f t="shared" si="10"/>
        <v>3333</v>
      </c>
      <c r="P30">
        <v>1</v>
      </c>
      <c r="Q30" t="s">
        <v>46</v>
      </c>
      <c r="R30" s="1">
        <f t="shared" si="7"/>
        <v>250</v>
      </c>
      <c r="S30">
        <v>25</v>
      </c>
      <c r="T30" t="s">
        <v>77</v>
      </c>
    </row>
    <row r="31" spans="8:20">
      <c r="H31">
        <v>26</v>
      </c>
      <c r="I31" s="1" t="s">
        <v>78</v>
      </c>
      <c r="J31" s="2">
        <v>2</v>
      </c>
      <c r="K31">
        <f t="shared" si="5"/>
        <v>6</v>
      </c>
      <c r="L31" s="2">
        <v>3</v>
      </c>
      <c r="M31">
        <f t="shared" si="9"/>
        <v>3000</v>
      </c>
      <c r="N31">
        <v>1000</v>
      </c>
      <c r="O31">
        <f t="shared" si="10"/>
        <v>3333</v>
      </c>
      <c r="P31">
        <v>1</v>
      </c>
      <c r="Q31" t="s">
        <v>79</v>
      </c>
      <c r="R31" s="1">
        <f t="shared" si="7"/>
        <v>250</v>
      </c>
      <c r="S31">
        <v>26</v>
      </c>
      <c r="T31" t="s">
        <v>78</v>
      </c>
    </row>
    <row r="34" spans="8:8">
      <c r="H34" t="s">
        <v>80</v>
      </c>
    </row>
    <row r="35" spans="7:8">
      <c r="G35" t="s">
        <v>65</v>
      </c>
      <c r="H35" t="s">
        <v>81</v>
      </c>
    </row>
    <row r="36" spans="7:8">
      <c r="G36" t="s">
        <v>58</v>
      </c>
      <c r="H36" t="s">
        <v>82</v>
      </c>
    </row>
    <row r="37" spans="7:8">
      <c r="G37" t="s">
        <v>48</v>
      </c>
      <c r="H37" t="s">
        <v>83</v>
      </c>
    </row>
    <row r="38" spans="7:8">
      <c r="G38" t="s">
        <v>51</v>
      </c>
      <c r="H38" t="s">
        <v>84</v>
      </c>
    </row>
    <row r="39" spans="7:8">
      <c r="G39" t="s">
        <v>46</v>
      </c>
      <c r="H39" t="s">
        <v>85</v>
      </c>
    </row>
    <row r="40" spans="7:7">
      <c r="G40" t="s">
        <v>79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16"/>
  <sheetViews>
    <sheetView workbookViewId="0">
      <selection activeCell="I18" sqref="I18"/>
    </sheetView>
  </sheetViews>
  <sheetFormatPr defaultColWidth="9" defaultRowHeight="14" outlineLevelCol="6"/>
  <sheetData>
    <row r="4" spans="2:2">
      <c r="B4" t="s">
        <v>86</v>
      </c>
    </row>
    <row r="6" spans="7:7">
      <c r="G6" t="s">
        <v>87</v>
      </c>
    </row>
    <row r="11" spans="2:5">
      <c r="B11" t="s">
        <v>88</v>
      </c>
      <c r="D11">
        <v>9</v>
      </c>
      <c r="E11">
        <v>11</v>
      </c>
    </row>
    <row r="12" spans="2:4">
      <c r="B12" t="s">
        <v>89</v>
      </c>
      <c r="D12">
        <v>7</v>
      </c>
    </row>
    <row r="13" spans="2:5">
      <c r="B13" t="s">
        <v>90</v>
      </c>
      <c r="D13">
        <v>9</v>
      </c>
      <c r="E13">
        <v>11</v>
      </c>
    </row>
    <row r="14" spans="2:4">
      <c r="B14" t="s">
        <v>91</v>
      </c>
      <c r="D14">
        <v>8</v>
      </c>
    </row>
    <row r="15" spans="2:5">
      <c r="B15" t="s">
        <v>92</v>
      </c>
      <c r="D15">
        <v>8</v>
      </c>
      <c r="E15">
        <v>10</v>
      </c>
    </row>
    <row r="16" spans="2:4">
      <c r="B16" t="s">
        <v>93</v>
      </c>
      <c r="D16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EquipRand</vt:lpstr>
      <vt:lpstr>原始数据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2022-09-27T07:39:00Z</dcterms:created>
  <dcterms:modified xsi:type="dcterms:W3CDTF">2024-06-20T10:23:12Z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DC9D69AA11924DFEAE4B956D7C42C82A</vt:lpwstr>
  </property>
  <property fmtid="{D5CDD505-2E9C-101B-9397-08002B2CF9AE}" pid="3" name="KSOProductBuildVer">
    <vt:lpwstr>2052-12.1.0.17133</vt:lpwstr>
  </property>
</Properties>
</file>