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Monster" sheetId="1" r:id="rId1"/>
    <sheet name="Sheet2" sheetId="2" r:id="rId2"/>
    <sheet name="Sheet3" sheetId="3" r:id="rId3"/>
    <sheet name="环形怪物属性" sheetId="4" r:id="rId4"/>
  </sheets>
  <definedNames>
    <definedName name="_xlnm._FilterDatabase" localSheetId="0" hidden="1">Monster!$A$3:$Z$148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1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C3" authorId="0">
      <text>
        <r>
          <rPr>
            <sz val="9"/>
            <rFont val="宋体"/>
            <charset val="134"/>
          </rPr>
          <t>（1=小怪，2=精英，3=BOSS，4=挑战怪，9=宝箱）</t>
        </r>
      </text>
    </comment>
    <comment ref="D3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E3" authorId="0">
      <text>
        <r>
          <rPr>
            <sz val="9"/>
            <rFont val="宋体"/>
            <charset val="134"/>
          </rPr>
          <t>1.主动攻击（警戒范围内有目标主动攻击）
2.被动攻击（被攻击后，搜索警戒范围内目标攻击
3.攻城（直接奔向基地，优先攻击基地）</t>
        </r>
      </text>
    </comment>
    <comment ref="H3" authorId="0">
      <text>
        <r>
          <rPr>
            <sz val="9"/>
            <rFont val="宋体"/>
            <charset val="134"/>
          </rPr>
          <t>1.全体
2.地面
3.空中</t>
        </r>
      </text>
    </comment>
    <comment ref="T3" authorId="0">
      <text>
        <r>
          <rPr>
            <sz val="9"/>
            <rFont val="宋体"/>
            <charset val="134"/>
          </rPr>
          <t>成长系数：具体数值+（(等级-1)*对应数值*成长系数）11级怪，系数0.05，则生命=1000+（10*1000*0.05）=1500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A1" authorId="0">
      <text>
        <r>
          <rPr>
            <sz val="9"/>
            <rFont val="宋体"/>
            <charset val="134"/>
          </rPr>
          <t>成长系数：具体数值+（(等级-1)*对应数值*成长系数）11级怪，系数0.05，则生命=1000+（10*1000*0.05）=1500</t>
        </r>
      </text>
    </comment>
    <comment ref="A21" authorId="0">
      <text>
        <r>
          <rPr>
            <sz val="9"/>
            <rFont val="宋体"/>
            <charset val="134"/>
          </rPr>
          <t>具体数值+（等级*对应数值*成长系数）
10级怪，系数0.05，则生命=1000+（10*1000*0.05）=1500</t>
        </r>
      </text>
    </comment>
    <comment ref="K21" authorId="0">
      <text>
        <r>
          <rPr>
            <sz val="9"/>
            <rFont val="宋体"/>
            <charset val="134"/>
          </rPr>
          <t>具体数值+（等级*对应数值*成长系数）
10级怪，系数0.05，则生命=1000+（10*1000*0.05）=1500</t>
        </r>
      </text>
    </comment>
  </commentList>
</comments>
</file>

<file path=xl/comments3.xml><?xml version="1.0" encoding="utf-8"?>
<comments xmlns="http://schemas.openxmlformats.org/spreadsheetml/2006/main">
  <authors>
    <author>NINGMEI</author>
  </authors>
  <commentList>
    <comment ref="D1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C3" authorId="0">
      <text>
        <r>
          <rPr>
            <sz val="9"/>
            <rFont val="宋体"/>
            <charset val="134"/>
          </rPr>
          <t>（1=小怪，2=精英，3=BOSS，4=挑战怪，9=宝箱）</t>
        </r>
      </text>
    </comment>
    <comment ref="D3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E3" authorId="0">
      <text>
        <r>
          <rPr>
            <sz val="9"/>
            <rFont val="宋体"/>
            <charset val="134"/>
          </rPr>
          <t>1.主动攻击（警戒范围内有目标主动攻击）
2.被动攻击（被攻击后，搜索警戒范围内目标攻击
3.攻城（直接奔向基地，优先攻击基地）</t>
        </r>
      </text>
    </comment>
    <comment ref="R3" authorId="0">
      <text>
        <r>
          <rPr>
            <sz val="9"/>
            <rFont val="宋体"/>
            <charset val="134"/>
          </rPr>
          <t>成长系数：具体数值+（(等级-1)*对应数值*成长系数）11级怪，系数0.05，则生命=1000+（10*1000*0.05）=1500</t>
        </r>
      </text>
    </comment>
  </commentList>
</comments>
</file>

<file path=xl/comments4.xml><?xml version="1.0" encoding="utf-8"?>
<comments xmlns="http://schemas.openxmlformats.org/spreadsheetml/2006/main">
  <authors>
    <author>NINGMEI</author>
  </authors>
  <commentList>
    <comment ref="D2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C4" authorId="0">
      <text>
        <r>
          <rPr>
            <sz val="9"/>
            <rFont val="宋体"/>
            <charset val="134"/>
          </rPr>
          <t>（1=小怪，2=精英，3=BOSS，4=挑战怪，9=宝箱）</t>
        </r>
      </text>
    </comment>
    <comment ref="D4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E4" authorId="0">
      <text>
        <r>
          <rPr>
            <sz val="9"/>
            <rFont val="宋体"/>
            <charset val="134"/>
          </rPr>
          <t>1.主动攻击（警戒范围内有目标主动攻击）
2.被动攻击（被攻击后，搜索警戒范围内目标攻击
3.攻城（直接奔向基地，优先攻击基地）</t>
        </r>
      </text>
    </comment>
  </commentList>
</comments>
</file>

<file path=xl/sharedStrings.xml><?xml version="1.0" encoding="utf-8"?>
<sst xmlns="http://schemas.openxmlformats.org/spreadsheetml/2006/main" count="1215" uniqueCount="267">
  <si>
    <t>id</t>
  </si>
  <si>
    <t>Name</t>
  </si>
  <si>
    <t>type</t>
  </si>
  <si>
    <t>Career</t>
  </si>
  <si>
    <t>AttackType</t>
  </si>
  <si>
    <t>Model</t>
  </si>
  <si>
    <t>Icon</t>
  </si>
  <si>
    <t>AtkGoal</t>
  </si>
  <si>
    <t>Range</t>
  </si>
  <si>
    <t>Warn</t>
  </si>
  <si>
    <t>Move</t>
  </si>
  <si>
    <t>AtkBuild</t>
  </si>
  <si>
    <t>AtkCd</t>
  </si>
  <si>
    <t>Hp</t>
  </si>
  <si>
    <t>Atk</t>
  </si>
  <si>
    <t>Def</t>
  </si>
  <si>
    <t>Ap</t>
  </si>
  <si>
    <t>Mdef</t>
  </si>
  <si>
    <t>Dex</t>
  </si>
  <si>
    <t>Grow</t>
  </si>
  <si>
    <t>skill</t>
  </si>
  <si>
    <t>killexp</t>
  </si>
  <si>
    <t>killgold</t>
  </si>
  <si>
    <t>Amplify1</t>
  </si>
  <si>
    <t>Amplify2</t>
  </si>
  <si>
    <t>Add</t>
  </si>
  <si>
    <t>int</t>
  </si>
  <si>
    <t>string</t>
  </si>
  <si>
    <t>float</t>
  </si>
  <si>
    <t>怪物ID</t>
  </si>
  <si>
    <t>名称</t>
  </si>
  <si>
    <t>类型</t>
  </si>
  <si>
    <t>初始职业</t>
  </si>
  <si>
    <t>攻击倾向</t>
  </si>
  <si>
    <t>模型</t>
  </si>
  <si>
    <t>头像</t>
  </si>
  <si>
    <t>攻击目标</t>
  </si>
  <si>
    <t>攻击距离</t>
  </si>
  <si>
    <t>警戒范围</t>
  </si>
  <si>
    <t>移速</t>
  </si>
  <si>
    <t>对建筑伤害</t>
  </si>
  <si>
    <t>攻击间隔/15</t>
  </si>
  <si>
    <t>生命</t>
  </si>
  <si>
    <t>攻击</t>
  </si>
  <si>
    <t>防御</t>
  </si>
  <si>
    <t>魔力</t>
  </si>
  <si>
    <t>魔防</t>
  </si>
  <si>
    <t>技巧</t>
  </si>
  <si>
    <t>成长系数</t>
  </si>
  <si>
    <t>携带技能</t>
  </si>
  <si>
    <t>击杀提供经验</t>
  </si>
  <si>
    <t>击杀提供金矿</t>
  </si>
  <si>
    <t>查看界面放大</t>
  </si>
  <si>
    <t>地图模型放大</t>
  </si>
  <si>
    <t>战力提升</t>
  </si>
  <si>
    <t>史莱黄</t>
  </si>
  <si>
    <t>7</t>
  </si>
  <si>
    <t>monster001</t>
  </si>
  <si>
    <t>弱小怪</t>
  </si>
  <si>
    <t>史莱红</t>
  </si>
  <si>
    <t>monster002</t>
  </si>
  <si>
    <t>物防小怪</t>
  </si>
  <si>
    <t>史莱黑</t>
  </si>
  <si>
    <t>monster003</t>
  </si>
  <si>
    <t>魔防小怪</t>
  </si>
  <si>
    <t>小哥布林</t>
  </si>
  <si>
    <t>monster004</t>
  </si>
  <si>
    <t>中小怪</t>
  </si>
  <si>
    <t>大哥布林</t>
  </si>
  <si>
    <t>monster005</t>
  </si>
  <si>
    <t>正常小怪</t>
  </si>
  <si>
    <t>哥布林战士</t>
  </si>
  <si>
    <t>monster006</t>
  </si>
  <si>
    <t>哥布林牧师</t>
  </si>
  <si>
    <t>6</t>
  </si>
  <si>
    <t>monster007</t>
  </si>
  <si>
    <t>80011|80071</t>
  </si>
  <si>
    <t>哥布林法师</t>
  </si>
  <si>
    <t>5</t>
  </si>
  <si>
    <t>monster008</t>
  </si>
  <si>
    <t>哥布林射手</t>
  </si>
  <si>
    <t>3</t>
  </si>
  <si>
    <t>monster009</t>
  </si>
  <si>
    <t>哥布林队长</t>
  </si>
  <si>
    <t>1</t>
  </si>
  <si>
    <t>monster010</t>
  </si>
  <si>
    <t>步兵</t>
  </si>
  <si>
    <t>bubing01_Lv1</t>
  </si>
  <si>
    <t>枪兵</t>
  </si>
  <si>
    <t>bubing02_Lv1</t>
  </si>
  <si>
    <t>骑兵</t>
  </si>
  <si>
    <t>2</t>
  </si>
  <si>
    <t>qibing01_Lv1</t>
  </si>
  <si>
    <t>木精灵</t>
  </si>
  <si>
    <t>gongbing01_Lv1</t>
  </si>
  <si>
    <t>飞鹰骑士</t>
  </si>
  <si>
    <t>4</t>
  </si>
  <si>
    <t>feibing01_Lv1</t>
  </si>
  <si>
    <t>法师学徒</t>
  </si>
  <si>
    <t>fashi01_Lv1</t>
  </si>
  <si>
    <t>僧侣</t>
  </si>
  <si>
    <t>mushi01_Lv1</t>
  </si>
  <si>
    <t>骷髅兵</t>
  </si>
  <si>
    <t>moshou01_Lv1</t>
  </si>
  <si>
    <t>狼战士</t>
  </si>
  <si>
    <t>8</t>
  </si>
  <si>
    <t>yeshou01_lv1</t>
  </si>
  <si>
    <t>骷髅卫士</t>
  </si>
  <si>
    <t>骷髅射手</t>
  </si>
  <si>
    <t>骷髅战士</t>
  </si>
  <si>
    <t>骷髅法师</t>
  </si>
  <si>
    <t>兽人</t>
  </si>
  <si>
    <t>兽人步兵</t>
  </si>
  <si>
    <t>夜魔（蓝）</t>
  </si>
  <si>
    <t>蓝猪</t>
  </si>
  <si>
    <t>飞行独眼</t>
  </si>
  <si>
    <t>蜘蛛怪</t>
  </si>
  <si>
    <t>红蛙</t>
  </si>
  <si>
    <t>绿蛙</t>
  </si>
  <si>
    <t>食人草</t>
  </si>
  <si>
    <t>红猪</t>
  </si>
  <si>
    <t>夜魔（红）</t>
  </si>
  <si>
    <t>鬼火</t>
  </si>
  <si>
    <t>炎魔</t>
  </si>
  <si>
    <t>炎魔（紫）</t>
  </si>
  <si>
    <t>木桩战士</t>
  </si>
  <si>
    <t>食人花</t>
  </si>
  <si>
    <t>石人</t>
  </si>
  <si>
    <t>寄居蟹</t>
  </si>
  <si>
    <t>鱼人战士</t>
  </si>
  <si>
    <t>鱼人刺客</t>
  </si>
  <si>
    <t>海蜥蜴</t>
  </si>
  <si>
    <t>野猪首领</t>
  </si>
  <si>
    <t>jymonster001</t>
  </si>
  <si>
    <t>树精首领</t>
  </si>
  <si>
    <t>jymonster002</t>
  </si>
  <si>
    <t>甲虫战士</t>
  </si>
  <si>
    <t>jymonster003</t>
  </si>
  <si>
    <t>史莱金</t>
  </si>
  <si>
    <t>jymonster004</t>
  </si>
  <si>
    <t>重装步兵</t>
  </si>
  <si>
    <t>bubing01_Lv2</t>
  </si>
  <si>
    <t>重装枪兵</t>
  </si>
  <si>
    <t>bubing02_Lv2</t>
  </si>
  <si>
    <t>精锐骑士</t>
  </si>
  <si>
    <t>qibing01_Lv2</t>
  </si>
  <si>
    <t>精灵射手</t>
  </si>
  <si>
    <t>gongbing01_Lv2</t>
  </si>
  <si>
    <t>80021|80071</t>
  </si>
  <si>
    <t>飞马骑士</t>
  </si>
  <si>
    <t>feibing01_Lv2</t>
  </si>
  <si>
    <t>魔女</t>
  </si>
  <si>
    <t>fashi01_Lv2</t>
  </si>
  <si>
    <t>神官</t>
  </si>
  <si>
    <t>mushi01_Lv2</t>
  </si>
  <si>
    <t>骷髅勇士</t>
  </si>
  <si>
    <t>moshou01_Lv2</t>
  </si>
  <si>
    <t>狼人统领</t>
  </si>
  <si>
    <t>yeshou01_lv2</t>
  </si>
  <si>
    <t>大史莱姆</t>
  </si>
  <si>
    <t>兽人弓手</t>
  </si>
  <si>
    <t>兽巨人</t>
  </si>
  <si>
    <t>骷髅巫师</t>
  </si>
  <si>
    <t>紫炎战士</t>
  </si>
  <si>
    <t>岩石守卫</t>
  </si>
  <si>
    <t>炎魔战士</t>
  </si>
  <si>
    <t>蛙战士</t>
  </si>
  <si>
    <t>海潮统领</t>
  </si>
  <si>
    <t>蓝巨人</t>
  </si>
  <si>
    <t>红巨人</t>
  </si>
  <si>
    <t>岩石统领</t>
  </si>
  <si>
    <t>神秘史莱紫</t>
  </si>
  <si>
    <t>boss001</t>
  </si>
  <si>
    <t>哥布林将军</t>
  </si>
  <si>
    <t>boss002</t>
  </si>
  <si>
    <t>牛头人战士</t>
  </si>
  <si>
    <t>boss003</t>
  </si>
  <si>
    <t>皇室近卫</t>
  </si>
  <si>
    <t>bubing01_Lv3</t>
  </si>
  <si>
    <t>刀锋战士</t>
  </si>
  <si>
    <t>bubing02_Lv3</t>
  </si>
  <si>
    <t>格斗专家</t>
  </si>
  <si>
    <t>bubing03_Lv3</t>
  </si>
  <si>
    <t>将军</t>
  </si>
  <si>
    <t>bubing04_Lv3</t>
  </si>
  <si>
    <t>皇家骑士</t>
  </si>
  <si>
    <t>qibing01_Lv3</t>
  </si>
  <si>
    <t>黑暗骑士</t>
  </si>
  <si>
    <t>qibing02_Lv3</t>
  </si>
  <si>
    <t>守护骑士</t>
  </si>
  <si>
    <t>qibing03_Lv3</t>
  </si>
  <si>
    <t>幻影射手</t>
  </si>
  <si>
    <t>gongbing01_Lv3</t>
  </si>
  <si>
    <t>80031|80071</t>
  </si>
  <si>
    <t>巡游射手</t>
  </si>
  <si>
    <t>gongbing02_Lv3</t>
  </si>
  <si>
    <t>影</t>
  </si>
  <si>
    <t>gongbing03_Lv3</t>
  </si>
  <si>
    <t>圣天马骑士</t>
  </si>
  <si>
    <t>feibing01_Lv3</t>
  </si>
  <si>
    <t>飞龙骑士</t>
  </si>
  <si>
    <t>feibing02_Lv3</t>
  </si>
  <si>
    <t>格里芬骑士</t>
  </si>
  <si>
    <t>feibing03_Lv3</t>
  </si>
  <si>
    <t>大魔法师</t>
  </si>
  <si>
    <t>fashi01_Lv3</t>
  </si>
  <si>
    <t>烈焰之灵</t>
  </si>
  <si>
    <t>fashi02_Lv3</t>
  </si>
  <si>
    <t>符文师</t>
  </si>
  <si>
    <t>fashi03_Lv3</t>
  </si>
  <si>
    <t>大祭司</t>
  </si>
  <si>
    <t>mushi01_Lv3</t>
  </si>
  <si>
    <t>占卜师</t>
  </si>
  <si>
    <t>mushi02_Lv3</t>
  </si>
  <si>
    <t>守护星灵</t>
  </si>
  <si>
    <t>mushi03_Lv3</t>
  </si>
  <si>
    <t>亡灵骑士</t>
  </si>
  <si>
    <t>moshou01_Lv3</t>
  </si>
  <si>
    <t>伯爵</t>
  </si>
  <si>
    <t>moshou02_Lv3</t>
  </si>
  <si>
    <t>死灵法师</t>
  </si>
  <si>
    <t>moshou03_Lv3</t>
  </si>
  <si>
    <t>狼王</t>
  </si>
  <si>
    <t>yeshou01_lv3</t>
  </si>
  <si>
    <t>王蜥猎手</t>
  </si>
  <si>
    <t>yeshou02_lv3</t>
  </si>
  <si>
    <t>雪原巨人</t>
  </si>
  <si>
    <t>骷髅王</t>
  </si>
  <si>
    <t>兽人统领</t>
  </si>
  <si>
    <t>晶炎战士</t>
  </si>
  <si>
    <t>恶龙</t>
  </si>
  <si>
    <t>精英兽巨人</t>
  </si>
  <si>
    <t>石巨人</t>
  </si>
  <si>
    <t>潮汐巨人</t>
  </si>
  <si>
    <t>死神</t>
  </si>
  <si>
    <t>潮汐巨人王</t>
  </si>
  <si>
    <t>炎灵战士</t>
  </si>
  <si>
    <t>晶石巨人</t>
  </si>
  <si>
    <t>炎石巨人</t>
  </si>
  <si>
    <t>80061|80071</t>
  </si>
  <si>
    <t>矿石宝箱</t>
  </si>
  <si>
    <t>baoxiang</t>
  </si>
  <si>
    <t>技能道具</t>
  </si>
  <si>
    <t>juanzhou</t>
  </si>
  <si>
    <t>英雄经验</t>
  </si>
  <si>
    <t>jingyanshu</t>
  </si>
  <si>
    <t>jingyan</t>
  </si>
  <si>
    <t>0.1-0.2</t>
  </si>
  <si>
    <t>物理小怪</t>
  </si>
  <si>
    <t>等级</t>
  </si>
  <si>
    <t>法系小怪</t>
  </si>
  <si>
    <t>物理防御</t>
  </si>
  <si>
    <t>魔法防御</t>
  </si>
  <si>
    <t>0.3-0.4</t>
  </si>
  <si>
    <t>0.4-0.5</t>
  </si>
  <si>
    <t>精英怪</t>
  </si>
  <si>
    <t>BOSS</t>
  </si>
  <si>
    <t>攻击间隔/10</t>
  </si>
  <si>
    <t>哥布林守卫</t>
  </si>
  <si>
    <t>弱精英</t>
  </si>
  <si>
    <t>正常精英</t>
  </si>
  <si>
    <t>弱BOSS</t>
  </si>
  <si>
    <t>原本生命</t>
  </si>
  <si>
    <t>原本攻击</t>
  </si>
  <si>
    <t>原本防御</t>
  </si>
  <si>
    <t>原本魔力</t>
  </si>
  <si>
    <t>原本魔防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</si>
</sst>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6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I7" sqref="I7"/>
    </sheetView>
  </sheetViews>
  <sheetFormatPr defaultColWidth="9" defaultRowHeight="16.5"/>
  <cols>
    <col min="1" max="1" width="9" style="1"/>
    <col min="2" max="2" width="11.75" style="1" customWidth="1"/>
    <col min="3" max="4" width="8.875" style="1" customWidth="1"/>
    <col min="5" max="5" width="8.375" style="1" customWidth="1"/>
    <col min="6" max="6" width="15.25" style="1" customWidth="1"/>
    <col min="7" max="8" width="16.25" style="1" customWidth="1"/>
    <col min="9" max="10" width="8.125" style="1" customWidth="1"/>
    <col min="11" max="11" width="8.125" style="3" customWidth="1"/>
    <col min="12" max="12" width="11.625" style="5" customWidth="1"/>
    <col min="13" max="13" width="8.125" style="1" customWidth="1"/>
    <col min="14" max="14" width="10.375" style="2"/>
    <col min="15" max="18" width="8.375" style="2" customWidth="1"/>
    <col min="19" max="19" width="8.5" style="2" customWidth="1"/>
    <col min="20" max="20" width="8.5" style="1" customWidth="1"/>
    <col min="21" max="21" width="18.875" style="1" customWidth="1"/>
    <col min="22" max="22" width="8.5" style="1" customWidth="1"/>
    <col min="23" max="25" width="10.125" style="1" customWidth="1"/>
    <col min="26" max="16383" width="9" style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3" t="s">
        <v>26</v>
      </c>
      <c r="B2" s="3" t="s">
        <v>27</v>
      </c>
      <c r="C2" s="3" t="s">
        <v>26</v>
      </c>
      <c r="D2" s="3" t="s">
        <v>26</v>
      </c>
      <c r="E2" s="3" t="s">
        <v>26</v>
      </c>
      <c r="F2" s="3" t="s">
        <v>27</v>
      </c>
      <c r="G2" s="3" t="s">
        <v>27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28</v>
      </c>
      <c r="M2" s="3" t="s">
        <v>26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26</v>
      </c>
      <c r="T2" s="3" t="s">
        <v>28</v>
      </c>
      <c r="U2" s="3" t="s">
        <v>27</v>
      </c>
      <c r="V2" s="3" t="s">
        <v>26</v>
      </c>
      <c r="W2" s="3" t="s">
        <v>26</v>
      </c>
      <c r="X2" s="3" t="s">
        <v>28</v>
      </c>
      <c r="Y2" s="3" t="s">
        <v>28</v>
      </c>
      <c r="Z2" s="3" t="s">
        <v>26</v>
      </c>
    </row>
    <row r="3" spans="1:2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3" t="s">
        <v>48</v>
      </c>
      <c r="U3" s="3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</row>
    <row r="4" spans="1:29">
      <c r="A4" s="1">
        <v>10001</v>
      </c>
      <c r="B4" s="3" t="s">
        <v>55</v>
      </c>
      <c r="C4" s="1" t="str">
        <f t="shared" ref="C4:C22" si="0">LEFT(A4,1)</f>
        <v>1</v>
      </c>
      <c r="D4" s="1" t="s">
        <v>56</v>
      </c>
      <c r="E4" s="1">
        <v>1</v>
      </c>
      <c r="F4" s="1" t="s">
        <v>57</v>
      </c>
      <c r="G4" s="1" t="str">
        <f>F4</f>
        <v>monster001</v>
      </c>
      <c r="H4" s="6">
        <f>_xlfn.IFS(OR(D4="1",D4="2",D4="7",D4="8"),2,OR(D4="3",D4="4",D4="5",D4="6"),1)</f>
        <v>2</v>
      </c>
      <c r="I4" s="6">
        <f t="shared" ref="I4:I36" si="1">_xlfn.IFS(OR(D4="1",D4="2",D4="4",D4="7",D4="8"),150,OR(D4="3",D4="5",D4="6"),800)</f>
        <v>150</v>
      </c>
      <c r="J4" s="5">
        <f>MIN(I4+350,800)</f>
        <v>500</v>
      </c>
      <c r="K4" s="3">
        <v>650</v>
      </c>
      <c r="L4" s="10">
        <v>52</v>
      </c>
      <c r="M4" s="3">
        <v>15</v>
      </c>
      <c r="N4" s="4">
        <f>环形怪物属性!F5</f>
        <v>415</v>
      </c>
      <c r="O4" s="4">
        <f>环形怪物属性!H5</f>
        <v>36</v>
      </c>
      <c r="P4" s="4">
        <f>环形怪物属性!K5</f>
        <v>4</v>
      </c>
      <c r="Q4" s="4">
        <f>环形怪物属性!N5</f>
        <v>23</v>
      </c>
      <c r="R4" s="4">
        <v>9.5</v>
      </c>
      <c r="S4" s="4">
        <v>5</v>
      </c>
      <c r="T4" s="11">
        <v>0.15</v>
      </c>
      <c r="U4" s="6">
        <v>0</v>
      </c>
      <c r="V4" s="1">
        <v>30</v>
      </c>
      <c r="W4" s="1">
        <v>1</v>
      </c>
      <c r="X4" s="1">
        <v>1.7</v>
      </c>
      <c r="Y4" s="1">
        <v>1.8</v>
      </c>
      <c r="Z4" s="1">
        <v>50</v>
      </c>
      <c r="AC4" s="1" t="s">
        <v>58</v>
      </c>
    </row>
    <row r="5" spans="1:29">
      <c r="A5" s="1">
        <v>10002</v>
      </c>
      <c r="B5" s="3" t="s">
        <v>59</v>
      </c>
      <c r="C5" s="1" t="str">
        <f t="shared" si="0"/>
        <v>1</v>
      </c>
      <c r="D5" s="1" t="s">
        <v>56</v>
      </c>
      <c r="E5" s="1">
        <v>1</v>
      </c>
      <c r="F5" s="1" t="s">
        <v>60</v>
      </c>
      <c r="G5" s="1" t="str">
        <f>F5</f>
        <v>monster002</v>
      </c>
      <c r="H5" s="6">
        <f>_xlfn.IFS(OR(D5="1",D5="2",D5="7",D5="8"),2,OR(D5="3",D5="4",D5="5",D5="6"),1)</f>
        <v>2</v>
      </c>
      <c r="I5" s="6">
        <f t="shared" si="1"/>
        <v>150</v>
      </c>
      <c r="J5" s="5">
        <f t="shared" ref="J5:J36" si="2">MIN(I5+350,800)</f>
        <v>500</v>
      </c>
      <c r="K5" s="3">
        <v>750</v>
      </c>
      <c r="L5" s="3">
        <v>52</v>
      </c>
      <c r="M5" s="3">
        <v>15</v>
      </c>
      <c r="N5" s="4">
        <f>环形怪物属性!F6</f>
        <v>419</v>
      </c>
      <c r="O5" s="4">
        <f>环形怪物属性!H6</f>
        <v>36</v>
      </c>
      <c r="P5" s="4">
        <f>环形怪物属性!K6</f>
        <v>4</v>
      </c>
      <c r="Q5" s="4">
        <f>环形怪物属性!N6</f>
        <v>23</v>
      </c>
      <c r="R5" s="4">
        <v>9.5</v>
      </c>
      <c r="S5" s="4">
        <v>5</v>
      </c>
      <c r="T5" s="1">
        <f>T4</f>
        <v>0.15</v>
      </c>
      <c r="U5" s="6">
        <v>0</v>
      </c>
      <c r="V5" s="1">
        <v>30</v>
      </c>
      <c r="W5" s="1">
        <v>1</v>
      </c>
      <c r="X5" s="1">
        <v>1.7</v>
      </c>
      <c r="Y5" s="1">
        <v>1.8</v>
      </c>
      <c r="Z5" s="1">
        <v>50</v>
      </c>
      <c r="AC5" s="1" t="s">
        <v>61</v>
      </c>
    </row>
    <row r="6" spans="1:29">
      <c r="A6" s="1">
        <v>10003</v>
      </c>
      <c r="B6" s="3" t="s">
        <v>62</v>
      </c>
      <c r="C6" s="1" t="str">
        <f t="shared" si="0"/>
        <v>1</v>
      </c>
      <c r="D6" s="1" t="s">
        <v>56</v>
      </c>
      <c r="E6" s="1">
        <v>1</v>
      </c>
      <c r="F6" s="1" t="s">
        <v>63</v>
      </c>
      <c r="G6" s="1" t="str">
        <f>F6</f>
        <v>monster003</v>
      </c>
      <c r="H6" s="6">
        <f>_xlfn.IFS(OR(D6="1",D6="2",D6="7",D6="8"),2,OR(D6="3",D6="4",D6="5",D6="6"),1)</f>
        <v>2</v>
      </c>
      <c r="I6" s="6">
        <f t="shared" si="1"/>
        <v>150</v>
      </c>
      <c r="J6" s="5">
        <f t="shared" si="2"/>
        <v>500</v>
      </c>
      <c r="K6" s="3">
        <v>650</v>
      </c>
      <c r="L6" s="3">
        <v>52</v>
      </c>
      <c r="M6" s="3">
        <v>15</v>
      </c>
      <c r="N6" s="4">
        <f>环形怪物属性!F7</f>
        <v>422</v>
      </c>
      <c r="O6" s="4">
        <f>环形怪物属性!H7</f>
        <v>26</v>
      </c>
      <c r="P6" s="4">
        <f>环形怪物属性!K7</f>
        <v>4</v>
      </c>
      <c r="Q6" s="4">
        <f>环形怪物属性!N7</f>
        <v>28</v>
      </c>
      <c r="R6" s="4">
        <v>9.5</v>
      </c>
      <c r="S6" s="4">
        <v>5</v>
      </c>
      <c r="T6" s="1">
        <f t="shared" ref="T6:T13" si="3">T5</f>
        <v>0.15</v>
      </c>
      <c r="U6" s="6">
        <v>0</v>
      </c>
      <c r="V6" s="1">
        <v>30</v>
      </c>
      <c r="W6" s="1">
        <v>1</v>
      </c>
      <c r="X6" s="1">
        <v>1.7</v>
      </c>
      <c r="Y6" s="1">
        <v>1.8</v>
      </c>
      <c r="Z6" s="1">
        <v>50</v>
      </c>
      <c r="AC6" s="1" t="s">
        <v>64</v>
      </c>
    </row>
    <row r="7" spans="1:29">
      <c r="A7" s="1">
        <v>10004</v>
      </c>
      <c r="B7" s="1" t="s">
        <v>65</v>
      </c>
      <c r="C7" s="1" t="str">
        <f t="shared" si="0"/>
        <v>1</v>
      </c>
      <c r="D7" s="1" t="s">
        <v>56</v>
      </c>
      <c r="E7" s="1">
        <v>1</v>
      </c>
      <c r="F7" s="1" t="s">
        <v>66</v>
      </c>
      <c r="G7" s="1" t="str">
        <f>F7</f>
        <v>monster004</v>
      </c>
      <c r="H7" s="6">
        <f t="shared" ref="H7:H28" si="4">_xlfn.IFS(OR(D7="1",D7="2",D7="7",D7="8"),2,OR(D7="3",D7="4",D7="5",D7="6"),1)</f>
        <v>2</v>
      </c>
      <c r="I7" s="6">
        <f t="shared" si="1"/>
        <v>150</v>
      </c>
      <c r="J7" s="5">
        <f t="shared" si="2"/>
        <v>500</v>
      </c>
      <c r="K7" s="3">
        <v>800</v>
      </c>
      <c r="L7" s="3">
        <v>52</v>
      </c>
      <c r="M7" s="3">
        <v>15</v>
      </c>
      <c r="N7" s="4">
        <f>环形怪物属性!F8</f>
        <v>426</v>
      </c>
      <c r="O7" s="4">
        <f>环形怪物属性!H8</f>
        <v>38</v>
      </c>
      <c r="P7" s="4">
        <f>环形怪物属性!K8</f>
        <v>5</v>
      </c>
      <c r="Q7" s="4">
        <f>环形怪物属性!N8</f>
        <v>24</v>
      </c>
      <c r="R7" s="4">
        <v>11</v>
      </c>
      <c r="S7" s="4">
        <v>5</v>
      </c>
      <c r="T7" s="1">
        <f t="shared" si="3"/>
        <v>0.15</v>
      </c>
      <c r="U7" s="6">
        <v>0</v>
      </c>
      <c r="V7" s="1">
        <v>30</v>
      </c>
      <c r="W7" s="1">
        <v>1</v>
      </c>
      <c r="X7" s="1">
        <v>1.7</v>
      </c>
      <c r="Y7" s="1">
        <v>1.8</v>
      </c>
      <c r="Z7" s="1">
        <v>50</v>
      </c>
      <c r="AC7" s="1" t="s">
        <v>67</v>
      </c>
    </row>
    <row r="8" spans="1:29">
      <c r="A8" s="1">
        <v>10005</v>
      </c>
      <c r="B8" s="1" t="s">
        <v>68</v>
      </c>
      <c r="C8" s="1" t="str">
        <f t="shared" si="0"/>
        <v>1</v>
      </c>
      <c r="D8" s="1" t="s">
        <v>56</v>
      </c>
      <c r="E8" s="1">
        <v>1</v>
      </c>
      <c r="F8" s="1" t="s">
        <v>69</v>
      </c>
      <c r="G8" s="1" t="str">
        <f t="shared" ref="G8:G48" si="5">F8</f>
        <v>monster005</v>
      </c>
      <c r="H8" s="6">
        <f t="shared" si="4"/>
        <v>2</v>
      </c>
      <c r="I8" s="6">
        <f t="shared" si="1"/>
        <v>150</v>
      </c>
      <c r="J8" s="5">
        <f t="shared" si="2"/>
        <v>500</v>
      </c>
      <c r="K8" s="3">
        <v>620</v>
      </c>
      <c r="L8" s="3">
        <v>52</v>
      </c>
      <c r="M8" s="3">
        <v>15</v>
      </c>
      <c r="N8" s="4">
        <f>环形怪物属性!F9</f>
        <v>430</v>
      </c>
      <c r="O8" s="4">
        <f>环形怪物属性!H9</f>
        <v>39</v>
      </c>
      <c r="P8" s="4">
        <f>环形怪物属性!K9</f>
        <v>5</v>
      </c>
      <c r="Q8" s="4">
        <f>环形怪物属性!N9</f>
        <v>24</v>
      </c>
      <c r="R8" s="4">
        <v>11</v>
      </c>
      <c r="S8" s="4">
        <v>5</v>
      </c>
      <c r="T8" s="1">
        <f t="shared" si="3"/>
        <v>0.15</v>
      </c>
      <c r="U8" s="6">
        <v>80011</v>
      </c>
      <c r="V8" s="1">
        <v>30</v>
      </c>
      <c r="W8" s="1">
        <v>1</v>
      </c>
      <c r="X8" s="1">
        <v>1.7</v>
      </c>
      <c r="Y8" s="1">
        <v>1.8</v>
      </c>
      <c r="Z8" s="1">
        <v>50</v>
      </c>
      <c r="AC8" s="1" t="s">
        <v>70</v>
      </c>
    </row>
    <row r="9" spans="1:26">
      <c r="A9" s="1">
        <v>10006</v>
      </c>
      <c r="B9" s="1" t="s">
        <v>71</v>
      </c>
      <c r="C9" s="1" t="str">
        <f t="shared" si="0"/>
        <v>1</v>
      </c>
      <c r="D9" s="1" t="s">
        <v>56</v>
      </c>
      <c r="E9" s="1">
        <v>1</v>
      </c>
      <c r="F9" s="1" t="s">
        <v>72</v>
      </c>
      <c r="G9" s="1" t="str">
        <f t="shared" si="5"/>
        <v>monster006</v>
      </c>
      <c r="H9" s="6">
        <f t="shared" si="4"/>
        <v>2</v>
      </c>
      <c r="I9" s="6">
        <f t="shared" si="1"/>
        <v>150</v>
      </c>
      <c r="J9" s="5">
        <f t="shared" si="2"/>
        <v>500</v>
      </c>
      <c r="K9" s="3">
        <v>650</v>
      </c>
      <c r="L9" s="3">
        <v>52</v>
      </c>
      <c r="M9" s="3">
        <v>15</v>
      </c>
      <c r="N9" s="4">
        <f>环形怪物属性!F10</f>
        <v>434</v>
      </c>
      <c r="O9" s="4">
        <f>环形怪物属性!H10</f>
        <v>41</v>
      </c>
      <c r="P9" s="4">
        <f>环形怪物属性!K10</f>
        <v>6</v>
      </c>
      <c r="Q9" s="4">
        <f>环形怪物属性!N10</f>
        <v>26</v>
      </c>
      <c r="R9" s="4">
        <v>13</v>
      </c>
      <c r="S9" s="4">
        <v>6</v>
      </c>
      <c r="T9" s="1">
        <f t="shared" si="3"/>
        <v>0.15</v>
      </c>
      <c r="U9" s="6">
        <v>80071</v>
      </c>
      <c r="V9" s="1">
        <v>30</v>
      </c>
      <c r="W9" s="1">
        <v>1</v>
      </c>
      <c r="X9" s="1">
        <v>1.7</v>
      </c>
      <c r="Y9" s="1">
        <v>1.8</v>
      </c>
      <c r="Z9" s="1">
        <v>50</v>
      </c>
    </row>
    <row r="10" spans="1:26">
      <c r="A10" s="1">
        <v>10007</v>
      </c>
      <c r="B10" s="1" t="s">
        <v>73</v>
      </c>
      <c r="C10" s="1" t="str">
        <f t="shared" si="0"/>
        <v>1</v>
      </c>
      <c r="D10" s="1" t="s">
        <v>74</v>
      </c>
      <c r="E10" s="1">
        <v>1</v>
      </c>
      <c r="F10" s="1" t="s">
        <v>75</v>
      </c>
      <c r="G10" s="1" t="str">
        <f t="shared" si="5"/>
        <v>monster007</v>
      </c>
      <c r="H10" s="6">
        <f t="shared" si="4"/>
        <v>1</v>
      </c>
      <c r="I10" s="6">
        <f t="shared" si="1"/>
        <v>800</v>
      </c>
      <c r="J10" s="5">
        <f t="shared" si="2"/>
        <v>800</v>
      </c>
      <c r="K10" s="3">
        <v>620</v>
      </c>
      <c r="L10" s="3">
        <v>52</v>
      </c>
      <c r="M10" s="3">
        <v>20</v>
      </c>
      <c r="N10" s="4">
        <f>环形怪物属性!F11</f>
        <v>419</v>
      </c>
      <c r="O10" s="4">
        <f>环形怪物属性!H11</f>
        <v>24</v>
      </c>
      <c r="P10" s="4">
        <f>环形怪物属性!K11</f>
        <v>6</v>
      </c>
      <c r="Q10" s="4">
        <f>环形怪物属性!N11</f>
        <v>39</v>
      </c>
      <c r="R10" s="4">
        <v>13</v>
      </c>
      <c r="S10" s="4">
        <v>6</v>
      </c>
      <c r="T10" s="1">
        <f t="shared" si="3"/>
        <v>0.15</v>
      </c>
      <c r="U10" s="6" t="s">
        <v>76</v>
      </c>
      <c r="V10" s="1">
        <v>30</v>
      </c>
      <c r="W10" s="1">
        <v>1</v>
      </c>
      <c r="X10" s="1">
        <v>1.7</v>
      </c>
      <c r="Y10" s="1">
        <v>1.8</v>
      </c>
      <c r="Z10" s="1">
        <v>50</v>
      </c>
    </row>
    <row r="11" spans="1:26">
      <c r="A11" s="1">
        <v>10008</v>
      </c>
      <c r="B11" s="1" t="s">
        <v>77</v>
      </c>
      <c r="C11" s="1" t="str">
        <f t="shared" si="0"/>
        <v>1</v>
      </c>
      <c r="D11" s="1" t="s">
        <v>78</v>
      </c>
      <c r="E11" s="1">
        <v>1</v>
      </c>
      <c r="F11" s="1" t="s">
        <v>79</v>
      </c>
      <c r="G11" s="1" t="str">
        <f t="shared" si="5"/>
        <v>monster008</v>
      </c>
      <c r="H11" s="6">
        <f t="shared" si="4"/>
        <v>1</v>
      </c>
      <c r="I11" s="6">
        <f t="shared" si="1"/>
        <v>800</v>
      </c>
      <c r="J11" s="5">
        <f t="shared" si="2"/>
        <v>800</v>
      </c>
      <c r="K11" s="3">
        <v>620</v>
      </c>
      <c r="L11" s="3">
        <v>52</v>
      </c>
      <c r="M11" s="3">
        <v>20</v>
      </c>
      <c r="N11" s="4">
        <f>环形怪物属性!F12</f>
        <v>422</v>
      </c>
      <c r="O11" s="4">
        <f>环形怪物属性!H12</f>
        <v>26</v>
      </c>
      <c r="P11" s="4">
        <f>环形怪物属性!K12</f>
        <v>6</v>
      </c>
      <c r="Q11" s="4">
        <v>27</v>
      </c>
      <c r="R11" s="4">
        <v>13</v>
      </c>
      <c r="S11" s="4">
        <v>6</v>
      </c>
      <c r="T11" s="1">
        <f t="shared" si="3"/>
        <v>0.15</v>
      </c>
      <c r="U11" s="6" t="s">
        <v>76</v>
      </c>
      <c r="V11" s="1">
        <v>30</v>
      </c>
      <c r="W11" s="1">
        <v>1</v>
      </c>
      <c r="X11" s="1">
        <v>1.7</v>
      </c>
      <c r="Y11" s="1">
        <v>1.8</v>
      </c>
      <c r="Z11" s="1">
        <v>50</v>
      </c>
    </row>
    <row r="12" spans="1:26">
      <c r="A12" s="1">
        <v>10009</v>
      </c>
      <c r="B12" s="1" t="s">
        <v>80</v>
      </c>
      <c r="C12" s="1" t="str">
        <f t="shared" si="0"/>
        <v>1</v>
      </c>
      <c r="D12" s="1" t="s">
        <v>81</v>
      </c>
      <c r="E12" s="1">
        <v>1</v>
      </c>
      <c r="F12" s="1" t="s">
        <v>82</v>
      </c>
      <c r="G12" s="1" t="str">
        <f t="shared" si="5"/>
        <v>monster009</v>
      </c>
      <c r="H12" s="6">
        <f t="shared" si="4"/>
        <v>1</v>
      </c>
      <c r="I12" s="6">
        <f t="shared" si="1"/>
        <v>800</v>
      </c>
      <c r="J12" s="5">
        <f t="shared" si="2"/>
        <v>800</v>
      </c>
      <c r="K12" s="3">
        <v>650</v>
      </c>
      <c r="L12" s="3">
        <v>52</v>
      </c>
      <c r="M12" s="3">
        <v>20</v>
      </c>
      <c r="N12" s="4">
        <f>环形怪物属性!F13</f>
        <v>426</v>
      </c>
      <c r="O12" s="4">
        <f>环形怪物属性!H13</f>
        <v>38</v>
      </c>
      <c r="P12" s="4">
        <f>环形怪物属性!K13</f>
        <v>6</v>
      </c>
      <c r="Q12" s="4">
        <f>环形怪物属性!N13</f>
        <v>28</v>
      </c>
      <c r="R12" s="4">
        <v>14.5</v>
      </c>
      <c r="S12" s="4">
        <v>8</v>
      </c>
      <c r="T12" s="1">
        <f t="shared" si="3"/>
        <v>0.15</v>
      </c>
      <c r="U12" s="6" t="s">
        <v>76</v>
      </c>
      <c r="V12" s="1">
        <v>30</v>
      </c>
      <c r="W12" s="1">
        <v>1</v>
      </c>
      <c r="X12" s="1">
        <v>1.4</v>
      </c>
      <c r="Y12" s="1">
        <v>1.8</v>
      </c>
      <c r="Z12" s="1">
        <v>50</v>
      </c>
    </row>
    <row r="13" spans="1:26">
      <c r="A13" s="1">
        <v>10010</v>
      </c>
      <c r="B13" s="1" t="s">
        <v>83</v>
      </c>
      <c r="C13" s="1" t="str">
        <f t="shared" si="0"/>
        <v>1</v>
      </c>
      <c r="D13" s="1" t="s">
        <v>84</v>
      </c>
      <c r="E13" s="1">
        <v>1</v>
      </c>
      <c r="F13" s="1" t="s">
        <v>85</v>
      </c>
      <c r="G13" s="1" t="str">
        <f t="shared" si="5"/>
        <v>monster010</v>
      </c>
      <c r="H13" s="6">
        <f t="shared" si="4"/>
        <v>2</v>
      </c>
      <c r="I13" s="6">
        <f t="shared" si="1"/>
        <v>150</v>
      </c>
      <c r="J13" s="5">
        <f t="shared" si="2"/>
        <v>500</v>
      </c>
      <c r="K13" s="3">
        <v>650</v>
      </c>
      <c r="L13" s="3">
        <v>52</v>
      </c>
      <c r="M13" s="3">
        <v>15</v>
      </c>
      <c r="N13" s="4">
        <f>环形怪物属性!F14</f>
        <v>453</v>
      </c>
      <c r="O13" s="4">
        <f>环形怪物属性!H14</f>
        <v>47</v>
      </c>
      <c r="P13" s="4">
        <f>环形怪物属性!K14</f>
        <v>7</v>
      </c>
      <c r="Q13" s="4">
        <f>环形怪物属性!N14</f>
        <v>29</v>
      </c>
      <c r="R13" s="4">
        <v>16</v>
      </c>
      <c r="S13" s="4">
        <v>8</v>
      </c>
      <c r="T13" s="1">
        <f t="shared" si="3"/>
        <v>0.15</v>
      </c>
      <c r="U13" s="6">
        <v>80071</v>
      </c>
      <c r="V13" s="1">
        <v>30</v>
      </c>
      <c r="W13" s="1">
        <v>1</v>
      </c>
      <c r="X13" s="1">
        <v>1.4</v>
      </c>
      <c r="Y13" s="1">
        <v>1.8</v>
      </c>
      <c r="Z13" s="1">
        <v>50</v>
      </c>
    </row>
    <row r="14" spans="1:26">
      <c r="A14" s="1">
        <v>10011</v>
      </c>
      <c r="B14" s="6" t="s">
        <v>86</v>
      </c>
      <c r="C14" s="1" t="str">
        <f t="shared" si="0"/>
        <v>1</v>
      </c>
      <c r="D14" s="1" t="s">
        <v>84</v>
      </c>
      <c r="E14" s="1">
        <v>1</v>
      </c>
      <c r="F14" s="6" t="s">
        <v>87</v>
      </c>
      <c r="G14" s="1" t="str">
        <f t="shared" si="5"/>
        <v>bubing01_Lv1</v>
      </c>
      <c r="H14" s="6">
        <f t="shared" si="4"/>
        <v>2</v>
      </c>
      <c r="I14" s="6">
        <f t="shared" si="1"/>
        <v>150</v>
      </c>
      <c r="J14" s="5">
        <f t="shared" si="2"/>
        <v>500</v>
      </c>
      <c r="K14" s="3">
        <v>650</v>
      </c>
      <c r="L14" s="11">
        <v>67</v>
      </c>
      <c r="M14" s="6">
        <v>15</v>
      </c>
      <c r="N14" s="4">
        <f>环形怪物属性!F15</f>
        <v>472</v>
      </c>
      <c r="O14" s="4">
        <f>环形怪物属性!H15</f>
        <v>51</v>
      </c>
      <c r="P14" s="4">
        <f>环形怪物属性!K15</f>
        <v>9</v>
      </c>
      <c r="Q14" s="4">
        <f>环形怪物属性!N15</f>
        <v>26</v>
      </c>
      <c r="R14" s="4">
        <v>9.5</v>
      </c>
      <c r="S14" s="4">
        <v>10</v>
      </c>
      <c r="T14" s="11">
        <v>0.18</v>
      </c>
      <c r="U14" s="6">
        <v>80071</v>
      </c>
      <c r="V14" s="1">
        <f>V4+10</f>
        <v>40</v>
      </c>
      <c r="W14" s="1">
        <v>1</v>
      </c>
      <c r="X14" s="6">
        <v>1.8</v>
      </c>
      <c r="Y14" s="1">
        <v>1.8</v>
      </c>
      <c r="Z14" s="1">
        <v>50</v>
      </c>
    </row>
    <row r="15" spans="1:26">
      <c r="A15" s="1">
        <v>10012</v>
      </c>
      <c r="B15" s="6" t="s">
        <v>88</v>
      </c>
      <c r="C15" s="1" t="str">
        <f t="shared" si="0"/>
        <v>1</v>
      </c>
      <c r="D15" s="1" t="s">
        <v>84</v>
      </c>
      <c r="E15" s="1">
        <v>1</v>
      </c>
      <c r="F15" s="6" t="s">
        <v>89</v>
      </c>
      <c r="G15" s="1" t="str">
        <f t="shared" si="5"/>
        <v>bubing02_Lv1</v>
      </c>
      <c r="H15" s="6">
        <f t="shared" si="4"/>
        <v>2</v>
      </c>
      <c r="I15" s="6">
        <f t="shared" si="1"/>
        <v>150</v>
      </c>
      <c r="J15" s="5">
        <f t="shared" si="2"/>
        <v>500</v>
      </c>
      <c r="K15" s="3">
        <v>650</v>
      </c>
      <c r="L15" s="1">
        <v>67</v>
      </c>
      <c r="M15" s="6">
        <v>15</v>
      </c>
      <c r="N15" s="4">
        <f>环形怪物属性!F16</f>
        <v>492</v>
      </c>
      <c r="O15" s="4">
        <f>环形怪物属性!H16</f>
        <v>44</v>
      </c>
      <c r="P15" s="4">
        <f>环形怪物属性!K16</f>
        <v>9</v>
      </c>
      <c r="Q15" s="4">
        <f>环形怪物属性!N16</f>
        <v>26</v>
      </c>
      <c r="R15" s="4">
        <v>11</v>
      </c>
      <c r="S15" s="4">
        <v>15</v>
      </c>
      <c r="T15" s="1">
        <f>T14</f>
        <v>0.18</v>
      </c>
      <c r="U15" s="6">
        <v>80071</v>
      </c>
      <c r="V15" s="1">
        <f t="shared" ref="V15:V48" si="6">V5+10</f>
        <v>40</v>
      </c>
      <c r="W15" s="1">
        <v>1</v>
      </c>
      <c r="X15" s="6">
        <v>1.8</v>
      </c>
      <c r="Y15" s="1">
        <v>1.8</v>
      </c>
      <c r="Z15" s="1">
        <v>50</v>
      </c>
    </row>
    <row r="16" spans="1:26">
      <c r="A16" s="1">
        <v>10013</v>
      </c>
      <c r="B16" s="7" t="s">
        <v>90</v>
      </c>
      <c r="C16" s="1" t="str">
        <f t="shared" si="0"/>
        <v>1</v>
      </c>
      <c r="D16" s="1" t="s">
        <v>91</v>
      </c>
      <c r="E16" s="1">
        <v>1</v>
      </c>
      <c r="F16" s="7" t="s">
        <v>92</v>
      </c>
      <c r="G16" s="1" t="str">
        <f t="shared" si="5"/>
        <v>qibing01_Lv1</v>
      </c>
      <c r="H16" s="6">
        <f t="shared" si="4"/>
        <v>2</v>
      </c>
      <c r="I16" s="6">
        <f t="shared" si="1"/>
        <v>150</v>
      </c>
      <c r="J16" s="5">
        <f t="shared" si="2"/>
        <v>500</v>
      </c>
      <c r="K16" s="3">
        <v>800</v>
      </c>
      <c r="L16" s="1">
        <v>67</v>
      </c>
      <c r="M16" s="6">
        <v>15</v>
      </c>
      <c r="N16" s="4">
        <f>环形怪物属性!F17</f>
        <v>480</v>
      </c>
      <c r="O16" s="4">
        <f>环形怪物属性!H17</f>
        <v>51</v>
      </c>
      <c r="P16" s="4">
        <f>环形怪物属性!K17</f>
        <v>8</v>
      </c>
      <c r="Q16" s="4">
        <f>环形怪物属性!N17</f>
        <v>24</v>
      </c>
      <c r="R16" s="4">
        <v>11</v>
      </c>
      <c r="S16" s="4">
        <v>10</v>
      </c>
      <c r="T16" s="1">
        <f t="shared" ref="T16:T48" si="7">T15</f>
        <v>0.18</v>
      </c>
      <c r="U16" s="6">
        <v>80071</v>
      </c>
      <c r="V16" s="1">
        <f t="shared" si="6"/>
        <v>40</v>
      </c>
      <c r="W16" s="1">
        <v>1</v>
      </c>
      <c r="X16" s="6">
        <v>1.8</v>
      </c>
      <c r="Y16" s="1">
        <v>1.8</v>
      </c>
      <c r="Z16" s="1">
        <v>50</v>
      </c>
    </row>
    <row r="17" spans="1:26">
      <c r="A17" s="1">
        <v>10014</v>
      </c>
      <c r="B17" s="7" t="s">
        <v>93</v>
      </c>
      <c r="C17" s="1" t="str">
        <f t="shared" si="0"/>
        <v>1</v>
      </c>
      <c r="D17" s="1" t="s">
        <v>81</v>
      </c>
      <c r="E17" s="1">
        <v>1</v>
      </c>
      <c r="F17" s="7" t="s">
        <v>94</v>
      </c>
      <c r="G17" s="1" t="str">
        <f t="shared" si="5"/>
        <v>gongbing01_Lv1</v>
      </c>
      <c r="H17" s="6">
        <f t="shared" si="4"/>
        <v>1</v>
      </c>
      <c r="I17" s="6">
        <f t="shared" si="1"/>
        <v>800</v>
      </c>
      <c r="J17" s="5">
        <f t="shared" si="2"/>
        <v>800</v>
      </c>
      <c r="K17" s="3">
        <v>650</v>
      </c>
      <c r="L17" s="1">
        <v>67</v>
      </c>
      <c r="M17" s="3">
        <v>20</v>
      </c>
      <c r="N17" s="4">
        <f>环形怪物属性!F18</f>
        <v>434</v>
      </c>
      <c r="O17" s="4">
        <f>环形怪物属性!H18</f>
        <v>41</v>
      </c>
      <c r="P17" s="4">
        <f>环形怪物属性!K18</f>
        <v>7</v>
      </c>
      <c r="Q17" s="4">
        <f>环形怪物属性!N18</f>
        <v>28</v>
      </c>
      <c r="R17" s="4">
        <v>14.5</v>
      </c>
      <c r="S17" s="4">
        <v>10</v>
      </c>
      <c r="T17" s="1">
        <f t="shared" si="7"/>
        <v>0.18</v>
      </c>
      <c r="U17" s="6" t="s">
        <v>76</v>
      </c>
      <c r="V17" s="1">
        <f t="shared" si="6"/>
        <v>40</v>
      </c>
      <c r="W17" s="1">
        <v>1</v>
      </c>
      <c r="X17" s="6">
        <v>2</v>
      </c>
      <c r="Y17" s="1">
        <v>1.8</v>
      </c>
      <c r="Z17" s="1">
        <v>50</v>
      </c>
    </row>
    <row r="18" spans="1:26">
      <c r="A18" s="1">
        <v>10015</v>
      </c>
      <c r="B18" s="7" t="s">
        <v>95</v>
      </c>
      <c r="C18" s="1" t="str">
        <f t="shared" si="0"/>
        <v>1</v>
      </c>
      <c r="D18" s="1" t="s">
        <v>96</v>
      </c>
      <c r="E18" s="1">
        <v>1</v>
      </c>
      <c r="F18" s="7" t="s">
        <v>97</v>
      </c>
      <c r="G18" s="1" t="str">
        <f t="shared" si="5"/>
        <v>feibing01_Lv1</v>
      </c>
      <c r="H18" s="6">
        <f t="shared" si="4"/>
        <v>1</v>
      </c>
      <c r="I18" s="6">
        <f t="shared" si="1"/>
        <v>150</v>
      </c>
      <c r="J18" s="5">
        <f t="shared" si="2"/>
        <v>500</v>
      </c>
      <c r="K18" s="3">
        <v>800</v>
      </c>
      <c r="L18" s="1">
        <v>67</v>
      </c>
      <c r="M18" s="6">
        <v>15</v>
      </c>
      <c r="N18" s="4">
        <f>环形怪物属性!F19</f>
        <v>480</v>
      </c>
      <c r="O18" s="4">
        <f>环形怪物属性!H19</f>
        <v>49</v>
      </c>
      <c r="P18" s="4">
        <f>环形怪物属性!K19</f>
        <v>9</v>
      </c>
      <c r="Q18" s="4">
        <f>环形怪物属性!N19</f>
        <v>31</v>
      </c>
      <c r="R18" s="4">
        <v>14.5</v>
      </c>
      <c r="S18" s="4">
        <v>10</v>
      </c>
      <c r="T18" s="1">
        <f t="shared" si="7"/>
        <v>0.18</v>
      </c>
      <c r="U18" s="6">
        <v>80071</v>
      </c>
      <c r="V18" s="1">
        <f t="shared" si="6"/>
        <v>40</v>
      </c>
      <c r="W18" s="1">
        <v>1</v>
      </c>
      <c r="X18" s="6">
        <v>1.2</v>
      </c>
      <c r="Y18" s="1">
        <v>1.8</v>
      </c>
      <c r="Z18" s="1">
        <v>50</v>
      </c>
    </row>
    <row r="19" spans="1:26">
      <c r="A19" s="1">
        <v>10016</v>
      </c>
      <c r="B19" s="7" t="s">
        <v>98</v>
      </c>
      <c r="C19" s="1" t="str">
        <f t="shared" si="0"/>
        <v>1</v>
      </c>
      <c r="D19" s="1" t="s">
        <v>78</v>
      </c>
      <c r="E19" s="1">
        <v>1</v>
      </c>
      <c r="F19" s="7" t="s">
        <v>99</v>
      </c>
      <c r="G19" s="1" t="str">
        <f t="shared" si="5"/>
        <v>fashi01_Lv1</v>
      </c>
      <c r="H19" s="6">
        <f t="shared" si="4"/>
        <v>1</v>
      </c>
      <c r="I19" s="6">
        <f t="shared" si="1"/>
        <v>800</v>
      </c>
      <c r="J19" s="5">
        <f t="shared" si="2"/>
        <v>800</v>
      </c>
      <c r="K19" s="3">
        <v>650</v>
      </c>
      <c r="L19" s="1">
        <v>67</v>
      </c>
      <c r="M19" s="3">
        <v>20</v>
      </c>
      <c r="N19" s="4">
        <f>环形怪物属性!F20</f>
        <v>434</v>
      </c>
      <c r="O19" s="4">
        <v>20</v>
      </c>
      <c r="P19" s="4">
        <f>环形怪物属性!K20</f>
        <v>7</v>
      </c>
      <c r="Q19" s="4">
        <v>36</v>
      </c>
      <c r="R19" s="4">
        <v>13</v>
      </c>
      <c r="S19" s="4">
        <v>10</v>
      </c>
      <c r="T19" s="1">
        <f t="shared" si="7"/>
        <v>0.18</v>
      </c>
      <c r="U19" s="6" t="s">
        <v>76</v>
      </c>
      <c r="V19" s="1">
        <f t="shared" si="6"/>
        <v>40</v>
      </c>
      <c r="W19" s="1">
        <v>1</v>
      </c>
      <c r="X19" s="6">
        <v>1.2</v>
      </c>
      <c r="Y19" s="1">
        <v>1.8</v>
      </c>
      <c r="Z19" s="1">
        <v>50</v>
      </c>
    </row>
    <row r="20" spans="1:26">
      <c r="A20" s="1">
        <v>10017</v>
      </c>
      <c r="B20" s="7" t="s">
        <v>100</v>
      </c>
      <c r="C20" s="1" t="str">
        <f t="shared" si="0"/>
        <v>1</v>
      </c>
      <c r="D20" s="1" t="s">
        <v>74</v>
      </c>
      <c r="E20" s="1">
        <v>1</v>
      </c>
      <c r="F20" s="7" t="s">
        <v>101</v>
      </c>
      <c r="G20" s="1" t="str">
        <f t="shared" si="5"/>
        <v>mushi01_Lv1</v>
      </c>
      <c r="H20" s="6">
        <f t="shared" si="4"/>
        <v>1</v>
      </c>
      <c r="I20" s="6">
        <f t="shared" si="1"/>
        <v>800</v>
      </c>
      <c r="J20" s="5">
        <f t="shared" si="2"/>
        <v>800</v>
      </c>
      <c r="K20" s="3">
        <v>650</v>
      </c>
      <c r="L20" s="1">
        <v>67</v>
      </c>
      <c r="M20" s="3">
        <v>20</v>
      </c>
      <c r="N20" s="4">
        <f>环形怪物属性!F21</f>
        <v>438</v>
      </c>
      <c r="O20" s="4">
        <f>环形怪物属性!H21</f>
        <v>26</v>
      </c>
      <c r="P20" s="4">
        <f>环形怪物属性!K21</f>
        <v>10</v>
      </c>
      <c r="Q20" s="4">
        <f>环形怪物属性!N21</f>
        <v>39</v>
      </c>
      <c r="R20" s="4">
        <v>21</v>
      </c>
      <c r="S20" s="4">
        <v>10</v>
      </c>
      <c r="T20" s="1">
        <f t="shared" si="7"/>
        <v>0.18</v>
      </c>
      <c r="U20" s="6" t="s">
        <v>76</v>
      </c>
      <c r="V20" s="1">
        <f t="shared" si="6"/>
        <v>40</v>
      </c>
      <c r="W20" s="1">
        <v>1</v>
      </c>
      <c r="X20" s="6">
        <v>1.5</v>
      </c>
      <c r="Y20" s="1">
        <v>1.8</v>
      </c>
      <c r="Z20" s="1">
        <v>50</v>
      </c>
    </row>
    <row r="21" spans="1:26">
      <c r="A21" s="1">
        <v>10018</v>
      </c>
      <c r="B21" s="7" t="s">
        <v>102</v>
      </c>
      <c r="C21" s="1" t="str">
        <f t="shared" si="0"/>
        <v>1</v>
      </c>
      <c r="D21" s="1" t="s">
        <v>56</v>
      </c>
      <c r="E21" s="1">
        <v>1</v>
      </c>
      <c r="F21" s="7" t="s">
        <v>103</v>
      </c>
      <c r="G21" s="1" t="str">
        <f t="shared" si="5"/>
        <v>moshou01_Lv1</v>
      </c>
      <c r="H21" s="6">
        <f t="shared" si="4"/>
        <v>2</v>
      </c>
      <c r="I21" s="6">
        <f t="shared" si="1"/>
        <v>150</v>
      </c>
      <c r="J21" s="5">
        <f t="shared" si="2"/>
        <v>500</v>
      </c>
      <c r="K21" s="3">
        <v>650</v>
      </c>
      <c r="L21" s="1">
        <v>67</v>
      </c>
      <c r="M21" s="6">
        <v>15</v>
      </c>
      <c r="N21" s="4">
        <f>环形怪物属性!F22</f>
        <v>484</v>
      </c>
      <c r="O21" s="4">
        <f>环形怪物属性!H22</f>
        <v>43</v>
      </c>
      <c r="P21" s="4">
        <f>环形怪物属性!K22</f>
        <v>9</v>
      </c>
      <c r="Q21" s="4">
        <f>环形怪物属性!N22</f>
        <v>26</v>
      </c>
      <c r="R21" s="4">
        <v>13</v>
      </c>
      <c r="S21" s="4">
        <v>10</v>
      </c>
      <c r="T21" s="1">
        <f t="shared" si="7"/>
        <v>0.18</v>
      </c>
      <c r="U21" s="6">
        <v>80071</v>
      </c>
      <c r="V21" s="1">
        <f t="shared" si="6"/>
        <v>40</v>
      </c>
      <c r="W21" s="1">
        <v>1</v>
      </c>
      <c r="X21" s="6">
        <v>1.5</v>
      </c>
      <c r="Y21" s="1">
        <v>1.8</v>
      </c>
      <c r="Z21" s="1">
        <v>50</v>
      </c>
    </row>
    <row r="22" spans="1:26">
      <c r="A22" s="1">
        <v>10019</v>
      </c>
      <c r="B22" s="7" t="s">
        <v>104</v>
      </c>
      <c r="C22" s="1" t="str">
        <f t="shared" si="0"/>
        <v>1</v>
      </c>
      <c r="D22" s="1" t="s">
        <v>105</v>
      </c>
      <c r="E22" s="1">
        <v>1</v>
      </c>
      <c r="F22" s="7" t="s">
        <v>106</v>
      </c>
      <c r="G22" s="1" t="str">
        <f t="shared" si="5"/>
        <v>yeshou01_lv1</v>
      </c>
      <c r="H22" s="6">
        <f t="shared" si="4"/>
        <v>2</v>
      </c>
      <c r="I22" s="6">
        <f t="shared" si="1"/>
        <v>150</v>
      </c>
      <c r="J22" s="5">
        <f t="shared" si="2"/>
        <v>500</v>
      </c>
      <c r="K22" s="3">
        <v>650</v>
      </c>
      <c r="L22" s="1">
        <v>67</v>
      </c>
      <c r="M22" s="6">
        <v>15</v>
      </c>
      <c r="N22" s="4">
        <f>环形怪物属性!F23</f>
        <v>461</v>
      </c>
      <c r="O22" s="4">
        <f>环形怪物属性!H23</f>
        <v>52</v>
      </c>
      <c r="P22" s="4">
        <f>环形怪物属性!K23</f>
        <v>8</v>
      </c>
      <c r="Q22" s="4">
        <f>环形怪物属性!N23</f>
        <v>26</v>
      </c>
      <c r="R22" s="4">
        <v>13</v>
      </c>
      <c r="S22" s="4">
        <v>10</v>
      </c>
      <c r="T22" s="1">
        <f t="shared" si="7"/>
        <v>0.18</v>
      </c>
      <c r="U22" s="6">
        <v>80071</v>
      </c>
      <c r="V22" s="1">
        <f t="shared" si="6"/>
        <v>40</v>
      </c>
      <c r="W22" s="1">
        <v>1</v>
      </c>
      <c r="X22" s="6">
        <v>1.5</v>
      </c>
      <c r="Y22" s="1">
        <v>1.8</v>
      </c>
      <c r="Z22" s="1">
        <v>50</v>
      </c>
    </row>
    <row r="23" spans="1:26">
      <c r="A23" s="1">
        <v>10020</v>
      </c>
      <c r="B23" s="7" t="s">
        <v>102</v>
      </c>
      <c r="C23" s="1" t="str">
        <f t="shared" ref="C23:C51" si="8">LEFT(A23,1)</f>
        <v>1</v>
      </c>
      <c r="D23" s="1" t="s">
        <v>56</v>
      </c>
      <c r="E23" s="1">
        <v>1</v>
      </c>
      <c r="F23" s="1" t="s">
        <v>57</v>
      </c>
      <c r="G23" s="1" t="str">
        <f t="shared" si="5"/>
        <v>monster001</v>
      </c>
      <c r="H23" s="6">
        <f t="shared" si="4"/>
        <v>2</v>
      </c>
      <c r="I23" s="6">
        <f t="shared" si="1"/>
        <v>150</v>
      </c>
      <c r="J23" s="5">
        <f t="shared" si="2"/>
        <v>500</v>
      </c>
      <c r="K23" s="3">
        <v>650</v>
      </c>
      <c r="L23" s="1">
        <v>67</v>
      </c>
      <c r="M23" s="6">
        <v>15</v>
      </c>
      <c r="N23" s="4">
        <f>环形怪物属性!F24</f>
        <v>434</v>
      </c>
      <c r="O23" s="4">
        <f>环形怪物属性!H24</f>
        <v>43</v>
      </c>
      <c r="P23" s="4">
        <f>环形怪物属性!K24</f>
        <v>8</v>
      </c>
      <c r="Q23" s="4">
        <f>环形怪物属性!N24</f>
        <v>26</v>
      </c>
      <c r="R23" s="4">
        <v>13</v>
      </c>
      <c r="S23" s="4">
        <v>10</v>
      </c>
      <c r="T23" s="1">
        <f t="shared" si="7"/>
        <v>0.18</v>
      </c>
      <c r="U23" s="6">
        <v>80071</v>
      </c>
      <c r="V23" s="1">
        <f t="shared" si="6"/>
        <v>40</v>
      </c>
      <c r="W23" s="1">
        <v>1</v>
      </c>
      <c r="X23" s="6">
        <v>1.5</v>
      </c>
      <c r="Y23" s="1">
        <v>1.8</v>
      </c>
      <c r="Z23" s="1">
        <v>50</v>
      </c>
    </row>
    <row r="24" spans="1:26">
      <c r="A24" s="1">
        <v>10021</v>
      </c>
      <c r="B24" s="7" t="s">
        <v>107</v>
      </c>
      <c r="C24" s="1" t="str">
        <f t="shared" si="8"/>
        <v>1</v>
      </c>
      <c r="D24" s="1" t="s">
        <v>56</v>
      </c>
      <c r="E24" s="1">
        <v>1</v>
      </c>
      <c r="F24" s="1" t="s">
        <v>60</v>
      </c>
      <c r="G24" s="1" t="str">
        <f t="shared" si="5"/>
        <v>monster002</v>
      </c>
      <c r="H24" s="6">
        <f t="shared" si="4"/>
        <v>2</v>
      </c>
      <c r="I24" s="6">
        <f t="shared" si="1"/>
        <v>150</v>
      </c>
      <c r="J24" s="5">
        <f t="shared" si="2"/>
        <v>500</v>
      </c>
      <c r="K24" s="3">
        <v>650</v>
      </c>
      <c r="L24" s="1">
        <v>67</v>
      </c>
      <c r="M24" s="6">
        <v>15</v>
      </c>
      <c r="N24" s="4">
        <f>环形怪物属性!F25</f>
        <v>438</v>
      </c>
      <c r="O24" s="4">
        <f>环形怪物属性!H25</f>
        <v>39</v>
      </c>
      <c r="P24" s="4">
        <f>环形怪物属性!K25</f>
        <v>9</v>
      </c>
      <c r="Q24" s="4">
        <f>环形怪物属性!N25</f>
        <v>26</v>
      </c>
      <c r="R24" s="4">
        <v>13</v>
      </c>
      <c r="S24" s="4">
        <v>10</v>
      </c>
      <c r="T24" s="1">
        <f t="shared" si="7"/>
        <v>0.18</v>
      </c>
      <c r="U24" s="6">
        <v>80071</v>
      </c>
      <c r="V24" s="1">
        <f t="shared" si="6"/>
        <v>50</v>
      </c>
      <c r="W24" s="1">
        <v>1</v>
      </c>
      <c r="X24" s="6">
        <v>1.5</v>
      </c>
      <c r="Y24" s="1">
        <v>1.8</v>
      </c>
      <c r="Z24" s="1">
        <v>50</v>
      </c>
    </row>
    <row r="25" spans="1:26">
      <c r="A25" s="1">
        <v>10022</v>
      </c>
      <c r="B25" s="7" t="s">
        <v>108</v>
      </c>
      <c r="C25" s="1" t="str">
        <f t="shared" si="8"/>
        <v>1</v>
      </c>
      <c r="D25" s="1" t="s">
        <v>56</v>
      </c>
      <c r="E25" s="1">
        <v>1</v>
      </c>
      <c r="F25" s="1" t="s">
        <v>63</v>
      </c>
      <c r="G25" s="1" t="str">
        <f t="shared" si="5"/>
        <v>monster003</v>
      </c>
      <c r="H25" s="6">
        <f t="shared" si="4"/>
        <v>2</v>
      </c>
      <c r="I25" s="6">
        <v>800</v>
      </c>
      <c r="J25" s="5">
        <f t="shared" si="2"/>
        <v>800</v>
      </c>
      <c r="K25" s="3">
        <v>650</v>
      </c>
      <c r="L25" s="1">
        <v>67</v>
      </c>
      <c r="M25" s="3">
        <v>20</v>
      </c>
      <c r="N25" s="4">
        <f>环形怪物属性!F26</f>
        <v>399</v>
      </c>
      <c r="O25" s="4">
        <f>环形怪物属性!H26</f>
        <v>44</v>
      </c>
      <c r="P25" s="4">
        <f>环形怪物属性!K26</f>
        <v>8</v>
      </c>
      <c r="Q25" s="4">
        <f>环形怪物属性!N26</f>
        <v>26</v>
      </c>
      <c r="R25" s="4">
        <v>13</v>
      </c>
      <c r="S25" s="4">
        <v>10</v>
      </c>
      <c r="T25" s="1">
        <f t="shared" si="7"/>
        <v>0.18</v>
      </c>
      <c r="U25" s="6">
        <v>80071</v>
      </c>
      <c r="V25" s="1">
        <f t="shared" si="6"/>
        <v>50</v>
      </c>
      <c r="W25" s="1">
        <v>1</v>
      </c>
      <c r="X25" s="6">
        <v>1.5</v>
      </c>
      <c r="Y25" s="1">
        <v>1.8</v>
      </c>
      <c r="Z25" s="1">
        <v>50</v>
      </c>
    </row>
    <row r="26" spans="1:26">
      <c r="A26" s="1">
        <v>10023</v>
      </c>
      <c r="B26" s="7" t="s">
        <v>109</v>
      </c>
      <c r="C26" s="1" t="str">
        <f t="shared" si="8"/>
        <v>1</v>
      </c>
      <c r="D26" s="1" t="s">
        <v>56</v>
      </c>
      <c r="E26" s="1">
        <v>1</v>
      </c>
      <c r="F26" s="1" t="s">
        <v>66</v>
      </c>
      <c r="G26" s="1" t="str">
        <f t="shared" si="5"/>
        <v>monster004</v>
      </c>
      <c r="H26" s="6">
        <f t="shared" si="4"/>
        <v>2</v>
      </c>
      <c r="I26" s="6">
        <f t="shared" si="1"/>
        <v>150</v>
      </c>
      <c r="J26" s="5">
        <f t="shared" si="2"/>
        <v>500</v>
      </c>
      <c r="K26" s="3">
        <v>650</v>
      </c>
      <c r="L26" s="1">
        <v>67</v>
      </c>
      <c r="M26" s="6">
        <v>15</v>
      </c>
      <c r="N26" s="4">
        <f>环形怪物属性!F27</f>
        <v>442</v>
      </c>
      <c r="O26" s="4">
        <f>环形怪物属性!H27</f>
        <v>52</v>
      </c>
      <c r="P26" s="4">
        <f>环形怪物属性!K27</f>
        <v>8</v>
      </c>
      <c r="Q26" s="4">
        <f>环形怪物属性!N27</f>
        <v>26</v>
      </c>
      <c r="R26" s="4">
        <v>13</v>
      </c>
      <c r="S26" s="4">
        <v>10</v>
      </c>
      <c r="T26" s="1">
        <f t="shared" si="7"/>
        <v>0.18</v>
      </c>
      <c r="U26" s="6">
        <v>80071</v>
      </c>
      <c r="V26" s="1">
        <f t="shared" si="6"/>
        <v>50</v>
      </c>
      <c r="W26" s="1">
        <v>1</v>
      </c>
      <c r="X26" s="6">
        <v>1.5</v>
      </c>
      <c r="Y26" s="1">
        <v>1.8</v>
      </c>
      <c r="Z26" s="1">
        <v>50</v>
      </c>
    </row>
    <row r="27" spans="1:26">
      <c r="A27" s="1">
        <v>10024</v>
      </c>
      <c r="B27" s="7" t="s">
        <v>110</v>
      </c>
      <c r="C27" s="1" t="str">
        <f t="shared" si="8"/>
        <v>1</v>
      </c>
      <c r="D27" s="1" t="s">
        <v>56</v>
      </c>
      <c r="E27" s="1">
        <v>1</v>
      </c>
      <c r="F27" s="1" t="s">
        <v>69</v>
      </c>
      <c r="G27" s="1" t="str">
        <f t="shared" si="5"/>
        <v>monster005</v>
      </c>
      <c r="H27" s="6">
        <f t="shared" si="4"/>
        <v>2</v>
      </c>
      <c r="I27" s="6">
        <f t="shared" si="1"/>
        <v>150</v>
      </c>
      <c r="J27" s="5">
        <f t="shared" si="2"/>
        <v>500</v>
      </c>
      <c r="K27" s="3">
        <v>650</v>
      </c>
      <c r="L27" s="1">
        <v>67</v>
      </c>
      <c r="M27" s="6">
        <v>15</v>
      </c>
      <c r="N27" s="4">
        <f>环形怪物属性!F28</f>
        <v>442</v>
      </c>
      <c r="O27" s="4">
        <f>环形怪物属性!H28</f>
        <v>26</v>
      </c>
      <c r="P27" s="4">
        <f>环形怪物属性!K28</f>
        <v>8</v>
      </c>
      <c r="Q27" s="4">
        <f>环形怪物属性!N28</f>
        <v>39</v>
      </c>
      <c r="R27" s="4">
        <v>13</v>
      </c>
      <c r="S27" s="4">
        <v>10</v>
      </c>
      <c r="T27" s="1">
        <f t="shared" si="7"/>
        <v>0.18</v>
      </c>
      <c r="U27" s="6">
        <v>80071</v>
      </c>
      <c r="V27" s="1">
        <f t="shared" si="6"/>
        <v>50</v>
      </c>
      <c r="W27" s="1">
        <v>1</v>
      </c>
      <c r="X27" s="6">
        <v>1.5</v>
      </c>
      <c r="Y27" s="1">
        <v>1.8</v>
      </c>
      <c r="Z27" s="1">
        <v>50</v>
      </c>
    </row>
    <row r="28" spans="1:26">
      <c r="A28" s="1">
        <v>10025</v>
      </c>
      <c r="B28" s="7" t="s">
        <v>111</v>
      </c>
      <c r="C28" s="1" t="str">
        <f t="shared" si="8"/>
        <v>1</v>
      </c>
      <c r="D28" s="1" t="s">
        <v>105</v>
      </c>
      <c r="E28" s="1">
        <v>1</v>
      </c>
      <c r="F28" s="1" t="s">
        <v>72</v>
      </c>
      <c r="G28" s="1" t="str">
        <f t="shared" si="5"/>
        <v>monster006</v>
      </c>
      <c r="H28" s="6">
        <f t="shared" si="4"/>
        <v>2</v>
      </c>
      <c r="I28" s="6">
        <f t="shared" si="1"/>
        <v>150</v>
      </c>
      <c r="J28" s="5">
        <f t="shared" si="2"/>
        <v>500</v>
      </c>
      <c r="K28" s="3">
        <v>650</v>
      </c>
      <c r="L28" s="1">
        <v>67</v>
      </c>
      <c r="M28" s="6">
        <v>15</v>
      </c>
      <c r="N28" s="4">
        <f>环形怪物属性!F29</f>
        <v>445</v>
      </c>
      <c r="O28" s="4">
        <f>环形怪物属性!H29</f>
        <v>52</v>
      </c>
      <c r="P28" s="4">
        <f>环形怪物属性!K29</f>
        <v>8</v>
      </c>
      <c r="Q28" s="4">
        <f>环形怪物属性!N29</f>
        <v>39</v>
      </c>
      <c r="R28" s="4">
        <v>13</v>
      </c>
      <c r="S28" s="4">
        <v>10</v>
      </c>
      <c r="T28" s="1">
        <f t="shared" si="7"/>
        <v>0.18</v>
      </c>
      <c r="U28" s="6">
        <v>80071</v>
      </c>
      <c r="V28" s="1">
        <f t="shared" si="6"/>
        <v>50</v>
      </c>
      <c r="W28" s="1">
        <v>1</v>
      </c>
      <c r="X28" s="6">
        <v>1.5</v>
      </c>
      <c r="Y28" s="1">
        <v>1.8</v>
      </c>
      <c r="Z28" s="1">
        <v>50</v>
      </c>
    </row>
    <row r="29" spans="1:26">
      <c r="A29" s="1">
        <v>10026</v>
      </c>
      <c r="B29" s="7" t="s">
        <v>112</v>
      </c>
      <c r="C29" s="1" t="str">
        <f t="shared" si="8"/>
        <v>1</v>
      </c>
      <c r="D29" s="1" t="s">
        <v>105</v>
      </c>
      <c r="E29" s="1">
        <v>1</v>
      </c>
      <c r="F29" s="1" t="s">
        <v>75</v>
      </c>
      <c r="G29" s="1" t="str">
        <f t="shared" si="5"/>
        <v>monster007</v>
      </c>
      <c r="H29" s="6">
        <f t="shared" ref="H29:H61" si="9">_xlfn.IFS(OR(D29="1",D29="2",D29="7",D29="8"),2,OR(D29="3",D29="4",D29="5",D29="6"),1)</f>
        <v>2</v>
      </c>
      <c r="I29" s="6">
        <f t="shared" si="1"/>
        <v>150</v>
      </c>
      <c r="J29" s="5">
        <f t="shared" si="2"/>
        <v>500</v>
      </c>
      <c r="K29" s="3">
        <v>650</v>
      </c>
      <c r="L29" s="1">
        <v>67</v>
      </c>
      <c r="M29" s="6">
        <v>15</v>
      </c>
      <c r="N29" s="4">
        <f>环形怪物属性!F30</f>
        <v>445</v>
      </c>
      <c r="O29" s="4">
        <f>环形怪物属性!H30</f>
        <v>52</v>
      </c>
      <c r="P29" s="4">
        <f>环形怪物属性!K30</f>
        <v>8</v>
      </c>
      <c r="Q29" s="4">
        <f>环形怪物属性!N30</f>
        <v>39</v>
      </c>
      <c r="R29" s="4">
        <v>13</v>
      </c>
      <c r="S29" s="4">
        <v>10</v>
      </c>
      <c r="T29" s="1">
        <f t="shared" si="7"/>
        <v>0.18</v>
      </c>
      <c r="U29" s="6">
        <v>80071</v>
      </c>
      <c r="V29" s="1">
        <f t="shared" si="6"/>
        <v>50</v>
      </c>
      <c r="W29" s="1">
        <v>1</v>
      </c>
      <c r="X29" s="6">
        <v>1.5</v>
      </c>
      <c r="Y29" s="1">
        <v>1.8</v>
      </c>
      <c r="Z29" s="1">
        <v>50</v>
      </c>
    </row>
    <row r="30" spans="1:26">
      <c r="A30" s="1">
        <v>10027</v>
      </c>
      <c r="B30" s="7" t="s">
        <v>113</v>
      </c>
      <c r="C30" s="1" t="str">
        <f t="shared" si="8"/>
        <v>1</v>
      </c>
      <c r="D30" s="1" t="s">
        <v>96</v>
      </c>
      <c r="E30" s="1">
        <v>1</v>
      </c>
      <c r="F30" s="7" t="s">
        <v>97</v>
      </c>
      <c r="G30" s="1" t="str">
        <f t="shared" si="5"/>
        <v>feibing01_Lv1</v>
      </c>
      <c r="H30" s="6">
        <f t="shared" si="9"/>
        <v>1</v>
      </c>
      <c r="I30" s="6">
        <f t="shared" si="1"/>
        <v>150</v>
      </c>
      <c r="J30" s="5">
        <f t="shared" si="2"/>
        <v>500</v>
      </c>
      <c r="K30" s="3">
        <v>750</v>
      </c>
      <c r="L30" s="1">
        <v>67</v>
      </c>
      <c r="M30" s="6">
        <v>15</v>
      </c>
      <c r="N30" s="4">
        <f>环形怪物属性!F31</f>
        <v>434</v>
      </c>
      <c r="O30" s="4">
        <f>环形怪物属性!H31</f>
        <v>34</v>
      </c>
      <c r="P30" s="4">
        <f>环形怪物属性!K31</f>
        <v>8</v>
      </c>
      <c r="Q30" s="4">
        <f>环形怪物属性!N31</f>
        <v>43</v>
      </c>
      <c r="R30" s="4">
        <v>13</v>
      </c>
      <c r="S30" s="4">
        <v>10</v>
      </c>
      <c r="T30" s="1">
        <f t="shared" si="7"/>
        <v>0.18</v>
      </c>
      <c r="U30" s="6">
        <v>80071</v>
      </c>
      <c r="V30" s="1">
        <f t="shared" si="6"/>
        <v>50</v>
      </c>
      <c r="W30" s="1">
        <v>1</v>
      </c>
      <c r="X30" s="6">
        <v>1.5</v>
      </c>
      <c r="Y30" s="1">
        <v>1.8</v>
      </c>
      <c r="Z30" s="1">
        <v>50</v>
      </c>
    </row>
    <row r="31" spans="1:26">
      <c r="A31" s="1">
        <v>10028</v>
      </c>
      <c r="B31" s="7" t="s">
        <v>114</v>
      </c>
      <c r="C31" s="1" t="str">
        <f t="shared" si="8"/>
        <v>1</v>
      </c>
      <c r="D31" s="1" t="s">
        <v>91</v>
      </c>
      <c r="E31" s="1">
        <v>1</v>
      </c>
      <c r="F31" s="1" t="s">
        <v>60</v>
      </c>
      <c r="G31" s="1" t="str">
        <f t="shared" si="5"/>
        <v>monster002</v>
      </c>
      <c r="H31" s="6">
        <f t="shared" si="9"/>
        <v>2</v>
      </c>
      <c r="I31" s="6">
        <f t="shared" si="1"/>
        <v>150</v>
      </c>
      <c r="J31" s="5">
        <f t="shared" si="2"/>
        <v>500</v>
      </c>
      <c r="K31" s="3">
        <v>800</v>
      </c>
      <c r="L31" s="1">
        <v>67</v>
      </c>
      <c r="M31" s="6">
        <v>15</v>
      </c>
      <c r="N31" s="4">
        <f>环形怪物属性!F32</f>
        <v>445</v>
      </c>
      <c r="O31" s="4">
        <f>环形怪物属性!H32</f>
        <v>52</v>
      </c>
      <c r="P31" s="4">
        <f>环形怪物属性!K32</f>
        <v>8</v>
      </c>
      <c r="Q31" s="4">
        <f>环形怪物属性!N32</f>
        <v>39</v>
      </c>
      <c r="R31" s="4">
        <v>13</v>
      </c>
      <c r="S31" s="4">
        <v>10</v>
      </c>
      <c r="T31" s="1">
        <f t="shared" si="7"/>
        <v>0.18</v>
      </c>
      <c r="U31" s="6">
        <v>80071</v>
      </c>
      <c r="V31" s="1">
        <f t="shared" si="6"/>
        <v>50</v>
      </c>
      <c r="W31" s="1">
        <v>1</v>
      </c>
      <c r="X31" s="6">
        <v>1.5</v>
      </c>
      <c r="Y31" s="1">
        <v>1.8</v>
      </c>
      <c r="Z31" s="1">
        <v>50</v>
      </c>
    </row>
    <row r="32" spans="1:26">
      <c r="A32" s="1">
        <v>10029</v>
      </c>
      <c r="B32" s="7" t="s">
        <v>115</v>
      </c>
      <c r="C32" s="1" t="str">
        <f t="shared" si="8"/>
        <v>1</v>
      </c>
      <c r="D32" s="1" t="s">
        <v>96</v>
      </c>
      <c r="E32" s="1">
        <v>1</v>
      </c>
      <c r="F32" s="7" t="s">
        <v>97</v>
      </c>
      <c r="G32" s="1" t="str">
        <f t="shared" si="5"/>
        <v>feibing01_Lv1</v>
      </c>
      <c r="H32" s="6">
        <f t="shared" si="9"/>
        <v>1</v>
      </c>
      <c r="I32" s="6">
        <f t="shared" si="1"/>
        <v>150</v>
      </c>
      <c r="J32" s="5">
        <f t="shared" si="2"/>
        <v>500</v>
      </c>
      <c r="K32" s="3">
        <v>750</v>
      </c>
      <c r="L32" s="1">
        <v>67</v>
      </c>
      <c r="M32" s="6">
        <v>15</v>
      </c>
      <c r="N32" s="4">
        <f>环形怪物属性!F33</f>
        <v>415</v>
      </c>
      <c r="O32" s="4">
        <f>环形怪物属性!H33</f>
        <v>39</v>
      </c>
      <c r="P32" s="4">
        <f>环形怪物属性!K33</f>
        <v>8</v>
      </c>
      <c r="Q32" s="4">
        <f>环形怪物属性!N33</f>
        <v>44</v>
      </c>
      <c r="R32" s="4">
        <v>13</v>
      </c>
      <c r="S32" s="4">
        <v>10</v>
      </c>
      <c r="T32" s="1">
        <f t="shared" si="7"/>
        <v>0.18</v>
      </c>
      <c r="U32" s="6">
        <v>80071</v>
      </c>
      <c r="V32" s="1">
        <f t="shared" si="6"/>
        <v>50</v>
      </c>
      <c r="W32" s="1">
        <v>1</v>
      </c>
      <c r="X32" s="6">
        <v>1.5</v>
      </c>
      <c r="Y32" s="1">
        <v>1.8</v>
      </c>
      <c r="Z32" s="1">
        <v>50</v>
      </c>
    </row>
    <row r="33" spans="1:26">
      <c r="A33" s="1">
        <v>10030</v>
      </c>
      <c r="B33" s="7" t="s">
        <v>116</v>
      </c>
      <c r="C33" s="1" t="str">
        <f t="shared" si="8"/>
        <v>1</v>
      </c>
      <c r="D33" s="1" t="s">
        <v>105</v>
      </c>
      <c r="E33" s="1">
        <v>1</v>
      </c>
      <c r="F33" s="1" t="s">
        <v>66</v>
      </c>
      <c r="G33" s="1" t="str">
        <f t="shared" si="5"/>
        <v>monster004</v>
      </c>
      <c r="H33" s="6">
        <f t="shared" si="9"/>
        <v>2</v>
      </c>
      <c r="I33" s="6">
        <f t="shared" si="1"/>
        <v>150</v>
      </c>
      <c r="J33" s="5">
        <f t="shared" si="2"/>
        <v>500</v>
      </c>
      <c r="K33" s="3">
        <v>650</v>
      </c>
      <c r="L33" s="1">
        <v>67</v>
      </c>
      <c r="M33" s="6">
        <v>15</v>
      </c>
      <c r="N33" s="4">
        <f>环形怪物属性!F34</f>
        <v>445</v>
      </c>
      <c r="O33" s="4">
        <f>环形怪物属性!H34</f>
        <v>52</v>
      </c>
      <c r="P33" s="4">
        <f>环形怪物属性!K34</f>
        <v>8</v>
      </c>
      <c r="Q33" s="4">
        <f>环形怪物属性!N34</f>
        <v>43</v>
      </c>
      <c r="R33" s="4">
        <v>13</v>
      </c>
      <c r="S33" s="4">
        <v>10</v>
      </c>
      <c r="T33" s="1">
        <f t="shared" si="7"/>
        <v>0.18</v>
      </c>
      <c r="U33" s="6">
        <v>80071</v>
      </c>
      <c r="V33" s="1">
        <f t="shared" si="6"/>
        <v>50</v>
      </c>
      <c r="W33" s="1">
        <v>1</v>
      </c>
      <c r="X33" s="6">
        <v>1.5</v>
      </c>
      <c r="Y33" s="1">
        <v>1.8</v>
      </c>
      <c r="Z33" s="1">
        <v>50</v>
      </c>
    </row>
    <row r="34" spans="1:26">
      <c r="A34" s="1">
        <v>10031</v>
      </c>
      <c r="B34" s="7" t="s">
        <v>117</v>
      </c>
      <c r="C34" s="1" t="str">
        <f t="shared" si="8"/>
        <v>1</v>
      </c>
      <c r="D34" s="1" t="s">
        <v>84</v>
      </c>
      <c r="E34" s="1">
        <v>1</v>
      </c>
      <c r="F34" s="1" t="s">
        <v>69</v>
      </c>
      <c r="G34" s="1" t="str">
        <f t="shared" si="5"/>
        <v>monster005</v>
      </c>
      <c r="H34" s="6">
        <f t="shared" si="9"/>
        <v>2</v>
      </c>
      <c r="I34" s="6">
        <f t="shared" si="1"/>
        <v>150</v>
      </c>
      <c r="J34" s="5">
        <f t="shared" si="2"/>
        <v>500</v>
      </c>
      <c r="K34" s="3">
        <v>650</v>
      </c>
      <c r="L34" s="1">
        <v>67</v>
      </c>
      <c r="M34" s="6">
        <v>15</v>
      </c>
      <c r="N34" s="4">
        <f>环形怪物属性!F35</f>
        <v>449</v>
      </c>
      <c r="O34" s="4">
        <f>环形怪物属性!H35</f>
        <v>44</v>
      </c>
      <c r="P34" s="4">
        <f>环形怪物属性!K35</f>
        <v>8</v>
      </c>
      <c r="Q34" s="4">
        <f>环形怪物属性!N35</f>
        <v>43</v>
      </c>
      <c r="R34" s="4">
        <v>14.5</v>
      </c>
      <c r="S34" s="4">
        <v>15</v>
      </c>
      <c r="T34" s="1">
        <f t="shared" si="7"/>
        <v>0.18</v>
      </c>
      <c r="U34" s="6">
        <v>80071</v>
      </c>
      <c r="V34" s="1">
        <f t="shared" si="6"/>
        <v>60</v>
      </c>
      <c r="W34" s="1">
        <v>1</v>
      </c>
      <c r="X34" s="6">
        <v>1.5</v>
      </c>
      <c r="Y34" s="1">
        <v>1.8</v>
      </c>
      <c r="Z34" s="1">
        <v>50</v>
      </c>
    </row>
    <row r="35" spans="1:26">
      <c r="A35" s="1">
        <v>10032</v>
      </c>
      <c r="B35" s="7" t="s">
        <v>118</v>
      </c>
      <c r="C35" s="1" t="str">
        <f t="shared" si="8"/>
        <v>1</v>
      </c>
      <c r="D35" s="1" t="s">
        <v>84</v>
      </c>
      <c r="E35" s="1">
        <v>1</v>
      </c>
      <c r="F35" s="1" t="s">
        <v>72</v>
      </c>
      <c r="G35" s="1" t="str">
        <f t="shared" si="5"/>
        <v>monster006</v>
      </c>
      <c r="H35" s="6">
        <f t="shared" si="9"/>
        <v>2</v>
      </c>
      <c r="I35" s="6">
        <f t="shared" si="1"/>
        <v>150</v>
      </c>
      <c r="J35" s="5">
        <f t="shared" si="2"/>
        <v>500</v>
      </c>
      <c r="K35" s="3">
        <v>650</v>
      </c>
      <c r="L35" s="1">
        <v>67</v>
      </c>
      <c r="M35" s="6">
        <v>15</v>
      </c>
      <c r="N35" s="4">
        <f>环形怪物属性!F36</f>
        <v>449</v>
      </c>
      <c r="O35" s="4">
        <f>环形怪物属性!H36</f>
        <v>46</v>
      </c>
      <c r="P35" s="4">
        <f>环形怪物属性!K36</f>
        <v>8</v>
      </c>
      <c r="Q35" s="4">
        <f>环形怪物属性!N36</f>
        <v>43</v>
      </c>
      <c r="R35" s="4">
        <v>14.5</v>
      </c>
      <c r="S35" s="4">
        <v>15</v>
      </c>
      <c r="T35" s="1">
        <f t="shared" si="7"/>
        <v>0.18</v>
      </c>
      <c r="U35" s="6">
        <v>80071</v>
      </c>
      <c r="V35" s="1">
        <f t="shared" si="6"/>
        <v>60</v>
      </c>
      <c r="W35" s="1">
        <v>1</v>
      </c>
      <c r="X35" s="6">
        <v>1.5</v>
      </c>
      <c r="Y35" s="1">
        <v>1.8</v>
      </c>
      <c r="Z35" s="1">
        <v>50</v>
      </c>
    </row>
    <row r="36" spans="1:26">
      <c r="A36" s="1">
        <v>10033</v>
      </c>
      <c r="B36" s="7" t="s">
        <v>119</v>
      </c>
      <c r="C36" s="1" t="str">
        <f t="shared" si="8"/>
        <v>1</v>
      </c>
      <c r="D36" s="1" t="s">
        <v>78</v>
      </c>
      <c r="E36" s="1">
        <v>1</v>
      </c>
      <c r="F36" s="1" t="s">
        <v>63</v>
      </c>
      <c r="G36" s="1" t="str">
        <f t="shared" si="5"/>
        <v>monster003</v>
      </c>
      <c r="H36" s="6">
        <f t="shared" si="9"/>
        <v>1</v>
      </c>
      <c r="I36" s="6">
        <f t="shared" si="1"/>
        <v>800</v>
      </c>
      <c r="J36" s="5">
        <f t="shared" si="2"/>
        <v>800</v>
      </c>
      <c r="K36" s="3">
        <v>650</v>
      </c>
      <c r="L36" s="1">
        <v>67</v>
      </c>
      <c r="M36" s="3">
        <v>20</v>
      </c>
      <c r="N36" s="4">
        <f>环形怪物属性!F37</f>
        <v>415</v>
      </c>
      <c r="O36" s="4">
        <f>环形怪物属性!H37</f>
        <v>44</v>
      </c>
      <c r="P36" s="4">
        <f>环形怪物属性!K37</f>
        <v>8</v>
      </c>
      <c r="Q36" s="4">
        <f>环形怪物属性!N37</f>
        <v>43</v>
      </c>
      <c r="R36" s="4">
        <v>13</v>
      </c>
      <c r="S36" s="4">
        <v>10</v>
      </c>
      <c r="T36" s="1">
        <f t="shared" si="7"/>
        <v>0.18</v>
      </c>
      <c r="U36" s="6">
        <v>80071</v>
      </c>
      <c r="V36" s="1">
        <f t="shared" si="6"/>
        <v>60</v>
      </c>
      <c r="W36" s="1">
        <v>1</v>
      </c>
      <c r="X36" s="6">
        <v>1.5</v>
      </c>
      <c r="Y36" s="1">
        <v>1.8</v>
      </c>
      <c r="Z36" s="1">
        <v>50</v>
      </c>
    </row>
    <row r="37" spans="1:26">
      <c r="A37" s="1">
        <v>10034</v>
      </c>
      <c r="B37" s="7" t="s">
        <v>120</v>
      </c>
      <c r="C37" s="1" t="str">
        <f t="shared" si="8"/>
        <v>1</v>
      </c>
      <c r="D37" s="1" t="s">
        <v>91</v>
      </c>
      <c r="E37" s="1">
        <v>1</v>
      </c>
      <c r="F37" s="1" t="s">
        <v>72</v>
      </c>
      <c r="G37" s="1" t="str">
        <f t="shared" si="5"/>
        <v>monster006</v>
      </c>
      <c r="H37" s="6">
        <f t="shared" si="9"/>
        <v>2</v>
      </c>
      <c r="I37" s="6">
        <f t="shared" ref="I37:I73" si="10">_xlfn.IFS(OR(D37="1",D37="2",D37="4",D37="7",D37="8"),150,OR(D37="3",D37="5",D37="6"),800)</f>
        <v>150</v>
      </c>
      <c r="J37" s="5">
        <f t="shared" ref="J37:J68" si="11">MIN(I37+350,800)</f>
        <v>500</v>
      </c>
      <c r="K37" s="3">
        <v>800</v>
      </c>
      <c r="L37" s="1">
        <v>67</v>
      </c>
      <c r="M37" s="6">
        <v>15</v>
      </c>
      <c r="N37" s="4">
        <f>环形怪物属性!F38</f>
        <v>453</v>
      </c>
      <c r="O37" s="4">
        <f>环形怪物属性!H38</f>
        <v>52</v>
      </c>
      <c r="P37" s="4">
        <f>环形怪物属性!K38</f>
        <v>8</v>
      </c>
      <c r="Q37" s="4">
        <f>环形怪物属性!N38</f>
        <v>43</v>
      </c>
      <c r="R37" s="4">
        <v>13</v>
      </c>
      <c r="S37" s="4">
        <v>10</v>
      </c>
      <c r="T37" s="1">
        <f t="shared" si="7"/>
        <v>0.18</v>
      </c>
      <c r="U37" s="6">
        <v>80071</v>
      </c>
      <c r="V37" s="1">
        <f t="shared" si="6"/>
        <v>60</v>
      </c>
      <c r="W37" s="1">
        <v>1</v>
      </c>
      <c r="X37" s="6">
        <v>1.5</v>
      </c>
      <c r="Y37" s="1">
        <v>1.8</v>
      </c>
      <c r="Z37" s="1">
        <v>50</v>
      </c>
    </row>
    <row r="38" spans="1:26">
      <c r="A38" s="1">
        <v>10035</v>
      </c>
      <c r="B38" s="7" t="s">
        <v>121</v>
      </c>
      <c r="C38" s="1" t="str">
        <f t="shared" si="8"/>
        <v>1</v>
      </c>
      <c r="D38" s="1" t="s">
        <v>96</v>
      </c>
      <c r="E38" s="1">
        <v>1</v>
      </c>
      <c r="F38" s="7" t="s">
        <v>97</v>
      </c>
      <c r="G38" s="1" t="str">
        <f t="shared" si="5"/>
        <v>feibing01_Lv1</v>
      </c>
      <c r="H38" s="6">
        <f t="shared" si="9"/>
        <v>1</v>
      </c>
      <c r="I38" s="6">
        <f t="shared" si="10"/>
        <v>150</v>
      </c>
      <c r="J38" s="5">
        <f t="shared" si="11"/>
        <v>500</v>
      </c>
      <c r="K38" s="3">
        <v>750</v>
      </c>
      <c r="L38" s="1">
        <v>67</v>
      </c>
      <c r="M38" s="6">
        <v>15</v>
      </c>
      <c r="N38" s="4">
        <f>环形怪物属性!F39</f>
        <v>422</v>
      </c>
      <c r="O38" s="4">
        <f>环形怪物属性!H39</f>
        <v>52</v>
      </c>
      <c r="P38" s="4">
        <f>环形怪物属性!K39</f>
        <v>8</v>
      </c>
      <c r="Q38" s="4">
        <f>环形怪物属性!N39</f>
        <v>43</v>
      </c>
      <c r="R38" s="4">
        <v>13</v>
      </c>
      <c r="S38" s="4">
        <v>10</v>
      </c>
      <c r="T38" s="1">
        <f t="shared" si="7"/>
        <v>0.18</v>
      </c>
      <c r="U38" s="6">
        <v>80071</v>
      </c>
      <c r="V38" s="1">
        <f t="shared" si="6"/>
        <v>60</v>
      </c>
      <c r="W38" s="1">
        <v>1</v>
      </c>
      <c r="X38" s="6">
        <v>1.5</v>
      </c>
      <c r="Y38" s="1">
        <v>1.8</v>
      </c>
      <c r="Z38" s="1">
        <v>50</v>
      </c>
    </row>
    <row r="39" spans="1:26">
      <c r="A39" s="1">
        <v>10036</v>
      </c>
      <c r="B39" s="7" t="s">
        <v>122</v>
      </c>
      <c r="C39" s="1" t="str">
        <f t="shared" si="8"/>
        <v>1</v>
      </c>
      <c r="D39" s="1" t="s">
        <v>96</v>
      </c>
      <c r="E39" s="1">
        <v>1</v>
      </c>
      <c r="F39" s="7" t="s">
        <v>97</v>
      </c>
      <c r="G39" s="1" t="str">
        <f t="shared" si="5"/>
        <v>feibing01_Lv1</v>
      </c>
      <c r="H39" s="6">
        <f t="shared" si="9"/>
        <v>1</v>
      </c>
      <c r="I39" s="6">
        <f t="shared" si="10"/>
        <v>150</v>
      </c>
      <c r="J39" s="5">
        <f t="shared" si="11"/>
        <v>500</v>
      </c>
      <c r="K39" s="3">
        <v>750</v>
      </c>
      <c r="L39" s="1">
        <v>67</v>
      </c>
      <c r="M39" s="6">
        <v>15</v>
      </c>
      <c r="N39" s="4">
        <f>环形怪物属性!F40</f>
        <v>426</v>
      </c>
      <c r="O39" s="4">
        <f>环形怪物属性!H40</f>
        <v>52</v>
      </c>
      <c r="P39" s="4">
        <f>环形怪物属性!K40</f>
        <v>8</v>
      </c>
      <c r="Q39" s="4">
        <f>环形怪物属性!N40</f>
        <v>52</v>
      </c>
      <c r="R39" s="4">
        <v>13</v>
      </c>
      <c r="S39" s="4">
        <v>10</v>
      </c>
      <c r="T39" s="1">
        <f t="shared" si="7"/>
        <v>0.18</v>
      </c>
      <c r="U39" s="6">
        <v>80071</v>
      </c>
      <c r="V39" s="1">
        <f t="shared" si="6"/>
        <v>60</v>
      </c>
      <c r="W39" s="1">
        <v>1</v>
      </c>
      <c r="X39" s="6">
        <v>1.5</v>
      </c>
      <c r="Y39" s="1">
        <v>1.8</v>
      </c>
      <c r="Z39" s="1">
        <v>50</v>
      </c>
    </row>
    <row r="40" spans="1:26">
      <c r="A40" s="1">
        <v>10037</v>
      </c>
      <c r="B40" s="7" t="s">
        <v>123</v>
      </c>
      <c r="C40" s="1" t="str">
        <f t="shared" si="8"/>
        <v>1</v>
      </c>
      <c r="D40" s="1" t="s">
        <v>84</v>
      </c>
      <c r="E40" s="1">
        <v>1</v>
      </c>
      <c r="F40" s="1" t="s">
        <v>66</v>
      </c>
      <c r="G40" s="1" t="str">
        <f t="shared" si="5"/>
        <v>monster004</v>
      </c>
      <c r="H40" s="6">
        <f t="shared" si="9"/>
        <v>2</v>
      </c>
      <c r="I40" s="6">
        <f t="shared" si="10"/>
        <v>150</v>
      </c>
      <c r="J40" s="5">
        <f t="shared" si="11"/>
        <v>500</v>
      </c>
      <c r="K40" s="3">
        <v>650</v>
      </c>
      <c r="L40" s="1">
        <v>67</v>
      </c>
      <c r="M40" s="6">
        <v>15</v>
      </c>
      <c r="N40" s="4">
        <f>环形怪物属性!F41</f>
        <v>445</v>
      </c>
      <c r="O40" s="4">
        <f>环形怪物属性!H41</f>
        <v>47</v>
      </c>
      <c r="P40" s="4">
        <f>环形怪物属性!K41</f>
        <v>8</v>
      </c>
      <c r="Q40" s="4">
        <f>环形怪物属性!N41</f>
        <v>54</v>
      </c>
      <c r="R40" s="4">
        <v>16</v>
      </c>
      <c r="S40" s="4">
        <v>15</v>
      </c>
      <c r="T40" s="1">
        <f t="shared" si="7"/>
        <v>0.18</v>
      </c>
      <c r="U40" s="6">
        <v>80071</v>
      </c>
      <c r="V40" s="1">
        <f t="shared" si="6"/>
        <v>60</v>
      </c>
      <c r="W40" s="1">
        <v>1</v>
      </c>
      <c r="X40" s="6">
        <v>1.5</v>
      </c>
      <c r="Y40" s="1">
        <v>1.8</v>
      </c>
      <c r="Z40" s="1">
        <v>50</v>
      </c>
    </row>
    <row r="41" spans="1:26">
      <c r="A41" s="1">
        <v>10038</v>
      </c>
      <c r="B41" s="7" t="s">
        <v>124</v>
      </c>
      <c r="C41" s="1" t="str">
        <f t="shared" si="8"/>
        <v>1</v>
      </c>
      <c r="D41" s="1" t="s">
        <v>84</v>
      </c>
      <c r="E41" s="1">
        <v>1</v>
      </c>
      <c r="F41" s="1" t="s">
        <v>69</v>
      </c>
      <c r="G41" s="1" t="str">
        <f t="shared" si="5"/>
        <v>monster005</v>
      </c>
      <c r="H41" s="6">
        <f t="shared" si="9"/>
        <v>2</v>
      </c>
      <c r="I41" s="6">
        <f t="shared" si="10"/>
        <v>150</v>
      </c>
      <c r="J41" s="5">
        <f t="shared" si="11"/>
        <v>500</v>
      </c>
      <c r="K41" s="3">
        <v>650</v>
      </c>
      <c r="L41" s="1">
        <v>67</v>
      </c>
      <c r="M41" s="6">
        <v>15</v>
      </c>
      <c r="N41" s="4">
        <f>环形怪物属性!F42</f>
        <v>445</v>
      </c>
      <c r="O41" s="4">
        <f>环形怪物属性!H42</f>
        <v>51</v>
      </c>
      <c r="P41" s="4">
        <f>环形怪物属性!K42</f>
        <v>8</v>
      </c>
      <c r="Q41" s="4">
        <f>环形怪物属性!N42</f>
        <v>56</v>
      </c>
      <c r="R41" s="4">
        <v>16</v>
      </c>
      <c r="S41" s="4">
        <v>10</v>
      </c>
      <c r="T41" s="1">
        <f t="shared" si="7"/>
        <v>0.18</v>
      </c>
      <c r="U41" s="6">
        <v>80071</v>
      </c>
      <c r="V41" s="1">
        <f t="shared" si="6"/>
        <v>60</v>
      </c>
      <c r="W41" s="1">
        <v>1</v>
      </c>
      <c r="X41" s="6">
        <v>1.5</v>
      </c>
      <c r="Y41" s="1">
        <v>1.8</v>
      </c>
      <c r="Z41" s="1">
        <v>50</v>
      </c>
    </row>
    <row r="42" spans="1:26">
      <c r="A42" s="1">
        <v>10039</v>
      </c>
      <c r="B42" s="7" t="s">
        <v>125</v>
      </c>
      <c r="C42" s="1" t="str">
        <f t="shared" si="8"/>
        <v>1</v>
      </c>
      <c r="D42" s="1" t="s">
        <v>84</v>
      </c>
      <c r="E42" s="1">
        <v>1</v>
      </c>
      <c r="F42" s="1" t="s">
        <v>72</v>
      </c>
      <c r="G42" s="1" t="str">
        <f t="shared" si="5"/>
        <v>monster006</v>
      </c>
      <c r="H42" s="6">
        <f t="shared" si="9"/>
        <v>2</v>
      </c>
      <c r="I42" s="6">
        <f t="shared" si="10"/>
        <v>150</v>
      </c>
      <c r="J42" s="5">
        <f t="shared" si="11"/>
        <v>500</v>
      </c>
      <c r="K42" s="3">
        <v>650</v>
      </c>
      <c r="L42" s="1">
        <v>67</v>
      </c>
      <c r="M42" s="6">
        <v>15</v>
      </c>
      <c r="N42" s="4">
        <f>环形怪物属性!F43</f>
        <v>453</v>
      </c>
      <c r="O42" s="4">
        <f>环形怪物属性!H43</f>
        <v>44</v>
      </c>
      <c r="P42" s="4">
        <f>环形怪物属性!K43</f>
        <v>9</v>
      </c>
      <c r="Q42" s="4">
        <f>环形怪物属性!N43</f>
        <v>43</v>
      </c>
      <c r="R42" s="4">
        <v>13</v>
      </c>
      <c r="S42" s="4">
        <v>15</v>
      </c>
      <c r="T42" s="1">
        <f t="shared" si="7"/>
        <v>0.18</v>
      </c>
      <c r="U42" s="6">
        <v>80071</v>
      </c>
      <c r="V42" s="1">
        <f t="shared" si="6"/>
        <v>60</v>
      </c>
      <c r="W42" s="1">
        <v>1</v>
      </c>
      <c r="X42" s="6">
        <v>1.5</v>
      </c>
      <c r="Y42" s="1">
        <v>1.8</v>
      </c>
      <c r="Z42" s="1">
        <v>50</v>
      </c>
    </row>
    <row r="43" spans="1:26">
      <c r="A43" s="1">
        <v>10040</v>
      </c>
      <c r="B43" s="7" t="s">
        <v>126</v>
      </c>
      <c r="C43" s="1" t="str">
        <f t="shared" si="8"/>
        <v>1</v>
      </c>
      <c r="D43" s="1" t="s">
        <v>78</v>
      </c>
      <c r="E43" s="1">
        <v>1</v>
      </c>
      <c r="F43" s="1" t="s">
        <v>63</v>
      </c>
      <c r="G43" s="1" t="str">
        <f t="shared" si="5"/>
        <v>monster003</v>
      </c>
      <c r="H43" s="6">
        <f t="shared" si="9"/>
        <v>1</v>
      </c>
      <c r="I43" s="6">
        <f t="shared" si="10"/>
        <v>800</v>
      </c>
      <c r="J43" s="5">
        <f t="shared" si="11"/>
        <v>800</v>
      </c>
      <c r="K43" s="3">
        <v>650</v>
      </c>
      <c r="L43" s="1">
        <v>67</v>
      </c>
      <c r="M43" s="3">
        <v>20</v>
      </c>
      <c r="N43" s="4">
        <f>环形怪物属性!F44</f>
        <v>415</v>
      </c>
      <c r="O43" s="4">
        <f>环形怪物属性!H44</f>
        <v>44</v>
      </c>
      <c r="P43" s="4">
        <f>环形怪物属性!K44</f>
        <v>8</v>
      </c>
      <c r="Q43" s="4">
        <f>环形怪物属性!N44</f>
        <v>43</v>
      </c>
      <c r="R43" s="4">
        <v>13</v>
      </c>
      <c r="S43" s="4">
        <v>10</v>
      </c>
      <c r="T43" s="1">
        <f t="shared" si="7"/>
        <v>0.18</v>
      </c>
      <c r="U43" s="6">
        <v>80071</v>
      </c>
      <c r="V43" s="1">
        <f t="shared" si="6"/>
        <v>60</v>
      </c>
      <c r="W43" s="1">
        <v>1</v>
      </c>
      <c r="X43" s="6">
        <v>1.5</v>
      </c>
      <c r="Y43" s="1">
        <v>1.8</v>
      </c>
      <c r="Z43" s="1">
        <v>50</v>
      </c>
    </row>
    <row r="44" spans="1:26">
      <c r="A44" s="1">
        <v>10041</v>
      </c>
      <c r="B44" s="7" t="s">
        <v>127</v>
      </c>
      <c r="C44" s="1" t="str">
        <f t="shared" si="8"/>
        <v>1</v>
      </c>
      <c r="D44" s="1" t="s">
        <v>84</v>
      </c>
      <c r="E44" s="1">
        <v>1</v>
      </c>
      <c r="F44" s="1" t="s">
        <v>66</v>
      </c>
      <c r="G44" s="1" t="str">
        <f t="shared" si="5"/>
        <v>monster004</v>
      </c>
      <c r="H44" s="6">
        <f t="shared" si="9"/>
        <v>2</v>
      </c>
      <c r="I44" s="6">
        <f t="shared" si="10"/>
        <v>150</v>
      </c>
      <c r="J44" s="5">
        <f t="shared" si="11"/>
        <v>500</v>
      </c>
      <c r="K44" s="3">
        <v>650</v>
      </c>
      <c r="L44" s="1">
        <v>67</v>
      </c>
      <c r="M44" s="6">
        <v>15</v>
      </c>
      <c r="N44" s="4">
        <f>环形怪物属性!F45</f>
        <v>453</v>
      </c>
      <c r="O44" s="4">
        <f>环形怪物属性!H45</f>
        <v>43</v>
      </c>
      <c r="P44" s="4">
        <f>环形怪物属性!K45</f>
        <v>9</v>
      </c>
      <c r="Q44" s="4">
        <f>环形怪物属性!N45</f>
        <v>43</v>
      </c>
      <c r="R44" s="4">
        <v>13</v>
      </c>
      <c r="S44" s="4">
        <v>10</v>
      </c>
      <c r="T44" s="1">
        <f t="shared" si="7"/>
        <v>0.18</v>
      </c>
      <c r="U44" s="6">
        <v>80071</v>
      </c>
      <c r="V44" s="1">
        <f t="shared" si="6"/>
        <v>70</v>
      </c>
      <c r="W44" s="1">
        <v>1</v>
      </c>
      <c r="X44" s="6">
        <v>1.5</v>
      </c>
      <c r="Y44" s="1">
        <v>1.8</v>
      </c>
      <c r="Z44" s="1">
        <v>50</v>
      </c>
    </row>
    <row r="45" spans="1:26">
      <c r="A45" s="1">
        <v>10042</v>
      </c>
      <c r="B45" s="7" t="s">
        <v>128</v>
      </c>
      <c r="C45" s="1" t="str">
        <f t="shared" si="8"/>
        <v>1</v>
      </c>
      <c r="D45" s="1" t="s">
        <v>84</v>
      </c>
      <c r="E45" s="1">
        <v>1</v>
      </c>
      <c r="F45" s="1" t="s">
        <v>69</v>
      </c>
      <c r="G45" s="1" t="str">
        <f t="shared" si="5"/>
        <v>monster005</v>
      </c>
      <c r="H45" s="6">
        <f t="shared" si="9"/>
        <v>2</v>
      </c>
      <c r="I45" s="6">
        <f t="shared" si="10"/>
        <v>150</v>
      </c>
      <c r="J45" s="5">
        <f t="shared" si="11"/>
        <v>500</v>
      </c>
      <c r="K45" s="3">
        <v>650</v>
      </c>
      <c r="L45" s="1">
        <v>67</v>
      </c>
      <c r="M45" s="6">
        <v>15</v>
      </c>
      <c r="N45" s="4">
        <f>环形怪物属性!F46</f>
        <v>442</v>
      </c>
      <c r="O45" s="4">
        <f>环形怪物属性!H46</f>
        <v>43</v>
      </c>
      <c r="P45" s="4">
        <f>环形怪物属性!K46</f>
        <v>9</v>
      </c>
      <c r="Q45" s="4">
        <f>环形怪物属性!N46</f>
        <v>43</v>
      </c>
      <c r="R45" s="4">
        <v>13</v>
      </c>
      <c r="S45" s="4">
        <v>10</v>
      </c>
      <c r="T45" s="1">
        <f t="shared" si="7"/>
        <v>0.18</v>
      </c>
      <c r="U45" s="6">
        <v>80071</v>
      </c>
      <c r="V45" s="1">
        <f t="shared" si="6"/>
        <v>70</v>
      </c>
      <c r="W45" s="1">
        <v>1</v>
      </c>
      <c r="X45" s="6">
        <v>1.5</v>
      </c>
      <c r="Y45" s="1">
        <v>1.8</v>
      </c>
      <c r="Z45" s="1">
        <v>50</v>
      </c>
    </row>
    <row r="46" spans="1:26">
      <c r="A46" s="1">
        <v>10043</v>
      </c>
      <c r="B46" s="7" t="s">
        <v>129</v>
      </c>
      <c r="C46" s="1" t="str">
        <f t="shared" si="8"/>
        <v>1</v>
      </c>
      <c r="D46" s="1" t="s">
        <v>84</v>
      </c>
      <c r="E46" s="1">
        <v>1</v>
      </c>
      <c r="F46" s="1" t="s">
        <v>72</v>
      </c>
      <c r="G46" s="1" t="str">
        <f t="shared" si="5"/>
        <v>monster006</v>
      </c>
      <c r="H46" s="6">
        <f t="shared" si="9"/>
        <v>2</v>
      </c>
      <c r="I46" s="6">
        <f t="shared" si="10"/>
        <v>150</v>
      </c>
      <c r="J46" s="5">
        <f t="shared" si="11"/>
        <v>500</v>
      </c>
      <c r="K46" s="3">
        <v>650</v>
      </c>
      <c r="L46" s="1">
        <v>67</v>
      </c>
      <c r="M46" s="6">
        <v>15</v>
      </c>
      <c r="N46" s="4">
        <f>环形怪物属性!F47</f>
        <v>445</v>
      </c>
      <c r="O46" s="4">
        <f>环形怪物属性!H47</f>
        <v>46</v>
      </c>
      <c r="P46" s="4">
        <f>环形怪物属性!K47</f>
        <v>8</v>
      </c>
      <c r="Q46" s="4">
        <f>环形怪物属性!N47</f>
        <v>43</v>
      </c>
      <c r="R46" s="4">
        <v>13</v>
      </c>
      <c r="S46" s="4">
        <v>15</v>
      </c>
      <c r="T46" s="1">
        <f t="shared" si="7"/>
        <v>0.18</v>
      </c>
      <c r="U46" s="6">
        <v>80071</v>
      </c>
      <c r="V46" s="1">
        <f t="shared" si="6"/>
        <v>70</v>
      </c>
      <c r="W46" s="1">
        <v>1</v>
      </c>
      <c r="X46" s="6">
        <v>1.5</v>
      </c>
      <c r="Y46" s="1">
        <v>1.8</v>
      </c>
      <c r="Z46" s="1">
        <v>50</v>
      </c>
    </row>
    <row r="47" spans="1:26">
      <c r="A47" s="1">
        <v>10044</v>
      </c>
      <c r="B47" s="7" t="s">
        <v>130</v>
      </c>
      <c r="C47" s="1" t="str">
        <f t="shared" si="8"/>
        <v>1</v>
      </c>
      <c r="D47" s="1" t="s">
        <v>84</v>
      </c>
      <c r="E47" s="1">
        <v>1</v>
      </c>
      <c r="F47" s="1" t="s">
        <v>69</v>
      </c>
      <c r="G47" s="1" t="str">
        <f t="shared" si="5"/>
        <v>monster005</v>
      </c>
      <c r="H47" s="6">
        <f t="shared" si="9"/>
        <v>2</v>
      </c>
      <c r="I47" s="6">
        <f t="shared" si="10"/>
        <v>150</v>
      </c>
      <c r="J47" s="5">
        <f t="shared" si="11"/>
        <v>500</v>
      </c>
      <c r="K47" s="3">
        <v>650</v>
      </c>
      <c r="L47" s="1">
        <v>67</v>
      </c>
      <c r="M47" s="6">
        <v>15</v>
      </c>
      <c r="N47" s="4">
        <f>环形怪物属性!F48</f>
        <v>434</v>
      </c>
      <c r="O47" s="4">
        <f>环形怪物属性!H48</f>
        <v>51</v>
      </c>
      <c r="P47" s="4">
        <f>环形怪物属性!K48</f>
        <v>7</v>
      </c>
      <c r="Q47" s="4">
        <f>环形怪物属性!N48</f>
        <v>43</v>
      </c>
      <c r="R47" s="4">
        <v>13</v>
      </c>
      <c r="S47" s="4">
        <v>20</v>
      </c>
      <c r="T47" s="1">
        <f t="shared" si="7"/>
        <v>0.18</v>
      </c>
      <c r="U47" s="6">
        <v>80071</v>
      </c>
      <c r="V47" s="1">
        <f t="shared" si="6"/>
        <v>70</v>
      </c>
      <c r="W47" s="1">
        <v>1</v>
      </c>
      <c r="X47" s="6">
        <v>1.5</v>
      </c>
      <c r="Y47" s="1">
        <v>1.8</v>
      </c>
      <c r="Z47" s="1">
        <v>50</v>
      </c>
    </row>
    <row r="48" spans="1:26">
      <c r="A48" s="1">
        <v>10045</v>
      </c>
      <c r="B48" s="7" t="s">
        <v>131</v>
      </c>
      <c r="C48" s="1" t="str">
        <f t="shared" si="8"/>
        <v>1</v>
      </c>
      <c r="D48" s="1" t="s">
        <v>84</v>
      </c>
      <c r="E48" s="1">
        <v>1</v>
      </c>
      <c r="F48" s="1" t="s">
        <v>72</v>
      </c>
      <c r="G48" s="1" t="str">
        <f t="shared" si="5"/>
        <v>monster006</v>
      </c>
      <c r="H48" s="6">
        <f t="shared" si="9"/>
        <v>2</v>
      </c>
      <c r="I48" s="6">
        <f t="shared" si="10"/>
        <v>150</v>
      </c>
      <c r="J48" s="5">
        <f t="shared" si="11"/>
        <v>500</v>
      </c>
      <c r="K48" s="3">
        <v>650</v>
      </c>
      <c r="L48" s="1">
        <v>67</v>
      </c>
      <c r="M48" s="6">
        <v>15</v>
      </c>
      <c r="N48" s="4">
        <f>环形怪物属性!F49</f>
        <v>445</v>
      </c>
      <c r="O48" s="4">
        <f>环形怪物属性!H49</f>
        <v>47</v>
      </c>
      <c r="P48" s="4">
        <f>环形怪物属性!K49</f>
        <v>7</v>
      </c>
      <c r="Q48" s="4">
        <f>环形怪物属性!N49</f>
        <v>43</v>
      </c>
      <c r="R48" s="4">
        <v>13</v>
      </c>
      <c r="S48" s="4">
        <v>10</v>
      </c>
      <c r="T48" s="1">
        <f t="shared" si="7"/>
        <v>0.18</v>
      </c>
      <c r="U48" s="6">
        <v>80071</v>
      </c>
      <c r="V48" s="1">
        <f t="shared" si="6"/>
        <v>70</v>
      </c>
      <c r="W48" s="1">
        <v>1</v>
      </c>
      <c r="X48" s="6">
        <v>1.5</v>
      </c>
      <c r="Y48" s="1">
        <v>1.8</v>
      </c>
      <c r="Z48" s="1">
        <v>50</v>
      </c>
    </row>
    <row r="49" spans="1:26">
      <c r="A49" s="1">
        <v>20001</v>
      </c>
      <c r="B49" s="3" t="s">
        <v>132</v>
      </c>
      <c r="C49" s="1" t="str">
        <f t="shared" si="8"/>
        <v>2</v>
      </c>
      <c r="D49" s="1" t="s">
        <v>105</v>
      </c>
      <c r="E49" s="1">
        <v>1</v>
      </c>
      <c r="F49" s="1" t="s">
        <v>133</v>
      </c>
      <c r="G49" s="1" t="str">
        <f t="shared" ref="G40:G73" si="12">F49</f>
        <v>jymonster001</v>
      </c>
      <c r="H49" s="6">
        <f t="shared" si="9"/>
        <v>2</v>
      </c>
      <c r="I49" s="6">
        <f t="shared" si="10"/>
        <v>150</v>
      </c>
      <c r="J49" s="5">
        <f t="shared" si="11"/>
        <v>500</v>
      </c>
      <c r="K49" s="3">
        <v>700</v>
      </c>
      <c r="L49" s="11">
        <v>82</v>
      </c>
      <c r="M49" s="3">
        <v>15</v>
      </c>
      <c r="N49" s="4">
        <f>环形怪物属性!F50</f>
        <v>980</v>
      </c>
      <c r="O49" s="4">
        <f>环形怪物属性!H50</f>
        <v>52</v>
      </c>
      <c r="P49" s="4">
        <f>环形怪物属性!K50</f>
        <v>13</v>
      </c>
      <c r="Q49" s="4">
        <f>环形怪物属性!N50</f>
        <v>46</v>
      </c>
      <c r="R49" s="4">
        <v>22</v>
      </c>
      <c r="S49" s="4">
        <v>10</v>
      </c>
      <c r="T49" s="11">
        <v>0.2</v>
      </c>
      <c r="U49" s="6">
        <v>0</v>
      </c>
      <c r="V49" s="1">
        <v>60</v>
      </c>
      <c r="W49" s="1">
        <f t="shared" ref="W49:W61" si="13">_xlfn.IFS(C49="1",2,C49="2",5,C49="3",10,C49="4",20,TRUE,0)</f>
        <v>5</v>
      </c>
      <c r="X49" s="1">
        <v>1.2</v>
      </c>
      <c r="Y49" s="1">
        <v>1.8</v>
      </c>
      <c r="Z49" s="1">
        <v>50</v>
      </c>
    </row>
    <row r="50" spans="1:26">
      <c r="A50" s="1">
        <v>20002</v>
      </c>
      <c r="B50" s="3" t="s">
        <v>134</v>
      </c>
      <c r="C50" s="1" t="str">
        <f t="shared" si="8"/>
        <v>2</v>
      </c>
      <c r="D50" s="1" t="s">
        <v>56</v>
      </c>
      <c r="E50" s="1">
        <v>1</v>
      </c>
      <c r="F50" s="1" t="s">
        <v>135</v>
      </c>
      <c r="G50" s="1" t="str">
        <f t="shared" si="12"/>
        <v>jymonster002</v>
      </c>
      <c r="H50" s="6">
        <f t="shared" si="9"/>
        <v>2</v>
      </c>
      <c r="I50" s="6">
        <f t="shared" si="10"/>
        <v>150</v>
      </c>
      <c r="J50" s="5">
        <f t="shared" si="11"/>
        <v>500</v>
      </c>
      <c r="K50" s="3">
        <v>650</v>
      </c>
      <c r="L50" s="1">
        <v>82</v>
      </c>
      <c r="M50" s="3">
        <v>15</v>
      </c>
      <c r="N50" s="4">
        <f>环形怪物属性!F51</f>
        <v>1014</v>
      </c>
      <c r="O50" s="4">
        <f>环形怪物属性!H51</f>
        <v>44</v>
      </c>
      <c r="P50" s="4">
        <f>环形怪物属性!K51</f>
        <v>14</v>
      </c>
      <c r="Q50" s="4">
        <f>环形怪物属性!N51</f>
        <v>38</v>
      </c>
      <c r="R50" s="4">
        <v>25</v>
      </c>
      <c r="S50" s="4">
        <v>10</v>
      </c>
      <c r="T50" s="1">
        <f>T49</f>
        <v>0.2</v>
      </c>
      <c r="U50" s="6">
        <v>80021</v>
      </c>
      <c r="V50" s="1">
        <v>60</v>
      </c>
      <c r="W50" s="1">
        <f t="shared" si="13"/>
        <v>5</v>
      </c>
      <c r="X50" s="1">
        <v>1.2</v>
      </c>
      <c r="Y50" s="1">
        <v>1.8</v>
      </c>
      <c r="Z50" s="1">
        <v>50</v>
      </c>
    </row>
    <row r="51" spans="1:26">
      <c r="A51" s="1">
        <v>20003</v>
      </c>
      <c r="B51" s="1" t="s">
        <v>136</v>
      </c>
      <c r="C51" s="1" t="str">
        <f t="shared" si="8"/>
        <v>2</v>
      </c>
      <c r="D51" s="1" t="s">
        <v>105</v>
      </c>
      <c r="E51" s="1">
        <v>1</v>
      </c>
      <c r="F51" s="1" t="s">
        <v>137</v>
      </c>
      <c r="G51" s="1" t="str">
        <f t="shared" si="12"/>
        <v>jymonster003</v>
      </c>
      <c r="H51" s="6">
        <f t="shared" si="9"/>
        <v>2</v>
      </c>
      <c r="I51" s="6">
        <f t="shared" si="10"/>
        <v>150</v>
      </c>
      <c r="J51" s="5">
        <f t="shared" si="11"/>
        <v>500</v>
      </c>
      <c r="K51" s="3">
        <v>700</v>
      </c>
      <c r="L51" s="1">
        <v>82</v>
      </c>
      <c r="M51" s="3">
        <v>15</v>
      </c>
      <c r="N51" s="4">
        <f>环形怪物属性!F52</f>
        <v>1048</v>
      </c>
      <c r="O51" s="4">
        <f>环形怪物属性!H52</f>
        <v>52</v>
      </c>
      <c r="P51" s="4">
        <f>环形怪物属性!K52</f>
        <v>14</v>
      </c>
      <c r="Q51" s="4">
        <f>环形怪物属性!N52</f>
        <v>47</v>
      </c>
      <c r="R51" s="4">
        <v>23.5</v>
      </c>
      <c r="S51" s="4">
        <v>10</v>
      </c>
      <c r="T51" s="1">
        <f>T50</f>
        <v>0.2</v>
      </c>
      <c r="U51" s="6">
        <v>0</v>
      </c>
      <c r="V51" s="1">
        <v>60</v>
      </c>
      <c r="W51" s="1">
        <f t="shared" si="13"/>
        <v>5</v>
      </c>
      <c r="X51" s="1">
        <v>1.2</v>
      </c>
      <c r="Y51" s="1">
        <v>1.8</v>
      </c>
      <c r="Z51" s="1">
        <v>50</v>
      </c>
    </row>
    <row r="52" spans="1:26">
      <c r="A52" s="1">
        <v>20004</v>
      </c>
      <c r="B52" s="1" t="s">
        <v>138</v>
      </c>
      <c r="C52" s="1" t="str">
        <f t="shared" ref="C52:C83" si="14">LEFT(A52,1)</f>
        <v>2</v>
      </c>
      <c r="D52" s="1" t="s">
        <v>56</v>
      </c>
      <c r="E52" s="1">
        <v>1</v>
      </c>
      <c r="F52" s="1" t="s">
        <v>139</v>
      </c>
      <c r="G52" s="1" t="str">
        <f t="shared" si="12"/>
        <v>jymonster004</v>
      </c>
      <c r="H52" s="6">
        <f t="shared" si="9"/>
        <v>2</v>
      </c>
      <c r="I52" s="6">
        <f t="shared" si="10"/>
        <v>150</v>
      </c>
      <c r="J52" s="5">
        <f t="shared" si="11"/>
        <v>500</v>
      </c>
      <c r="K52" s="3">
        <v>650</v>
      </c>
      <c r="L52" s="1">
        <v>82</v>
      </c>
      <c r="M52" s="3">
        <v>15</v>
      </c>
      <c r="N52" s="4">
        <f>环形怪物属性!F53</f>
        <v>1082</v>
      </c>
      <c r="O52" s="4">
        <f>环形怪物属性!H53</f>
        <v>54</v>
      </c>
      <c r="P52" s="4">
        <f>环形怪物属性!K53</f>
        <v>14</v>
      </c>
      <c r="Q52" s="4">
        <f>环形怪物属性!N53</f>
        <v>47</v>
      </c>
      <c r="R52" s="4">
        <v>23.5</v>
      </c>
      <c r="S52" s="4">
        <v>10</v>
      </c>
      <c r="T52" s="1">
        <f>T51</f>
        <v>0.2</v>
      </c>
      <c r="U52" s="6">
        <v>0</v>
      </c>
      <c r="V52" s="1">
        <v>60</v>
      </c>
      <c r="W52" s="1">
        <f t="shared" si="13"/>
        <v>5</v>
      </c>
      <c r="X52" s="1">
        <v>1.2</v>
      </c>
      <c r="Y52" s="1">
        <v>1.8</v>
      </c>
      <c r="Z52" s="1">
        <v>50</v>
      </c>
    </row>
    <row r="53" spans="1:26">
      <c r="A53" s="1">
        <v>20005</v>
      </c>
      <c r="B53" s="6" t="s">
        <v>140</v>
      </c>
      <c r="C53" s="1" t="str">
        <f t="shared" si="14"/>
        <v>2</v>
      </c>
      <c r="D53" s="1" t="s">
        <v>84</v>
      </c>
      <c r="E53" s="1">
        <v>1</v>
      </c>
      <c r="F53" s="6" t="s">
        <v>141</v>
      </c>
      <c r="G53" s="1" t="str">
        <f t="shared" si="12"/>
        <v>bubing01_Lv2</v>
      </c>
      <c r="H53" s="6">
        <f t="shared" si="9"/>
        <v>2</v>
      </c>
      <c r="I53" s="6">
        <f t="shared" si="10"/>
        <v>150</v>
      </c>
      <c r="J53" s="5">
        <f t="shared" si="11"/>
        <v>500</v>
      </c>
      <c r="K53" s="3">
        <v>650</v>
      </c>
      <c r="L53" s="11">
        <v>90</v>
      </c>
      <c r="M53" s="3">
        <v>15</v>
      </c>
      <c r="N53" s="4">
        <f>环形怪物属性!F54</f>
        <v>1116</v>
      </c>
      <c r="O53" s="4">
        <f>环形怪物属性!H54</f>
        <v>50</v>
      </c>
      <c r="P53" s="4">
        <f>环形怪物属性!K54</f>
        <v>15</v>
      </c>
      <c r="Q53" s="4">
        <f>环形怪物属性!N54</f>
        <v>29</v>
      </c>
      <c r="R53" s="4">
        <v>22</v>
      </c>
      <c r="S53" s="4">
        <v>15</v>
      </c>
      <c r="T53" s="11">
        <v>0.23</v>
      </c>
      <c r="U53" s="6">
        <v>80071</v>
      </c>
      <c r="V53" s="1">
        <v>80</v>
      </c>
      <c r="W53" s="1">
        <f t="shared" si="13"/>
        <v>5</v>
      </c>
      <c r="X53" s="1">
        <v>1.2</v>
      </c>
      <c r="Y53" s="1">
        <v>1.8</v>
      </c>
      <c r="Z53" s="1">
        <v>50</v>
      </c>
    </row>
    <row r="54" spans="1:26">
      <c r="A54" s="1">
        <v>20006</v>
      </c>
      <c r="B54" s="6" t="s">
        <v>142</v>
      </c>
      <c r="C54" s="1" t="str">
        <f t="shared" si="14"/>
        <v>2</v>
      </c>
      <c r="D54" s="1" t="s">
        <v>84</v>
      </c>
      <c r="E54" s="1">
        <v>1</v>
      </c>
      <c r="F54" s="6" t="s">
        <v>143</v>
      </c>
      <c r="G54" s="1" t="str">
        <f t="shared" si="12"/>
        <v>bubing02_Lv2</v>
      </c>
      <c r="H54" s="6">
        <f t="shared" si="9"/>
        <v>2</v>
      </c>
      <c r="I54" s="6">
        <f t="shared" si="10"/>
        <v>150</v>
      </c>
      <c r="J54" s="5">
        <f t="shared" si="11"/>
        <v>500</v>
      </c>
      <c r="K54" s="3">
        <v>650</v>
      </c>
      <c r="L54" s="1">
        <v>90</v>
      </c>
      <c r="M54" s="3">
        <v>15</v>
      </c>
      <c r="N54" s="4">
        <f>环形怪物属性!F55</f>
        <v>1150</v>
      </c>
      <c r="O54" s="4">
        <f>环形怪物属性!H55</f>
        <v>46</v>
      </c>
      <c r="P54" s="4">
        <f>环形怪物属性!K55</f>
        <v>16</v>
      </c>
      <c r="Q54" s="4">
        <f>环形怪物属性!N55</f>
        <v>29</v>
      </c>
      <c r="R54" s="4">
        <v>22</v>
      </c>
      <c r="S54" s="4">
        <v>15</v>
      </c>
      <c r="T54" s="1">
        <f>T53</f>
        <v>0.23</v>
      </c>
      <c r="U54" s="6">
        <v>80071</v>
      </c>
      <c r="V54" s="1">
        <v>80</v>
      </c>
      <c r="W54" s="1">
        <f t="shared" si="13"/>
        <v>5</v>
      </c>
      <c r="X54" s="1">
        <v>1.2</v>
      </c>
      <c r="Y54" s="1">
        <v>1.8</v>
      </c>
      <c r="Z54" s="1">
        <v>50</v>
      </c>
    </row>
    <row r="55" spans="1:26">
      <c r="A55" s="1">
        <v>20007</v>
      </c>
      <c r="B55" s="7" t="s">
        <v>144</v>
      </c>
      <c r="C55" s="1" t="str">
        <f t="shared" si="14"/>
        <v>2</v>
      </c>
      <c r="D55" s="1" t="s">
        <v>91</v>
      </c>
      <c r="E55" s="1">
        <v>1</v>
      </c>
      <c r="F55" s="7" t="s">
        <v>145</v>
      </c>
      <c r="G55" s="1" t="str">
        <f t="shared" si="12"/>
        <v>qibing01_Lv2</v>
      </c>
      <c r="H55" s="6">
        <f t="shared" si="9"/>
        <v>2</v>
      </c>
      <c r="I55" s="6">
        <f t="shared" si="10"/>
        <v>150</v>
      </c>
      <c r="J55" s="5">
        <f t="shared" si="11"/>
        <v>500</v>
      </c>
      <c r="K55" s="3">
        <v>800</v>
      </c>
      <c r="L55" s="1">
        <v>90</v>
      </c>
      <c r="M55" s="3">
        <v>15</v>
      </c>
      <c r="N55" s="4">
        <f>环形怪物属性!F56</f>
        <v>1184</v>
      </c>
      <c r="O55" s="4">
        <f>环形怪物属性!H56</f>
        <v>52</v>
      </c>
      <c r="P55" s="4">
        <f>环形怪物属性!K56</f>
        <v>14</v>
      </c>
      <c r="Q55" s="4">
        <f>环形怪物属性!N56</f>
        <v>29</v>
      </c>
      <c r="R55" s="4">
        <v>22</v>
      </c>
      <c r="S55" s="4">
        <v>15</v>
      </c>
      <c r="T55" s="1">
        <f t="shared" ref="T55:T73" si="15">T54</f>
        <v>0.23</v>
      </c>
      <c r="U55" s="6">
        <v>80071</v>
      </c>
      <c r="V55" s="1">
        <v>80</v>
      </c>
      <c r="W55" s="1">
        <f t="shared" si="13"/>
        <v>5</v>
      </c>
      <c r="X55" s="1">
        <v>1.2</v>
      </c>
      <c r="Y55" s="1">
        <v>1.8</v>
      </c>
      <c r="Z55" s="1">
        <v>50</v>
      </c>
    </row>
    <row r="56" spans="1:26">
      <c r="A56" s="1">
        <v>20008</v>
      </c>
      <c r="B56" s="7" t="s">
        <v>146</v>
      </c>
      <c r="C56" s="1" t="str">
        <f t="shared" si="14"/>
        <v>2</v>
      </c>
      <c r="D56" s="1" t="s">
        <v>81</v>
      </c>
      <c r="E56" s="1">
        <v>1</v>
      </c>
      <c r="F56" s="7" t="s">
        <v>147</v>
      </c>
      <c r="G56" s="1" t="str">
        <f t="shared" si="12"/>
        <v>gongbing01_Lv2</v>
      </c>
      <c r="H56" s="6">
        <f t="shared" si="9"/>
        <v>1</v>
      </c>
      <c r="I56" s="6">
        <f t="shared" si="10"/>
        <v>800</v>
      </c>
      <c r="J56" s="5">
        <f t="shared" si="11"/>
        <v>800</v>
      </c>
      <c r="K56" s="3">
        <v>650</v>
      </c>
      <c r="L56" s="1">
        <v>90</v>
      </c>
      <c r="M56" s="3">
        <v>20</v>
      </c>
      <c r="N56" s="4">
        <f>环形怪物属性!F57</f>
        <v>1218</v>
      </c>
      <c r="O56" s="4">
        <f>环形怪物属性!H57</f>
        <v>38</v>
      </c>
      <c r="P56" s="4">
        <f>环形怪物属性!K57</f>
        <v>13</v>
      </c>
      <c r="Q56" s="4">
        <f>环形怪物属性!N57</f>
        <v>33</v>
      </c>
      <c r="R56" s="4">
        <v>22</v>
      </c>
      <c r="S56" s="4">
        <v>15</v>
      </c>
      <c r="T56" s="1">
        <f t="shared" si="15"/>
        <v>0.23</v>
      </c>
      <c r="U56" s="6" t="s">
        <v>148</v>
      </c>
      <c r="V56" s="1">
        <v>80</v>
      </c>
      <c r="W56" s="1">
        <f t="shared" si="13"/>
        <v>5</v>
      </c>
      <c r="X56" s="1">
        <v>1.2</v>
      </c>
      <c r="Y56" s="1">
        <v>1.8</v>
      </c>
      <c r="Z56" s="1">
        <v>50</v>
      </c>
    </row>
    <row r="57" spans="1:26">
      <c r="A57" s="1">
        <v>20009</v>
      </c>
      <c r="B57" s="7" t="s">
        <v>149</v>
      </c>
      <c r="C57" s="1" t="str">
        <f t="shared" si="14"/>
        <v>2</v>
      </c>
      <c r="D57" s="7" t="s">
        <v>96</v>
      </c>
      <c r="E57" s="1">
        <v>1</v>
      </c>
      <c r="F57" s="7" t="s">
        <v>150</v>
      </c>
      <c r="G57" s="1" t="str">
        <f t="shared" si="12"/>
        <v>feibing01_Lv2</v>
      </c>
      <c r="H57" s="6">
        <f t="shared" si="9"/>
        <v>1</v>
      </c>
      <c r="I57" s="6">
        <f t="shared" si="10"/>
        <v>150</v>
      </c>
      <c r="J57" s="5">
        <f t="shared" si="11"/>
        <v>500</v>
      </c>
      <c r="K57" s="3">
        <v>800</v>
      </c>
      <c r="L57" s="1">
        <v>90</v>
      </c>
      <c r="M57" s="3">
        <v>15</v>
      </c>
      <c r="N57" s="4">
        <f>环形怪物属性!F58</f>
        <v>1252</v>
      </c>
      <c r="O57" s="4">
        <f>环形怪物属性!H58</f>
        <v>50</v>
      </c>
      <c r="P57" s="4">
        <f>环形怪物属性!K58</f>
        <v>14</v>
      </c>
      <c r="Q57" s="4">
        <f>环形怪物属性!N58</f>
        <v>35</v>
      </c>
      <c r="R57" s="4">
        <v>23.5</v>
      </c>
      <c r="S57" s="4">
        <v>15</v>
      </c>
      <c r="T57" s="1">
        <f t="shared" si="15"/>
        <v>0.23</v>
      </c>
      <c r="U57" s="6">
        <v>80071</v>
      </c>
      <c r="V57" s="1">
        <v>80</v>
      </c>
      <c r="W57" s="1">
        <f t="shared" si="13"/>
        <v>5</v>
      </c>
      <c r="X57" s="1">
        <v>1.2</v>
      </c>
      <c r="Y57" s="1">
        <v>1.8</v>
      </c>
      <c r="Z57" s="1">
        <v>50</v>
      </c>
    </row>
    <row r="58" spans="1:26">
      <c r="A58" s="1">
        <v>20010</v>
      </c>
      <c r="B58" s="7" t="s">
        <v>151</v>
      </c>
      <c r="C58" s="1" t="str">
        <f t="shared" si="14"/>
        <v>2</v>
      </c>
      <c r="D58" s="7" t="s">
        <v>78</v>
      </c>
      <c r="E58" s="1">
        <v>1</v>
      </c>
      <c r="F58" s="7" t="s">
        <v>152</v>
      </c>
      <c r="G58" s="1" t="str">
        <f t="shared" si="12"/>
        <v>fashi01_Lv2</v>
      </c>
      <c r="H58" s="6">
        <f t="shared" si="9"/>
        <v>1</v>
      </c>
      <c r="I58" s="6">
        <f t="shared" si="10"/>
        <v>800</v>
      </c>
      <c r="J58" s="5">
        <f t="shared" si="11"/>
        <v>800</v>
      </c>
      <c r="K58" s="3">
        <v>650</v>
      </c>
      <c r="L58" s="1">
        <v>90</v>
      </c>
      <c r="M58" s="3">
        <v>20</v>
      </c>
      <c r="N58" s="4">
        <f>环形怪物属性!F59</f>
        <v>1286</v>
      </c>
      <c r="O58" s="4">
        <f>环形怪物属性!H59</f>
        <v>36</v>
      </c>
      <c r="P58" s="4">
        <f>环形怪物属性!K59</f>
        <v>13</v>
      </c>
      <c r="Q58" s="4">
        <f>环形怪物属性!N59</f>
        <v>42</v>
      </c>
      <c r="R58" s="4">
        <v>27</v>
      </c>
      <c r="S58" s="4">
        <v>15</v>
      </c>
      <c r="T58" s="1">
        <f t="shared" si="15"/>
        <v>0.23</v>
      </c>
      <c r="U58" s="6" t="s">
        <v>148</v>
      </c>
      <c r="V58" s="1">
        <v>80</v>
      </c>
      <c r="W58" s="1">
        <f t="shared" si="13"/>
        <v>5</v>
      </c>
      <c r="X58" s="1">
        <v>1.2</v>
      </c>
      <c r="Y58" s="1">
        <v>1.8</v>
      </c>
      <c r="Z58" s="1">
        <v>50</v>
      </c>
    </row>
    <row r="59" spans="1:26">
      <c r="A59" s="1">
        <v>20011</v>
      </c>
      <c r="B59" s="7" t="s">
        <v>153</v>
      </c>
      <c r="C59" s="1" t="str">
        <f t="shared" si="14"/>
        <v>2</v>
      </c>
      <c r="D59" s="7" t="s">
        <v>74</v>
      </c>
      <c r="E59" s="1">
        <v>1</v>
      </c>
      <c r="F59" s="7" t="s">
        <v>154</v>
      </c>
      <c r="G59" s="1" t="str">
        <f t="shared" si="12"/>
        <v>mushi01_Lv2</v>
      </c>
      <c r="H59" s="6">
        <f t="shared" si="9"/>
        <v>1</v>
      </c>
      <c r="I59" s="6">
        <f t="shared" si="10"/>
        <v>800</v>
      </c>
      <c r="J59" s="5">
        <f t="shared" si="11"/>
        <v>800</v>
      </c>
      <c r="K59" s="3">
        <v>650</v>
      </c>
      <c r="L59" s="1">
        <v>90</v>
      </c>
      <c r="M59" s="3">
        <v>20</v>
      </c>
      <c r="N59" s="4">
        <f>环形怪物属性!F60</f>
        <v>1320</v>
      </c>
      <c r="O59" s="4">
        <f>环形怪物属性!H60</f>
        <v>36</v>
      </c>
      <c r="P59" s="4">
        <f>环形怪物属性!K60</f>
        <v>13</v>
      </c>
      <c r="Q59" s="4">
        <f>环形怪物属性!N60</f>
        <v>38</v>
      </c>
      <c r="R59" s="4">
        <v>25</v>
      </c>
      <c r="S59" s="4">
        <v>15</v>
      </c>
      <c r="T59" s="1">
        <f t="shared" si="15"/>
        <v>0.23</v>
      </c>
      <c r="U59" s="6" t="s">
        <v>148</v>
      </c>
      <c r="V59" s="1">
        <v>80</v>
      </c>
      <c r="W59" s="1">
        <f t="shared" si="13"/>
        <v>5</v>
      </c>
      <c r="X59" s="1">
        <v>1.2</v>
      </c>
      <c r="Y59" s="1">
        <v>1.8</v>
      </c>
      <c r="Z59" s="1">
        <v>50</v>
      </c>
    </row>
    <row r="60" spans="1:26">
      <c r="A60" s="1">
        <v>20012</v>
      </c>
      <c r="B60" s="7" t="s">
        <v>155</v>
      </c>
      <c r="C60" s="1" t="str">
        <f t="shared" si="14"/>
        <v>2</v>
      </c>
      <c r="D60" s="7" t="s">
        <v>56</v>
      </c>
      <c r="E60" s="1">
        <v>1</v>
      </c>
      <c r="F60" s="7" t="s">
        <v>156</v>
      </c>
      <c r="G60" s="1" t="str">
        <f t="shared" si="12"/>
        <v>moshou01_Lv2</v>
      </c>
      <c r="H60" s="6">
        <f t="shared" si="9"/>
        <v>2</v>
      </c>
      <c r="I60" s="6">
        <f t="shared" si="10"/>
        <v>150</v>
      </c>
      <c r="J60" s="5">
        <f t="shared" si="11"/>
        <v>500</v>
      </c>
      <c r="K60" s="3">
        <v>650</v>
      </c>
      <c r="L60" s="1">
        <v>90</v>
      </c>
      <c r="M60" s="3">
        <v>15</v>
      </c>
      <c r="N60" s="4">
        <f>环形怪物属性!F61</f>
        <v>1354</v>
      </c>
      <c r="O60" s="4">
        <f>环形怪物属性!H61</f>
        <v>50</v>
      </c>
      <c r="P60" s="4">
        <f>环形怪物属性!K61</f>
        <v>14</v>
      </c>
      <c r="Q60" s="4">
        <f>环形怪物属性!N61</f>
        <v>24</v>
      </c>
      <c r="R60" s="4">
        <v>20</v>
      </c>
      <c r="S60" s="4">
        <v>15</v>
      </c>
      <c r="T60" s="1">
        <f t="shared" si="15"/>
        <v>0.23</v>
      </c>
      <c r="U60" s="6">
        <v>80071</v>
      </c>
      <c r="V60" s="1">
        <v>80</v>
      </c>
      <c r="W60" s="1">
        <f t="shared" si="13"/>
        <v>5</v>
      </c>
      <c r="X60" s="1">
        <v>1.2</v>
      </c>
      <c r="Y60" s="1">
        <v>1.8</v>
      </c>
      <c r="Z60" s="1">
        <v>50</v>
      </c>
    </row>
    <row r="61" spans="1:26">
      <c r="A61" s="1">
        <v>20013</v>
      </c>
      <c r="B61" s="7" t="s">
        <v>157</v>
      </c>
      <c r="C61" s="1" t="str">
        <f t="shared" si="14"/>
        <v>2</v>
      </c>
      <c r="D61" s="7" t="s">
        <v>105</v>
      </c>
      <c r="E61" s="1">
        <v>1</v>
      </c>
      <c r="F61" s="7" t="s">
        <v>158</v>
      </c>
      <c r="G61" s="1" t="str">
        <f t="shared" si="12"/>
        <v>yeshou01_lv2</v>
      </c>
      <c r="H61" s="6">
        <f t="shared" si="9"/>
        <v>2</v>
      </c>
      <c r="I61" s="6">
        <f t="shared" si="10"/>
        <v>150</v>
      </c>
      <c r="J61" s="5">
        <f t="shared" si="11"/>
        <v>500</v>
      </c>
      <c r="K61" s="3">
        <v>650</v>
      </c>
      <c r="L61" s="1">
        <v>90</v>
      </c>
      <c r="M61" s="3">
        <v>15</v>
      </c>
      <c r="N61" s="4">
        <f>环形怪物属性!F62</f>
        <v>1388</v>
      </c>
      <c r="O61" s="4">
        <f>环形怪物属性!H62</f>
        <v>54</v>
      </c>
      <c r="P61" s="4">
        <f>环形怪物属性!K62</f>
        <v>13</v>
      </c>
      <c r="Q61" s="4">
        <f>环形怪物属性!N62</f>
        <v>24</v>
      </c>
      <c r="R61" s="4">
        <v>20</v>
      </c>
      <c r="S61" s="4">
        <v>15</v>
      </c>
      <c r="T61" s="1">
        <f t="shared" si="15"/>
        <v>0.23</v>
      </c>
      <c r="U61" s="6">
        <v>80071</v>
      </c>
      <c r="V61" s="1">
        <v>80</v>
      </c>
      <c r="W61" s="1">
        <f t="shared" si="13"/>
        <v>5</v>
      </c>
      <c r="X61" s="1">
        <v>1.2</v>
      </c>
      <c r="Y61" s="1">
        <v>1.8</v>
      </c>
      <c r="Z61" s="1">
        <v>50</v>
      </c>
    </row>
    <row r="62" spans="1:26">
      <c r="A62" s="1">
        <v>20014</v>
      </c>
      <c r="B62" s="7" t="s">
        <v>159</v>
      </c>
      <c r="C62" s="1" t="str">
        <f t="shared" si="14"/>
        <v>2</v>
      </c>
      <c r="D62" s="1" t="s">
        <v>84</v>
      </c>
      <c r="E62" s="1">
        <v>1</v>
      </c>
      <c r="F62" s="1" t="s">
        <v>133</v>
      </c>
      <c r="G62" s="1" t="str">
        <f t="shared" si="12"/>
        <v>jymonster001</v>
      </c>
      <c r="H62" s="6">
        <f t="shared" ref="H62:H73" si="16">_xlfn.IFS(OR(D62="1",D62="2",D62="7",D62="8"),2,OR(D62="3",D62="4",D62="5",D62="6"),1)</f>
        <v>2</v>
      </c>
      <c r="I62" s="6">
        <f t="shared" si="10"/>
        <v>150</v>
      </c>
      <c r="J62" s="5">
        <f t="shared" si="11"/>
        <v>500</v>
      </c>
      <c r="K62" s="3">
        <v>650</v>
      </c>
      <c r="L62" s="1">
        <v>90</v>
      </c>
      <c r="M62" s="3">
        <v>15</v>
      </c>
      <c r="N62" s="4">
        <f>环形怪物属性!F63</f>
        <v>1422</v>
      </c>
      <c r="O62" s="4">
        <f>环形怪物属性!H63</f>
        <v>44</v>
      </c>
      <c r="P62" s="4">
        <f>环形怪物属性!K63</f>
        <v>13</v>
      </c>
      <c r="Q62" s="4">
        <f>环形怪物属性!N63</f>
        <v>24</v>
      </c>
      <c r="R62" s="4">
        <v>20</v>
      </c>
      <c r="S62" s="4">
        <v>15</v>
      </c>
      <c r="T62" s="1">
        <f t="shared" si="15"/>
        <v>0.23</v>
      </c>
      <c r="U62" s="6">
        <v>80071</v>
      </c>
      <c r="V62" s="1">
        <v>80</v>
      </c>
      <c r="W62" s="1">
        <f t="shared" ref="W62:W73" si="17">_xlfn.IFS(C62="1",2,C62="2",5,C62="3",10,C62="4",20,TRUE,0)</f>
        <v>5</v>
      </c>
      <c r="X62" s="1">
        <v>1.2</v>
      </c>
      <c r="Y62" s="1">
        <v>1.8</v>
      </c>
      <c r="Z62" s="1">
        <v>50</v>
      </c>
    </row>
    <row r="63" spans="1:26">
      <c r="A63" s="1">
        <v>20015</v>
      </c>
      <c r="B63" s="7" t="s">
        <v>160</v>
      </c>
      <c r="C63" s="1" t="str">
        <f t="shared" si="14"/>
        <v>2</v>
      </c>
      <c r="D63" s="1" t="s">
        <v>84</v>
      </c>
      <c r="E63" s="1">
        <v>1</v>
      </c>
      <c r="F63" s="1" t="s">
        <v>135</v>
      </c>
      <c r="G63" s="1" t="str">
        <f t="shared" si="12"/>
        <v>jymonster002</v>
      </c>
      <c r="H63" s="6">
        <f t="shared" si="16"/>
        <v>2</v>
      </c>
      <c r="I63" s="6">
        <f t="shared" si="10"/>
        <v>150</v>
      </c>
      <c r="J63" s="5">
        <f t="shared" si="11"/>
        <v>500</v>
      </c>
      <c r="K63" s="3">
        <v>650</v>
      </c>
      <c r="L63" s="1">
        <v>90</v>
      </c>
      <c r="M63" s="3">
        <v>15</v>
      </c>
      <c r="N63" s="4">
        <f>环形怪物属性!F64</f>
        <v>1456</v>
      </c>
      <c r="O63" s="4">
        <f>环形怪物属性!H64</f>
        <v>40</v>
      </c>
      <c r="P63" s="4">
        <f>环形怪物属性!K64</f>
        <v>13</v>
      </c>
      <c r="Q63" s="4">
        <f>环形怪物属性!N64</f>
        <v>24</v>
      </c>
      <c r="R63" s="4">
        <v>20</v>
      </c>
      <c r="S63" s="4">
        <v>15</v>
      </c>
      <c r="T63" s="1">
        <f t="shared" si="15"/>
        <v>0.23</v>
      </c>
      <c r="U63" s="6">
        <v>80071</v>
      </c>
      <c r="V63" s="1">
        <v>80</v>
      </c>
      <c r="W63" s="1">
        <f t="shared" si="17"/>
        <v>5</v>
      </c>
      <c r="X63" s="1">
        <v>1.2</v>
      </c>
      <c r="Y63" s="1">
        <v>1.8</v>
      </c>
      <c r="Z63" s="1">
        <v>50</v>
      </c>
    </row>
    <row r="64" ht="15" customHeight="1" spans="1:26">
      <c r="A64" s="1">
        <v>20016</v>
      </c>
      <c r="B64" s="7" t="s">
        <v>161</v>
      </c>
      <c r="C64" s="1" t="str">
        <f t="shared" si="14"/>
        <v>2</v>
      </c>
      <c r="D64" s="1" t="s">
        <v>81</v>
      </c>
      <c r="E64" s="1">
        <v>1</v>
      </c>
      <c r="F64" s="1" t="s">
        <v>137</v>
      </c>
      <c r="G64" s="1" t="str">
        <f t="shared" si="12"/>
        <v>jymonster003</v>
      </c>
      <c r="H64" s="6">
        <f t="shared" si="16"/>
        <v>1</v>
      </c>
      <c r="I64" s="6">
        <f t="shared" si="10"/>
        <v>800</v>
      </c>
      <c r="J64" s="5">
        <f t="shared" si="11"/>
        <v>800</v>
      </c>
      <c r="K64" s="3">
        <v>650</v>
      </c>
      <c r="L64" s="1">
        <v>90</v>
      </c>
      <c r="M64" s="3">
        <v>20</v>
      </c>
      <c r="N64" s="4">
        <f>环形怪物属性!F65</f>
        <v>1490</v>
      </c>
      <c r="O64" s="4">
        <f>环形怪物属性!H65</f>
        <v>36</v>
      </c>
      <c r="P64" s="4">
        <f>环形怪物属性!K65</f>
        <v>13</v>
      </c>
      <c r="Q64" s="4">
        <f>环形怪物属性!N65</f>
        <v>24</v>
      </c>
      <c r="R64" s="4">
        <v>20</v>
      </c>
      <c r="S64" s="4">
        <v>15</v>
      </c>
      <c r="T64" s="1">
        <f t="shared" si="15"/>
        <v>0.23</v>
      </c>
      <c r="U64" s="6">
        <v>80071</v>
      </c>
      <c r="V64" s="1">
        <v>80</v>
      </c>
      <c r="W64" s="1">
        <f t="shared" si="17"/>
        <v>5</v>
      </c>
      <c r="X64" s="1">
        <v>1.2</v>
      </c>
      <c r="Y64" s="1">
        <v>1.8</v>
      </c>
      <c r="Z64" s="1">
        <v>50</v>
      </c>
    </row>
    <row r="65" spans="1:26">
      <c r="A65" s="1">
        <v>20017</v>
      </c>
      <c r="B65" s="7" t="s">
        <v>162</v>
      </c>
      <c r="C65" s="1" t="str">
        <f t="shared" si="14"/>
        <v>2</v>
      </c>
      <c r="D65" s="1" t="s">
        <v>78</v>
      </c>
      <c r="E65" s="1">
        <v>1</v>
      </c>
      <c r="F65" s="1" t="s">
        <v>139</v>
      </c>
      <c r="G65" s="1" t="str">
        <f t="shared" si="12"/>
        <v>jymonster004</v>
      </c>
      <c r="H65" s="6">
        <f t="shared" si="16"/>
        <v>1</v>
      </c>
      <c r="I65" s="6">
        <f t="shared" si="10"/>
        <v>800</v>
      </c>
      <c r="J65" s="5">
        <f t="shared" si="11"/>
        <v>800</v>
      </c>
      <c r="K65" s="3">
        <v>650</v>
      </c>
      <c r="L65" s="1">
        <v>90</v>
      </c>
      <c r="M65" s="3">
        <v>20</v>
      </c>
      <c r="N65" s="4">
        <f>环形怪物属性!F66</f>
        <v>1524</v>
      </c>
      <c r="O65" s="4">
        <v>20</v>
      </c>
      <c r="P65" s="4">
        <f>环形怪物属性!K66</f>
        <v>13</v>
      </c>
      <c r="Q65" s="4">
        <v>36</v>
      </c>
      <c r="R65" s="4">
        <v>20</v>
      </c>
      <c r="S65" s="4">
        <v>15</v>
      </c>
      <c r="T65" s="1">
        <f t="shared" si="15"/>
        <v>0.23</v>
      </c>
      <c r="U65" s="6">
        <v>80071</v>
      </c>
      <c r="V65" s="1">
        <v>80</v>
      </c>
      <c r="W65" s="1">
        <f t="shared" si="17"/>
        <v>5</v>
      </c>
      <c r="X65" s="1">
        <v>1.2</v>
      </c>
      <c r="Y65" s="1">
        <v>1.8</v>
      </c>
      <c r="Z65" s="1">
        <v>50</v>
      </c>
    </row>
    <row r="66" spans="1:26">
      <c r="A66" s="1">
        <v>20018</v>
      </c>
      <c r="B66" s="7" t="s">
        <v>163</v>
      </c>
      <c r="C66" s="1" t="str">
        <f t="shared" si="14"/>
        <v>2</v>
      </c>
      <c r="D66" s="7" t="s">
        <v>96</v>
      </c>
      <c r="E66" s="1">
        <v>1</v>
      </c>
      <c r="F66" s="1" t="s">
        <v>133</v>
      </c>
      <c r="G66" s="1" t="str">
        <f t="shared" si="12"/>
        <v>jymonster001</v>
      </c>
      <c r="H66" s="6">
        <f t="shared" si="16"/>
        <v>1</v>
      </c>
      <c r="I66" s="6">
        <f t="shared" si="10"/>
        <v>150</v>
      </c>
      <c r="J66" s="5">
        <f t="shared" si="11"/>
        <v>500</v>
      </c>
      <c r="K66" s="3">
        <v>650</v>
      </c>
      <c r="L66" s="1">
        <v>90</v>
      </c>
      <c r="M66" s="3">
        <v>15</v>
      </c>
      <c r="N66" s="4">
        <f>环形怪物属性!F67</f>
        <v>1558</v>
      </c>
      <c r="O66" s="4">
        <f>环形怪物属性!H67</f>
        <v>48</v>
      </c>
      <c r="P66" s="4">
        <f>环形怪物属性!K67</f>
        <v>13</v>
      </c>
      <c r="Q66" s="4">
        <f>环形怪物属性!N67</f>
        <v>24</v>
      </c>
      <c r="R66" s="4">
        <v>20</v>
      </c>
      <c r="S66" s="4">
        <v>15</v>
      </c>
      <c r="T66" s="1">
        <f t="shared" si="15"/>
        <v>0.23</v>
      </c>
      <c r="U66" s="6">
        <v>80071</v>
      </c>
      <c r="V66" s="1">
        <v>80</v>
      </c>
      <c r="W66" s="1">
        <f t="shared" si="17"/>
        <v>5</v>
      </c>
      <c r="X66" s="1">
        <v>1.2</v>
      </c>
      <c r="Y66" s="1">
        <v>1.8</v>
      </c>
      <c r="Z66" s="1">
        <v>50</v>
      </c>
    </row>
    <row r="67" spans="1:26">
      <c r="A67" s="1">
        <v>20019</v>
      </c>
      <c r="B67" s="7" t="s">
        <v>164</v>
      </c>
      <c r="C67" s="1" t="str">
        <f t="shared" si="14"/>
        <v>2</v>
      </c>
      <c r="D67" s="1" t="s">
        <v>84</v>
      </c>
      <c r="E67" s="1">
        <v>1</v>
      </c>
      <c r="F67" s="1" t="s">
        <v>135</v>
      </c>
      <c r="G67" s="1" t="str">
        <f t="shared" si="12"/>
        <v>jymonster002</v>
      </c>
      <c r="H67" s="6">
        <f t="shared" si="16"/>
        <v>2</v>
      </c>
      <c r="I67" s="6">
        <f t="shared" si="10"/>
        <v>150</v>
      </c>
      <c r="J67" s="5">
        <f t="shared" si="11"/>
        <v>500</v>
      </c>
      <c r="K67" s="3">
        <v>650</v>
      </c>
      <c r="L67" s="1">
        <v>90</v>
      </c>
      <c r="M67" s="3">
        <v>15</v>
      </c>
      <c r="N67" s="4">
        <f>环形怪物属性!F68</f>
        <v>1592</v>
      </c>
      <c r="O67" s="4">
        <f>环形怪物属性!H68</f>
        <v>42</v>
      </c>
      <c r="P67" s="4">
        <f>环形怪物属性!K68</f>
        <v>13</v>
      </c>
      <c r="Q67" s="4">
        <f>环形怪物属性!N68</f>
        <v>24</v>
      </c>
      <c r="R67" s="4">
        <v>20</v>
      </c>
      <c r="S67" s="4">
        <v>15</v>
      </c>
      <c r="T67" s="1">
        <f t="shared" si="15"/>
        <v>0.23</v>
      </c>
      <c r="U67" s="6">
        <v>80071</v>
      </c>
      <c r="V67" s="1">
        <v>80</v>
      </c>
      <c r="W67" s="1">
        <f t="shared" si="17"/>
        <v>5</v>
      </c>
      <c r="X67" s="1">
        <v>1.2</v>
      </c>
      <c r="Y67" s="1">
        <v>1.8</v>
      </c>
      <c r="Z67" s="1">
        <v>50</v>
      </c>
    </row>
    <row r="68" spans="1:26">
      <c r="A68" s="1">
        <v>20020</v>
      </c>
      <c r="B68" s="7" t="s">
        <v>165</v>
      </c>
      <c r="C68" s="1" t="str">
        <f t="shared" si="14"/>
        <v>2</v>
      </c>
      <c r="D68" s="7" t="s">
        <v>96</v>
      </c>
      <c r="E68" s="1">
        <v>1</v>
      </c>
      <c r="F68" s="1" t="s">
        <v>137</v>
      </c>
      <c r="G68" s="1" t="str">
        <f t="shared" si="12"/>
        <v>jymonster003</v>
      </c>
      <c r="H68" s="6">
        <f t="shared" si="16"/>
        <v>1</v>
      </c>
      <c r="I68" s="6">
        <f t="shared" si="10"/>
        <v>150</v>
      </c>
      <c r="J68" s="5">
        <f t="shared" si="11"/>
        <v>500</v>
      </c>
      <c r="K68" s="3">
        <v>650</v>
      </c>
      <c r="L68" s="1">
        <v>90</v>
      </c>
      <c r="M68" s="3">
        <v>15</v>
      </c>
      <c r="N68" s="4">
        <f>环形怪物属性!F69</f>
        <v>1626</v>
      </c>
      <c r="O68" s="4">
        <f>环形怪物属性!H69</f>
        <v>50</v>
      </c>
      <c r="P68" s="4">
        <f>环形怪物属性!K69</f>
        <v>13</v>
      </c>
      <c r="Q68" s="4">
        <f>环形怪物属性!N69</f>
        <v>24</v>
      </c>
      <c r="R68" s="4">
        <v>20</v>
      </c>
      <c r="S68" s="4">
        <v>15</v>
      </c>
      <c r="T68" s="1">
        <f t="shared" si="15"/>
        <v>0.23</v>
      </c>
      <c r="U68" s="6">
        <v>80071</v>
      </c>
      <c r="V68" s="1">
        <v>80</v>
      </c>
      <c r="W68" s="1">
        <f t="shared" si="17"/>
        <v>5</v>
      </c>
      <c r="X68" s="1">
        <v>1.2</v>
      </c>
      <c r="Y68" s="1">
        <v>1.8</v>
      </c>
      <c r="Z68" s="1">
        <v>50</v>
      </c>
    </row>
    <row r="69" spans="1:26">
      <c r="A69" s="1">
        <v>20021</v>
      </c>
      <c r="B69" s="7" t="s">
        <v>166</v>
      </c>
      <c r="C69" s="1" t="str">
        <f t="shared" si="14"/>
        <v>2</v>
      </c>
      <c r="D69" s="1" t="s">
        <v>84</v>
      </c>
      <c r="E69" s="1">
        <v>1</v>
      </c>
      <c r="F69" s="1" t="s">
        <v>139</v>
      </c>
      <c r="G69" s="1" t="str">
        <f t="shared" si="12"/>
        <v>jymonster004</v>
      </c>
      <c r="H69" s="6">
        <f t="shared" si="16"/>
        <v>2</v>
      </c>
      <c r="I69" s="6">
        <f t="shared" si="10"/>
        <v>150</v>
      </c>
      <c r="J69" s="5">
        <f t="shared" ref="J69:J113" si="18">MIN(I69+350,800)</f>
        <v>500</v>
      </c>
      <c r="K69" s="3">
        <v>650</v>
      </c>
      <c r="L69" s="1">
        <v>90</v>
      </c>
      <c r="M69" s="3">
        <v>15</v>
      </c>
      <c r="N69" s="4">
        <f>环形怪物属性!F70</f>
        <v>1660</v>
      </c>
      <c r="O69" s="4">
        <f>环形怪物属性!H70</f>
        <v>48</v>
      </c>
      <c r="P69" s="4">
        <f>环形怪物属性!K70</f>
        <v>13</v>
      </c>
      <c r="Q69" s="4">
        <f>环形怪物属性!N70</f>
        <v>24</v>
      </c>
      <c r="R69" s="4">
        <v>20</v>
      </c>
      <c r="S69" s="4">
        <v>15</v>
      </c>
      <c r="T69" s="1">
        <f t="shared" si="15"/>
        <v>0.23</v>
      </c>
      <c r="U69" s="6">
        <v>80071</v>
      </c>
      <c r="V69" s="1">
        <v>80</v>
      </c>
      <c r="W69" s="1">
        <f t="shared" si="17"/>
        <v>5</v>
      </c>
      <c r="X69" s="1">
        <v>1.2</v>
      </c>
      <c r="Y69" s="1">
        <v>1.8</v>
      </c>
      <c r="Z69" s="1">
        <v>50</v>
      </c>
    </row>
    <row r="70" spans="1:26">
      <c r="A70" s="1">
        <v>20022</v>
      </c>
      <c r="B70" s="7" t="s">
        <v>167</v>
      </c>
      <c r="C70" s="1" t="str">
        <f t="shared" si="14"/>
        <v>2</v>
      </c>
      <c r="D70" s="1" t="s">
        <v>84</v>
      </c>
      <c r="E70" s="1">
        <v>1</v>
      </c>
      <c r="F70" s="1" t="s">
        <v>133</v>
      </c>
      <c r="G70" s="1" t="str">
        <f t="shared" si="12"/>
        <v>jymonster001</v>
      </c>
      <c r="H70" s="6">
        <f t="shared" si="16"/>
        <v>2</v>
      </c>
      <c r="I70" s="6">
        <f t="shared" si="10"/>
        <v>150</v>
      </c>
      <c r="J70" s="5">
        <f t="shared" si="18"/>
        <v>500</v>
      </c>
      <c r="K70" s="3">
        <v>650</v>
      </c>
      <c r="L70" s="1">
        <v>90</v>
      </c>
      <c r="M70" s="3">
        <v>15</v>
      </c>
      <c r="N70" s="4">
        <f>环形怪物属性!F71</f>
        <v>1694</v>
      </c>
      <c r="O70" s="4">
        <f>环形怪物属性!H71</f>
        <v>48</v>
      </c>
      <c r="P70" s="4">
        <f>环形怪物属性!K71</f>
        <v>13</v>
      </c>
      <c r="Q70" s="4">
        <f>环形怪物属性!N71</f>
        <v>24</v>
      </c>
      <c r="R70" s="4">
        <v>20</v>
      </c>
      <c r="S70" s="4">
        <v>15</v>
      </c>
      <c r="T70" s="1">
        <f t="shared" si="15"/>
        <v>0.23</v>
      </c>
      <c r="U70" s="6">
        <v>80071</v>
      </c>
      <c r="V70" s="1">
        <v>80</v>
      </c>
      <c r="W70" s="1">
        <f t="shared" si="17"/>
        <v>5</v>
      </c>
      <c r="X70" s="1">
        <v>1.2</v>
      </c>
      <c r="Y70" s="1">
        <v>1.8</v>
      </c>
      <c r="Z70" s="1">
        <v>50</v>
      </c>
    </row>
    <row r="71" spans="1:26">
      <c r="A71" s="1">
        <v>20023</v>
      </c>
      <c r="B71" s="7" t="s">
        <v>168</v>
      </c>
      <c r="C71" s="1" t="str">
        <f t="shared" si="14"/>
        <v>2</v>
      </c>
      <c r="D71" s="1" t="s">
        <v>84</v>
      </c>
      <c r="E71" s="1">
        <v>1</v>
      </c>
      <c r="F71" s="1" t="s">
        <v>135</v>
      </c>
      <c r="G71" s="1" t="str">
        <f t="shared" si="12"/>
        <v>jymonster002</v>
      </c>
      <c r="H71" s="6">
        <f t="shared" si="16"/>
        <v>2</v>
      </c>
      <c r="I71" s="6">
        <f t="shared" ref="I71:I113" si="19">_xlfn.IFS(OR(D71="1",D71="2",D71="4",D71="7",D71="8"),150,OR(D71="3",D71="5",D71="6"),800)</f>
        <v>150</v>
      </c>
      <c r="J71" s="5">
        <f t="shared" si="18"/>
        <v>500</v>
      </c>
      <c r="K71" s="3">
        <v>650</v>
      </c>
      <c r="L71" s="1">
        <v>90</v>
      </c>
      <c r="M71" s="3">
        <v>15</v>
      </c>
      <c r="N71" s="4">
        <f>环形怪物属性!F72</f>
        <v>1728</v>
      </c>
      <c r="O71" s="4">
        <f>环形怪物属性!H72</f>
        <v>44</v>
      </c>
      <c r="P71" s="4">
        <f>环形怪物属性!K72</f>
        <v>13</v>
      </c>
      <c r="Q71" s="4">
        <f>环形怪物属性!N72</f>
        <v>24</v>
      </c>
      <c r="R71" s="4">
        <v>20</v>
      </c>
      <c r="S71" s="4">
        <v>15</v>
      </c>
      <c r="T71" s="1">
        <f t="shared" si="15"/>
        <v>0.23</v>
      </c>
      <c r="U71" s="6">
        <v>80071</v>
      </c>
      <c r="V71" s="1">
        <v>80</v>
      </c>
      <c r="W71" s="1">
        <f t="shared" si="17"/>
        <v>5</v>
      </c>
      <c r="X71" s="1">
        <v>1.2</v>
      </c>
      <c r="Y71" s="1">
        <v>1.8</v>
      </c>
      <c r="Z71" s="1">
        <v>50</v>
      </c>
    </row>
    <row r="72" spans="1:26">
      <c r="A72" s="1">
        <v>20024</v>
      </c>
      <c r="B72" s="7" t="s">
        <v>169</v>
      </c>
      <c r="C72" s="1" t="str">
        <f t="shared" si="14"/>
        <v>2</v>
      </c>
      <c r="D72" s="1" t="s">
        <v>84</v>
      </c>
      <c r="E72" s="1">
        <v>1</v>
      </c>
      <c r="F72" s="1" t="s">
        <v>137</v>
      </c>
      <c r="G72" s="1" t="str">
        <f t="shared" si="12"/>
        <v>jymonster003</v>
      </c>
      <c r="H72" s="6">
        <f t="shared" si="16"/>
        <v>2</v>
      </c>
      <c r="I72" s="6">
        <f t="shared" si="19"/>
        <v>150</v>
      </c>
      <c r="J72" s="5">
        <f t="shared" si="18"/>
        <v>500</v>
      </c>
      <c r="K72" s="3">
        <v>650</v>
      </c>
      <c r="L72" s="1">
        <v>90</v>
      </c>
      <c r="M72" s="3">
        <v>15</v>
      </c>
      <c r="N72" s="4">
        <f>环形怪物属性!F73</f>
        <v>1762</v>
      </c>
      <c r="O72" s="4">
        <f>环形怪物属性!H73</f>
        <v>44</v>
      </c>
      <c r="P72" s="4">
        <f>环形怪物属性!K73</f>
        <v>13</v>
      </c>
      <c r="Q72" s="4">
        <f>环形怪物属性!N73</f>
        <v>24</v>
      </c>
      <c r="R72" s="4">
        <v>20</v>
      </c>
      <c r="S72" s="4">
        <v>15</v>
      </c>
      <c r="T72" s="1">
        <f t="shared" si="15"/>
        <v>0.23</v>
      </c>
      <c r="U72" s="6">
        <v>80071</v>
      </c>
      <c r="V72" s="1">
        <v>80</v>
      </c>
      <c r="W72" s="1">
        <f t="shared" si="17"/>
        <v>5</v>
      </c>
      <c r="X72" s="1">
        <v>1.2</v>
      </c>
      <c r="Y72" s="1">
        <v>1.8</v>
      </c>
      <c r="Z72" s="1">
        <v>50</v>
      </c>
    </row>
    <row r="73" spans="1:26">
      <c r="A73" s="1">
        <v>20025</v>
      </c>
      <c r="B73" s="7" t="s">
        <v>170</v>
      </c>
      <c r="C73" s="1" t="str">
        <f t="shared" si="14"/>
        <v>2</v>
      </c>
      <c r="D73" s="1" t="s">
        <v>84</v>
      </c>
      <c r="E73" s="1">
        <v>1</v>
      </c>
      <c r="F73" s="1" t="s">
        <v>139</v>
      </c>
      <c r="G73" s="1" t="str">
        <f t="shared" si="12"/>
        <v>jymonster004</v>
      </c>
      <c r="H73" s="6">
        <f t="shared" si="16"/>
        <v>2</v>
      </c>
      <c r="I73" s="6">
        <f t="shared" si="19"/>
        <v>150</v>
      </c>
      <c r="J73" s="5">
        <f t="shared" si="18"/>
        <v>500</v>
      </c>
      <c r="K73" s="3">
        <v>650</v>
      </c>
      <c r="L73" s="1">
        <v>90</v>
      </c>
      <c r="M73" s="3">
        <v>15</v>
      </c>
      <c r="N73" s="4">
        <f>环形怪物属性!F74</f>
        <v>1796</v>
      </c>
      <c r="O73" s="4">
        <f>环形怪物属性!H74</f>
        <v>46</v>
      </c>
      <c r="P73" s="4">
        <f>环形怪物属性!K74</f>
        <v>13</v>
      </c>
      <c r="Q73" s="4">
        <f>环形怪物属性!N74</f>
        <v>24</v>
      </c>
      <c r="R73" s="4">
        <v>20</v>
      </c>
      <c r="S73" s="4">
        <v>15</v>
      </c>
      <c r="T73" s="1">
        <f t="shared" si="15"/>
        <v>0.23</v>
      </c>
      <c r="U73" s="6">
        <v>80071</v>
      </c>
      <c r="V73" s="1">
        <v>80</v>
      </c>
      <c r="W73" s="1">
        <f t="shared" si="17"/>
        <v>5</v>
      </c>
      <c r="X73" s="1">
        <v>1.2</v>
      </c>
      <c r="Y73" s="1">
        <v>1.8</v>
      </c>
      <c r="Z73" s="1">
        <v>50</v>
      </c>
    </row>
    <row r="74" spans="1:26">
      <c r="A74" s="1">
        <v>30001</v>
      </c>
      <c r="B74" s="1" t="s">
        <v>171</v>
      </c>
      <c r="C74" s="1" t="str">
        <f t="shared" si="14"/>
        <v>3</v>
      </c>
      <c r="D74" s="7" t="s">
        <v>56</v>
      </c>
      <c r="E74" s="1">
        <v>1</v>
      </c>
      <c r="F74" s="1" t="s">
        <v>172</v>
      </c>
      <c r="G74" s="1" t="str">
        <f t="shared" ref="G72:G129" si="20">F74</f>
        <v>boss001</v>
      </c>
      <c r="H74" s="6">
        <f t="shared" ref="H74:H104" si="21">_xlfn.IFS(OR(D74="1",D74="2",D74="7",D74="8"),2,OR(D74="3",D74="4",D74="5",D74="6"),1)</f>
        <v>2</v>
      </c>
      <c r="I74" s="6">
        <f t="shared" si="19"/>
        <v>150</v>
      </c>
      <c r="J74" s="5">
        <f t="shared" si="18"/>
        <v>500</v>
      </c>
      <c r="K74" s="3">
        <v>650</v>
      </c>
      <c r="L74" s="11">
        <v>105</v>
      </c>
      <c r="M74" s="3">
        <v>15</v>
      </c>
      <c r="N74" s="4">
        <f>环形怪物属性!F75</f>
        <v>1560</v>
      </c>
      <c r="O74" s="4">
        <f>环形怪物属性!H75</f>
        <v>39</v>
      </c>
      <c r="P74" s="4">
        <f>环形怪物属性!K75</f>
        <v>15</v>
      </c>
      <c r="Q74" s="4">
        <f>环形怪物属性!N75</f>
        <v>43</v>
      </c>
      <c r="R74" s="4">
        <v>28</v>
      </c>
      <c r="S74" s="4">
        <v>15</v>
      </c>
      <c r="T74" s="11">
        <v>0.25</v>
      </c>
      <c r="U74" s="6">
        <v>0</v>
      </c>
      <c r="V74" s="1">
        <v>100</v>
      </c>
      <c r="W74" s="1">
        <f t="shared" ref="W74:W101" si="22">_xlfn.IFS(C74="1",2,C74="2",5,C74="3",10,C74="4",20,TRUE,0)</f>
        <v>10</v>
      </c>
      <c r="X74" s="1">
        <v>1</v>
      </c>
      <c r="Y74" s="1">
        <v>1.8</v>
      </c>
      <c r="Z74" s="1">
        <v>1000</v>
      </c>
    </row>
    <row r="75" spans="1:26">
      <c r="A75" s="1">
        <v>30002</v>
      </c>
      <c r="B75" s="1" t="s">
        <v>173</v>
      </c>
      <c r="C75" s="1" t="str">
        <f t="shared" si="14"/>
        <v>3</v>
      </c>
      <c r="D75" s="6" t="s">
        <v>84</v>
      </c>
      <c r="E75" s="1">
        <v>1</v>
      </c>
      <c r="F75" s="1" t="s">
        <v>174</v>
      </c>
      <c r="G75" s="1" t="str">
        <f t="shared" si="20"/>
        <v>boss002</v>
      </c>
      <c r="H75" s="6">
        <f t="shared" si="21"/>
        <v>2</v>
      </c>
      <c r="I75" s="6">
        <f t="shared" si="19"/>
        <v>150</v>
      </c>
      <c r="J75" s="5">
        <f t="shared" si="18"/>
        <v>500</v>
      </c>
      <c r="K75" s="3">
        <v>650</v>
      </c>
      <c r="L75" s="1">
        <v>105</v>
      </c>
      <c r="M75" s="3">
        <v>15</v>
      </c>
      <c r="N75" s="4">
        <f>环形怪物属性!F76</f>
        <v>1578</v>
      </c>
      <c r="O75" s="4">
        <f>环形怪物属性!H76</f>
        <v>49</v>
      </c>
      <c r="P75" s="4">
        <f>环形怪物属性!K76</f>
        <v>17</v>
      </c>
      <c r="Q75" s="4">
        <f>环形怪物属性!N76</f>
        <v>27</v>
      </c>
      <c r="R75" s="4">
        <v>23</v>
      </c>
      <c r="S75" s="4">
        <v>15</v>
      </c>
      <c r="T75" s="1">
        <f>T74</f>
        <v>0.25</v>
      </c>
      <c r="U75" s="6">
        <v>80071</v>
      </c>
      <c r="V75" s="1">
        <v>100</v>
      </c>
      <c r="W75" s="1">
        <f t="shared" si="22"/>
        <v>10</v>
      </c>
      <c r="X75" s="1">
        <v>1</v>
      </c>
      <c r="Y75" s="1">
        <v>1.8</v>
      </c>
      <c r="Z75" s="1">
        <v>1000</v>
      </c>
    </row>
    <row r="76" spans="1:26">
      <c r="A76" s="1">
        <v>30003</v>
      </c>
      <c r="B76" s="3" t="s">
        <v>175</v>
      </c>
      <c r="C76" s="1" t="str">
        <f t="shared" si="14"/>
        <v>3</v>
      </c>
      <c r="D76" s="6" t="s">
        <v>84</v>
      </c>
      <c r="E76" s="1">
        <v>1</v>
      </c>
      <c r="F76" s="1" t="s">
        <v>176</v>
      </c>
      <c r="G76" s="1" t="str">
        <f t="shared" si="20"/>
        <v>boss003</v>
      </c>
      <c r="H76" s="6">
        <f t="shared" si="21"/>
        <v>2</v>
      </c>
      <c r="I76" s="6">
        <f t="shared" si="19"/>
        <v>150</v>
      </c>
      <c r="J76" s="5">
        <f t="shared" si="18"/>
        <v>500</v>
      </c>
      <c r="K76" s="3">
        <v>650</v>
      </c>
      <c r="L76" s="1">
        <v>105</v>
      </c>
      <c r="M76" s="3">
        <v>15</v>
      </c>
      <c r="N76" s="4">
        <f>环形怪物属性!F77</f>
        <v>1596</v>
      </c>
      <c r="O76" s="4">
        <f>环形怪物属性!H77</f>
        <v>54</v>
      </c>
      <c r="P76" s="4">
        <f>环形怪物属性!K77</f>
        <v>16</v>
      </c>
      <c r="Q76" s="4">
        <f>环形怪物属性!N77</f>
        <v>27</v>
      </c>
      <c r="R76" s="4">
        <v>23</v>
      </c>
      <c r="S76" s="4">
        <v>15</v>
      </c>
      <c r="T76" s="1">
        <f>T75</f>
        <v>0.25</v>
      </c>
      <c r="U76" s="6">
        <v>80071</v>
      </c>
      <c r="V76" s="1">
        <v>100</v>
      </c>
      <c r="W76" s="1">
        <f t="shared" si="22"/>
        <v>10</v>
      </c>
      <c r="X76" s="1">
        <v>1</v>
      </c>
      <c r="Y76" s="1">
        <v>1.8</v>
      </c>
      <c r="Z76" s="1">
        <v>1000</v>
      </c>
    </row>
    <row r="77" spans="1:26">
      <c r="A77" s="1">
        <v>30004</v>
      </c>
      <c r="B77" s="6" t="s">
        <v>177</v>
      </c>
      <c r="C77" s="1" t="str">
        <f t="shared" si="14"/>
        <v>3</v>
      </c>
      <c r="D77" s="6" t="s">
        <v>84</v>
      </c>
      <c r="E77" s="1">
        <v>1</v>
      </c>
      <c r="F77" s="6" t="s">
        <v>178</v>
      </c>
      <c r="G77" s="1" t="str">
        <f t="shared" si="20"/>
        <v>bubing01_Lv3</v>
      </c>
      <c r="H77" s="6">
        <f t="shared" si="21"/>
        <v>2</v>
      </c>
      <c r="I77" s="6">
        <f t="shared" si="19"/>
        <v>150</v>
      </c>
      <c r="J77" s="5">
        <f t="shared" si="18"/>
        <v>500</v>
      </c>
      <c r="K77" s="3">
        <v>650</v>
      </c>
      <c r="L77" s="11">
        <v>120</v>
      </c>
      <c r="M77" s="3">
        <v>15</v>
      </c>
      <c r="N77" s="4">
        <f>环形怪物属性!F78</f>
        <v>1614</v>
      </c>
      <c r="O77" s="4">
        <f>环形怪物属性!H78</f>
        <v>60</v>
      </c>
      <c r="P77" s="4">
        <f>环形怪物属性!K78</f>
        <v>17</v>
      </c>
      <c r="Q77" s="4">
        <f>环形怪物属性!N78</f>
        <v>29</v>
      </c>
      <c r="R77" s="4">
        <v>26.5</v>
      </c>
      <c r="S77" s="4">
        <v>15</v>
      </c>
      <c r="T77" s="11">
        <v>0.3</v>
      </c>
      <c r="U77" s="6">
        <v>80071</v>
      </c>
      <c r="V77" s="1">
        <v>120</v>
      </c>
      <c r="W77" s="1">
        <f t="shared" si="22"/>
        <v>10</v>
      </c>
      <c r="X77" s="1">
        <v>1</v>
      </c>
      <c r="Y77" s="1">
        <v>1.8</v>
      </c>
      <c r="Z77" s="1">
        <v>1000</v>
      </c>
    </row>
    <row r="78" spans="1:26">
      <c r="A78" s="1">
        <v>30005</v>
      </c>
      <c r="B78" s="6" t="s">
        <v>179</v>
      </c>
      <c r="C78" s="1" t="str">
        <f t="shared" si="14"/>
        <v>3</v>
      </c>
      <c r="D78" s="6" t="s">
        <v>84</v>
      </c>
      <c r="E78" s="1">
        <v>1</v>
      </c>
      <c r="F78" s="6" t="s">
        <v>180</v>
      </c>
      <c r="G78" s="1" t="str">
        <f t="shared" si="20"/>
        <v>bubing02_Lv3</v>
      </c>
      <c r="H78" s="6">
        <f t="shared" si="21"/>
        <v>2</v>
      </c>
      <c r="I78" s="6">
        <f t="shared" si="19"/>
        <v>150</v>
      </c>
      <c r="J78" s="5">
        <f t="shared" si="18"/>
        <v>500</v>
      </c>
      <c r="K78" s="3">
        <v>650</v>
      </c>
      <c r="L78" s="1">
        <v>120</v>
      </c>
      <c r="M78" s="3">
        <v>15</v>
      </c>
      <c r="N78" s="4">
        <f>环形怪物属性!F79</f>
        <v>1632</v>
      </c>
      <c r="O78" s="4">
        <f>环形怪物属性!H79</f>
        <v>62</v>
      </c>
      <c r="P78" s="4">
        <f>环形怪物属性!K79</f>
        <v>16</v>
      </c>
      <c r="Q78" s="4">
        <f>环形怪物属性!N79</f>
        <v>27</v>
      </c>
      <c r="R78" s="4">
        <v>24.5</v>
      </c>
      <c r="S78" s="4">
        <v>15</v>
      </c>
      <c r="T78" s="1">
        <f>T77</f>
        <v>0.3</v>
      </c>
      <c r="U78" s="6">
        <v>80071</v>
      </c>
      <c r="V78" s="1">
        <v>120</v>
      </c>
      <c r="W78" s="1">
        <f t="shared" si="22"/>
        <v>10</v>
      </c>
      <c r="X78" s="1">
        <v>1</v>
      </c>
      <c r="Y78" s="1">
        <v>1.8</v>
      </c>
      <c r="Z78" s="1">
        <v>1000</v>
      </c>
    </row>
    <row r="79" spans="1:26">
      <c r="A79" s="1">
        <v>30006</v>
      </c>
      <c r="B79" s="6" t="s">
        <v>181</v>
      </c>
      <c r="C79" s="1" t="str">
        <f t="shared" si="14"/>
        <v>3</v>
      </c>
      <c r="D79" s="6" t="s">
        <v>84</v>
      </c>
      <c r="E79" s="1">
        <v>1</v>
      </c>
      <c r="F79" s="6" t="s">
        <v>182</v>
      </c>
      <c r="G79" s="1" t="str">
        <f t="shared" si="20"/>
        <v>bubing03_Lv3</v>
      </c>
      <c r="H79" s="6">
        <f t="shared" si="21"/>
        <v>2</v>
      </c>
      <c r="I79" s="6">
        <f t="shared" si="19"/>
        <v>150</v>
      </c>
      <c r="J79" s="5">
        <f t="shared" si="18"/>
        <v>500</v>
      </c>
      <c r="K79" s="3">
        <v>650</v>
      </c>
      <c r="L79" s="1">
        <v>120</v>
      </c>
      <c r="M79" s="3">
        <v>15</v>
      </c>
      <c r="N79" s="4">
        <f>环形怪物属性!F80</f>
        <v>1650</v>
      </c>
      <c r="O79" s="4">
        <f>环形怪物属性!H80</f>
        <v>58</v>
      </c>
      <c r="P79" s="4">
        <f>环形怪物属性!K80</f>
        <v>16</v>
      </c>
      <c r="Q79" s="4">
        <f>环形怪物属性!N80</f>
        <v>27</v>
      </c>
      <c r="R79" s="4">
        <v>24.5</v>
      </c>
      <c r="S79" s="4">
        <v>15</v>
      </c>
      <c r="T79" s="1">
        <f t="shared" ref="T79:T95" si="23">T78</f>
        <v>0.3</v>
      </c>
      <c r="U79" s="6">
        <v>80071</v>
      </c>
      <c r="V79" s="1">
        <v>120</v>
      </c>
      <c r="W79" s="1">
        <f t="shared" si="22"/>
        <v>10</v>
      </c>
      <c r="X79" s="1">
        <v>1</v>
      </c>
      <c r="Y79" s="1">
        <v>1.8</v>
      </c>
      <c r="Z79" s="1">
        <v>1000</v>
      </c>
    </row>
    <row r="80" spans="1:26">
      <c r="A80" s="1">
        <v>30007</v>
      </c>
      <c r="B80" s="6" t="s">
        <v>183</v>
      </c>
      <c r="C80" s="1" t="str">
        <f t="shared" si="14"/>
        <v>3</v>
      </c>
      <c r="D80" s="6" t="s">
        <v>84</v>
      </c>
      <c r="E80" s="1">
        <v>1</v>
      </c>
      <c r="F80" s="6" t="s">
        <v>184</v>
      </c>
      <c r="G80" s="1" t="str">
        <f t="shared" si="20"/>
        <v>bubing04_Lv3</v>
      </c>
      <c r="H80" s="6">
        <f t="shared" si="21"/>
        <v>2</v>
      </c>
      <c r="I80" s="6">
        <f t="shared" si="19"/>
        <v>150</v>
      </c>
      <c r="J80" s="5">
        <f t="shared" si="18"/>
        <v>500</v>
      </c>
      <c r="K80" s="3">
        <v>650</v>
      </c>
      <c r="L80" s="1">
        <v>120</v>
      </c>
      <c r="M80" s="3">
        <v>15</v>
      </c>
      <c r="N80" s="4">
        <f>环形怪物属性!F81</f>
        <v>1668</v>
      </c>
      <c r="O80" s="4">
        <f>环形怪物属性!H81</f>
        <v>54</v>
      </c>
      <c r="P80" s="4">
        <f>环形怪物属性!K81</f>
        <v>19</v>
      </c>
      <c r="Q80" s="4">
        <f>环形怪物属性!N81</f>
        <v>25</v>
      </c>
      <c r="R80" s="4">
        <v>23</v>
      </c>
      <c r="S80" s="4">
        <v>15</v>
      </c>
      <c r="T80" s="1">
        <f t="shared" si="23"/>
        <v>0.3</v>
      </c>
      <c r="U80" s="6">
        <v>80071</v>
      </c>
      <c r="V80" s="1">
        <v>120</v>
      </c>
      <c r="W80" s="1">
        <f t="shared" si="22"/>
        <v>10</v>
      </c>
      <c r="X80" s="1">
        <v>1</v>
      </c>
      <c r="Y80" s="1">
        <v>1.8</v>
      </c>
      <c r="Z80" s="1">
        <v>1000</v>
      </c>
    </row>
    <row r="81" spans="1:26">
      <c r="A81" s="1">
        <v>30008</v>
      </c>
      <c r="B81" s="7" t="s">
        <v>185</v>
      </c>
      <c r="C81" s="1" t="str">
        <f t="shared" si="14"/>
        <v>3</v>
      </c>
      <c r="D81" s="7" t="s">
        <v>91</v>
      </c>
      <c r="E81" s="1">
        <v>1</v>
      </c>
      <c r="F81" s="7" t="s">
        <v>186</v>
      </c>
      <c r="G81" s="1" t="str">
        <f t="shared" si="20"/>
        <v>qibing01_Lv3</v>
      </c>
      <c r="H81" s="6">
        <f t="shared" si="21"/>
        <v>2</v>
      </c>
      <c r="I81" s="6">
        <f t="shared" si="19"/>
        <v>150</v>
      </c>
      <c r="J81" s="5">
        <f t="shared" si="18"/>
        <v>500</v>
      </c>
      <c r="K81" s="3">
        <v>800</v>
      </c>
      <c r="L81" s="1">
        <v>120</v>
      </c>
      <c r="M81" s="3">
        <v>15</v>
      </c>
      <c r="N81" s="4">
        <f>环形怪物属性!F82</f>
        <v>1686</v>
      </c>
      <c r="O81" s="4">
        <f>环形怪物属性!H82</f>
        <v>60</v>
      </c>
      <c r="P81" s="4">
        <f>环形怪物属性!K82</f>
        <v>17</v>
      </c>
      <c r="Q81" s="4">
        <f>环形怪物属性!N82</f>
        <v>27</v>
      </c>
      <c r="R81" s="4">
        <v>28</v>
      </c>
      <c r="S81" s="4">
        <v>15</v>
      </c>
      <c r="T81" s="1">
        <f t="shared" si="23"/>
        <v>0.3</v>
      </c>
      <c r="U81" s="6">
        <v>80071</v>
      </c>
      <c r="V81" s="1">
        <v>120</v>
      </c>
      <c r="W81" s="1">
        <f t="shared" si="22"/>
        <v>10</v>
      </c>
      <c r="X81" s="1">
        <v>1</v>
      </c>
      <c r="Y81" s="1">
        <v>1.8</v>
      </c>
      <c r="Z81" s="1">
        <v>1000</v>
      </c>
    </row>
    <row r="82" spans="1:26">
      <c r="A82" s="1">
        <v>30009</v>
      </c>
      <c r="B82" s="7" t="s">
        <v>187</v>
      </c>
      <c r="C82" s="1" t="str">
        <f t="shared" si="14"/>
        <v>3</v>
      </c>
      <c r="D82" s="7" t="s">
        <v>91</v>
      </c>
      <c r="E82" s="1">
        <v>1</v>
      </c>
      <c r="F82" s="7" t="s">
        <v>188</v>
      </c>
      <c r="G82" s="1" t="str">
        <f t="shared" si="20"/>
        <v>qibing02_Lv3</v>
      </c>
      <c r="H82" s="6">
        <f t="shared" si="21"/>
        <v>2</v>
      </c>
      <c r="I82" s="6">
        <f t="shared" si="19"/>
        <v>150</v>
      </c>
      <c r="J82" s="5">
        <f t="shared" si="18"/>
        <v>500</v>
      </c>
      <c r="K82" s="3">
        <v>800</v>
      </c>
      <c r="L82" s="1">
        <v>120</v>
      </c>
      <c r="M82" s="3">
        <v>15</v>
      </c>
      <c r="N82" s="4">
        <f>环形怪物属性!F83</f>
        <v>1704</v>
      </c>
      <c r="O82" s="4">
        <f>环形怪物属性!H83</f>
        <v>62</v>
      </c>
      <c r="P82" s="4">
        <f>环形怪物属性!K83</f>
        <v>16</v>
      </c>
      <c r="Q82" s="4">
        <f>环形怪物属性!N83</f>
        <v>27</v>
      </c>
      <c r="R82" s="4">
        <v>26.5</v>
      </c>
      <c r="S82" s="4">
        <v>15</v>
      </c>
      <c r="T82" s="1">
        <f t="shared" si="23"/>
        <v>0.3</v>
      </c>
      <c r="U82" s="6">
        <v>80071</v>
      </c>
      <c r="V82" s="1">
        <v>120</v>
      </c>
      <c r="W82" s="1">
        <f t="shared" si="22"/>
        <v>10</v>
      </c>
      <c r="X82" s="1">
        <v>1</v>
      </c>
      <c r="Y82" s="1">
        <v>1.8</v>
      </c>
      <c r="Z82" s="1">
        <v>1000</v>
      </c>
    </row>
    <row r="83" spans="1:26">
      <c r="A83" s="1">
        <v>30010</v>
      </c>
      <c r="B83" s="7" t="s">
        <v>189</v>
      </c>
      <c r="C83" s="1" t="str">
        <f t="shared" si="14"/>
        <v>3</v>
      </c>
      <c r="D83" s="7" t="s">
        <v>91</v>
      </c>
      <c r="E83" s="1">
        <v>1</v>
      </c>
      <c r="F83" s="7" t="s">
        <v>190</v>
      </c>
      <c r="G83" s="1" t="str">
        <f t="shared" si="20"/>
        <v>qibing03_Lv3</v>
      </c>
      <c r="H83" s="6">
        <f t="shared" si="21"/>
        <v>2</v>
      </c>
      <c r="I83" s="6">
        <f t="shared" si="19"/>
        <v>150</v>
      </c>
      <c r="J83" s="5">
        <f t="shared" si="18"/>
        <v>500</v>
      </c>
      <c r="K83" s="3">
        <v>800</v>
      </c>
      <c r="L83" s="1">
        <v>120</v>
      </c>
      <c r="M83" s="3">
        <v>15</v>
      </c>
      <c r="N83" s="4">
        <f>环形怪物属性!F84</f>
        <v>1722</v>
      </c>
      <c r="O83" s="4">
        <f>环形怪物属性!H84</f>
        <v>58</v>
      </c>
      <c r="P83" s="4">
        <f>环形怪物属性!K84</f>
        <v>18</v>
      </c>
      <c r="Q83" s="4">
        <f>环形怪物属性!N84</f>
        <v>29</v>
      </c>
      <c r="R83" s="4">
        <v>26.5</v>
      </c>
      <c r="S83" s="4">
        <v>15</v>
      </c>
      <c r="T83" s="1">
        <f t="shared" si="23"/>
        <v>0.3</v>
      </c>
      <c r="U83" s="6">
        <v>80071</v>
      </c>
      <c r="V83" s="1">
        <v>120</v>
      </c>
      <c r="W83" s="1">
        <f t="shared" si="22"/>
        <v>10</v>
      </c>
      <c r="X83" s="1">
        <v>1</v>
      </c>
      <c r="Y83" s="1">
        <v>1.8</v>
      </c>
      <c r="Z83" s="1">
        <v>1000</v>
      </c>
    </row>
    <row r="84" spans="1:26">
      <c r="A84" s="1">
        <v>30011</v>
      </c>
      <c r="B84" s="7" t="s">
        <v>191</v>
      </c>
      <c r="C84" s="1" t="str">
        <f t="shared" ref="C84:C101" si="24">LEFT(A84,1)</f>
        <v>3</v>
      </c>
      <c r="D84" s="7" t="s">
        <v>81</v>
      </c>
      <c r="E84" s="1">
        <v>1</v>
      </c>
      <c r="F84" s="7" t="s">
        <v>192</v>
      </c>
      <c r="G84" s="1" t="str">
        <f t="shared" si="20"/>
        <v>gongbing01_Lv3</v>
      </c>
      <c r="H84" s="6">
        <f t="shared" si="21"/>
        <v>1</v>
      </c>
      <c r="I84" s="6">
        <f t="shared" si="19"/>
        <v>800</v>
      </c>
      <c r="J84" s="5">
        <f t="shared" si="18"/>
        <v>800</v>
      </c>
      <c r="K84" s="3">
        <v>650</v>
      </c>
      <c r="L84" s="1">
        <v>120</v>
      </c>
      <c r="M84" s="3">
        <v>20</v>
      </c>
      <c r="N84" s="4">
        <f>环形怪物属性!F85</f>
        <v>1740</v>
      </c>
      <c r="O84" s="4">
        <f>环形怪物属性!H85</f>
        <v>49</v>
      </c>
      <c r="P84" s="4">
        <f>环形怪物属性!K85</f>
        <v>16</v>
      </c>
      <c r="Q84" s="4">
        <f>环形怪物属性!N85</f>
        <v>27</v>
      </c>
      <c r="R84" s="4">
        <v>26.5</v>
      </c>
      <c r="S84" s="4">
        <v>50</v>
      </c>
      <c r="T84" s="1">
        <f t="shared" si="23"/>
        <v>0.3</v>
      </c>
      <c r="U84" s="6" t="s">
        <v>193</v>
      </c>
      <c r="V84" s="1">
        <v>120</v>
      </c>
      <c r="W84" s="1">
        <f t="shared" si="22"/>
        <v>10</v>
      </c>
      <c r="X84" s="1">
        <v>1</v>
      </c>
      <c r="Y84" s="1">
        <v>2</v>
      </c>
      <c r="Z84" s="1">
        <v>1000</v>
      </c>
    </row>
    <row r="85" spans="1:26">
      <c r="A85" s="1">
        <v>30012</v>
      </c>
      <c r="B85" s="7" t="s">
        <v>194</v>
      </c>
      <c r="C85" s="1" t="str">
        <f t="shared" si="24"/>
        <v>3</v>
      </c>
      <c r="D85" s="7" t="s">
        <v>81</v>
      </c>
      <c r="E85" s="1">
        <v>1</v>
      </c>
      <c r="F85" s="7" t="s">
        <v>195</v>
      </c>
      <c r="G85" s="1" t="str">
        <f t="shared" si="20"/>
        <v>gongbing02_Lv3</v>
      </c>
      <c r="H85" s="6">
        <f t="shared" si="21"/>
        <v>1</v>
      </c>
      <c r="I85" s="6">
        <f t="shared" si="19"/>
        <v>800</v>
      </c>
      <c r="J85" s="5">
        <f t="shared" si="18"/>
        <v>800</v>
      </c>
      <c r="K85" s="3">
        <v>800</v>
      </c>
      <c r="L85" s="1">
        <v>120</v>
      </c>
      <c r="M85" s="3">
        <v>20</v>
      </c>
      <c r="N85" s="4">
        <f>环形怪物属性!F86</f>
        <v>1758</v>
      </c>
      <c r="O85" s="4">
        <f>环形怪物属性!H86</f>
        <v>51</v>
      </c>
      <c r="P85" s="4">
        <f>环形怪物属性!K86</f>
        <v>16</v>
      </c>
      <c r="Q85" s="4">
        <f>环形怪物属性!N86</f>
        <v>27</v>
      </c>
      <c r="R85" s="4">
        <v>26.5</v>
      </c>
      <c r="S85" s="4">
        <v>50</v>
      </c>
      <c r="T85" s="1">
        <f t="shared" si="23"/>
        <v>0.3</v>
      </c>
      <c r="U85" s="6" t="s">
        <v>193</v>
      </c>
      <c r="V85" s="1">
        <v>120</v>
      </c>
      <c r="W85" s="1">
        <f t="shared" si="22"/>
        <v>10</v>
      </c>
      <c r="X85" s="1">
        <v>1</v>
      </c>
      <c r="Y85" s="1">
        <v>2</v>
      </c>
      <c r="Z85" s="1">
        <v>1000</v>
      </c>
    </row>
    <row r="86" spans="1:26">
      <c r="A86" s="1">
        <v>30013</v>
      </c>
      <c r="B86" s="7" t="s">
        <v>196</v>
      </c>
      <c r="C86" s="1" t="str">
        <f t="shared" si="24"/>
        <v>3</v>
      </c>
      <c r="D86" s="7" t="s">
        <v>81</v>
      </c>
      <c r="E86" s="1">
        <v>1</v>
      </c>
      <c r="F86" s="7" t="s">
        <v>197</v>
      </c>
      <c r="G86" s="1" t="str">
        <f t="shared" si="20"/>
        <v>gongbing03_Lv3</v>
      </c>
      <c r="H86" s="6">
        <f t="shared" si="21"/>
        <v>1</v>
      </c>
      <c r="I86" s="6">
        <f t="shared" si="19"/>
        <v>800</v>
      </c>
      <c r="J86" s="5">
        <f t="shared" si="18"/>
        <v>800</v>
      </c>
      <c r="K86" s="3">
        <v>650</v>
      </c>
      <c r="L86" s="1">
        <v>120</v>
      </c>
      <c r="M86" s="3">
        <v>20</v>
      </c>
      <c r="N86" s="4">
        <f>环形怪物属性!F87</f>
        <v>1776</v>
      </c>
      <c r="O86" s="4">
        <f>环形怪物属性!H87</f>
        <v>54</v>
      </c>
      <c r="P86" s="4">
        <f>环形怪物属性!K87</f>
        <v>16</v>
      </c>
      <c r="Q86" s="4">
        <f>环形怪物属性!N87</f>
        <v>27</v>
      </c>
      <c r="R86" s="4">
        <v>26.5</v>
      </c>
      <c r="S86" s="4">
        <v>50</v>
      </c>
      <c r="T86" s="1">
        <f t="shared" si="23"/>
        <v>0.3</v>
      </c>
      <c r="U86" s="6">
        <v>80071</v>
      </c>
      <c r="V86" s="1">
        <v>120</v>
      </c>
      <c r="W86" s="1">
        <f t="shared" si="22"/>
        <v>10</v>
      </c>
      <c r="X86" s="1">
        <v>1</v>
      </c>
      <c r="Y86" s="1">
        <v>2</v>
      </c>
      <c r="Z86" s="1">
        <v>1000</v>
      </c>
    </row>
    <row r="87" spans="1:26">
      <c r="A87" s="1">
        <v>30014</v>
      </c>
      <c r="B87" s="7" t="s">
        <v>198</v>
      </c>
      <c r="C87" s="1" t="str">
        <f t="shared" si="24"/>
        <v>3</v>
      </c>
      <c r="D87" s="7" t="s">
        <v>96</v>
      </c>
      <c r="E87" s="1">
        <v>1</v>
      </c>
      <c r="F87" s="7" t="s">
        <v>199</v>
      </c>
      <c r="G87" s="1" t="str">
        <f t="shared" si="20"/>
        <v>feibing01_Lv3</v>
      </c>
      <c r="H87" s="6">
        <f t="shared" si="21"/>
        <v>1</v>
      </c>
      <c r="I87" s="6">
        <f t="shared" si="19"/>
        <v>150</v>
      </c>
      <c r="J87" s="5">
        <f t="shared" si="18"/>
        <v>500</v>
      </c>
      <c r="K87" s="3">
        <v>800</v>
      </c>
      <c r="L87" s="1">
        <v>120</v>
      </c>
      <c r="M87" s="3">
        <v>15</v>
      </c>
      <c r="N87" s="4">
        <f>环形怪物属性!F88</f>
        <v>1794</v>
      </c>
      <c r="O87" s="4">
        <f>环形怪物属性!H88</f>
        <v>60</v>
      </c>
      <c r="P87" s="4">
        <f>环形怪物属性!K88</f>
        <v>17</v>
      </c>
      <c r="Q87" s="4">
        <f>环形怪物属性!N88</f>
        <v>31</v>
      </c>
      <c r="R87" s="4">
        <v>32</v>
      </c>
      <c r="S87" s="4">
        <v>15</v>
      </c>
      <c r="T87" s="1">
        <f t="shared" si="23"/>
        <v>0.3</v>
      </c>
      <c r="U87" s="6">
        <v>80071</v>
      </c>
      <c r="V87" s="1">
        <v>120</v>
      </c>
      <c r="W87" s="1">
        <f t="shared" si="22"/>
        <v>10</v>
      </c>
      <c r="X87" s="1">
        <v>1</v>
      </c>
      <c r="Y87" s="1">
        <v>1.8</v>
      </c>
      <c r="Z87" s="1">
        <v>1000</v>
      </c>
    </row>
    <row r="88" spans="1:26">
      <c r="A88" s="1">
        <v>30015</v>
      </c>
      <c r="B88" s="7" t="s">
        <v>200</v>
      </c>
      <c r="C88" s="1" t="str">
        <f t="shared" si="24"/>
        <v>3</v>
      </c>
      <c r="D88" s="7" t="s">
        <v>96</v>
      </c>
      <c r="E88" s="1">
        <v>1</v>
      </c>
      <c r="F88" s="7" t="s">
        <v>201</v>
      </c>
      <c r="G88" s="1" t="str">
        <f t="shared" si="20"/>
        <v>feibing02_Lv3</v>
      </c>
      <c r="H88" s="6">
        <f t="shared" si="21"/>
        <v>1</v>
      </c>
      <c r="I88" s="6">
        <f t="shared" si="19"/>
        <v>150</v>
      </c>
      <c r="J88" s="5">
        <f t="shared" si="18"/>
        <v>500</v>
      </c>
      <c r="K88" s="3">
        <v>800</v>
      </c>
      <c r="L88" s="1">
        <v>120</v>
      </c>
      <c r="M88" s="3">
        <v>15</v>
      </c>
      <c r="N88" s="4">
        <f>环形怪物属性!F89</f>
        <v>1812</v>
      </c>
      <c r="O88" s="4">
        <f>环形怪物属性!H89</f>
        <v>62</v>
      </c>
      <c r="P88" s="4">
        <f>环形怪物属性!K89</f>
        <v>17</v>
      </c>
      <c r="Q88" s="4">
        <f>环形怪物属性!N89</f>
        <v>27</v>
      </c>
      <c r="R88" s="4">
        <v>24.5</v>
      </c>
      <c r="S88" s="4">
        <v>15</v>
      </c>
      <c r="T88" s="1">
        <f t="shared" si="23"/>
        <v>0.3</v>
      </c>
      <c r="U88" s="6">
        <v>80071</v>
      </c>
      <c r="V88" s="1">
        <v>120</v>
      </c>
      <c r="W88" s="1">
        <f t="shared" si="22"/>
        <v>10</v>
      </c>
      <c r="X88" s="1">
        <v>1</v>
      </c>
      <c r="Y88" s="1">
        <v>1.8</v>
      </c>
      <c r="Z88" s="1">
        <v>1000</v>
      </c>
    </row>
    <row r="89" spans="1:26">
      <c r="A89" s="1">
        <v>30016</v>
      </c>
      <c r="B89" s="7" t="s">
        <v>202</v>
      </c>
      <c r="C89" s="1" t="str">
        <f t="shared" si="24"/>
        <v>3</v>
      </c>
      <c r="D89" s="7" t="s">
        <v>96</v>
      </c>
      <c r="E89" s="1">
        <v>1</v>
      </c>
      <c r="F89" s="7" t="s">
        <v>203</v>
      </c>
      <c r="G89" s="1" t="str">
        <f t="shared" si="20"/>
        <v>feibing03_Lv3</v>
      </c>
      <c r="H89" s="6">
        <f t="shared" si="21"/>
        <v>1</v>
      </c>
      <c r="I89" s="6">
        <f t="shared" si="19"/>
        <v>150</v>
      </c>
      <c r="J89" s="5">
        <f t="shared" si="18"/>
        <v>500</v>
      </c>
      <c r="K89" s="3">
        <v>800</v>
      </c>
      <c r="L89" s="1">
        <v>120</v>
      </c>
      <c r="M89" s="3">
        <v>15</v>
      </c>
      <c r="N89" s="4">
        <f>环形怪物属性!F90</f>
        <v>1830</v>
      </c>
      <c r="O89" s="4">
        <f>环形怪物属性!H90</f>
        <v>60</v>
      </c>
      <c r="P89" s="4">
        <f>环形怪物属性!K90</f>
        <v>18</v>
      </c>
      <c r="Q89" s="4">
        <f>环形怪物属性!N90</f>
        <v>29</v>
      </c>
      <c r="R89" s="4">
        <v>26.5</v>
      </c>
      <c r="S89" s="4">
        <v>15</v>
      </c>
      <c r="T89" s="1">
        <f t="shared" si="23"/>
        <v>0.3</v>
      </c>
      <c r="U89" s="6">
        <v>80071</v>
      </c>
      <c r="V89" s="1">
        <v>120</v>
      </c>
      <c r="W89" s="1">
        <f t="shared" si="22"/>
        <v>10</v>
      </c>
      <c r="X89" s="1">
        <v>1</v>
      </c>
      <c r="Y89" s="1">
        <v>1.8</v>
      </c>
      <c r="Z89" s="1">
        <v>1000</v>
      </c>
    </row>
    <row r="90" spans="1:26">
      <c r="A90" s="1">
        <v>30017</v>
      </c>
      <c r="B90" s="7" t="s">
        <v>204</v>
      </c>
      <c r="C90" s="1" t="str">
        <f t="shared" si="24"/>
        <v>3</v>
      </c>
      <c r="D90" s="7" t="s">
        <v>78</v>
      </c>
      <c r="E90" s="1">
        <v>1</v>
      </c>
      <c r="F90" s="7" t="s">
        <v>205</v>
      </c>
      <c r="G90" s="1" t="str">
        <f t="shared" si="20"/>
        <v>fashi01_Lv3</v>
      </c>
      <c r="H90" s="6">
        <f t="shared" si="21"/>
        <v>1</v>
      </c>
      <c r="I90" s="6">
        <f t="shared" si="19"/>
        <v>800</v>
      </c>
      <c r="J90" s="5">
        <f t="shared" si="18"/>
        <v>800</v>
      </c>
      <c r="K90" s="3">
        <v>650</v>
      </c>
      <c r="L90" s="1">
        <v>120</v>
      </c>
      <c r="M90" s="3">
        <v>20</v>
      </c>
      <c r="N90" s="4">
        <f>环形怪物属性!F91</f>
        <v>1848</v>
      </c>
      <c r="O90" s="4">
        <f>环形怪物属性!H91</f>
        <v>34</v>
      </c>
      <c r="P90" s="4">
        <f>环形怪物属性!K91</f>
        <v>15</v>
      </c>
      <c r="Q90" s="4">
        <f>环形怪物属性!N91</f>
        <v>47</v>
      </c>
      <c r="R90" s="4">
        <v>28</v>
      </c>
      <c r="S90" s="4">
        <v>15</v>
      </c>
      <c r="T90" s="1">
        <f t="shared" si="23"/>
        <v>0.3</v>
      </c>
      <c r="U90" s="6" t="s">
        <v>193</v>
      </c>
      <c r="V90" s="1">
        <v>120</v>
      </c>
      <c r="W90" s="1">
        <f t="shared" si="22"/>
        <v>10</v>
      </c>
      <c r="X90" s="1">
        <v>1</v>
      </c>
      <c r="Y90" s="1">
        <v>1.5</v>
      </c>
      <c r="Z90" s="1">
        <v>1000</v>
      </c>
    </row>
    <row r="91" spans="1:26">
      <c r="A91" s="1">
        <v>30018</v>
      </c>
      <c r="B91" s="7" t="s">
        <v>206</v>
      </c>
      <c r="C91" s="1" t="str">
        <f t="shared" si="24"/>
        <v>3</v>
      </c>
      <c r="D91" s="7" t="s">
        <v>78</v>
      </c>
      <c r="E91" s="1">
        <v>1</v>
      </c>
      <c r="F91" s="7" t="s">
        <v>207</v>
      </c>
      <c r="G91" s="1" t="str">
        <f t="shared" si="20"/>
        <v>fashi02_Lv3</v>
      </c>
      <c r="H91" s="6">
        <f t="shared" si="21"/>
        <v>1</v>
      </c>
      <c r="I91" s="6">
        <f t="shared" si="19"/>
        <v>800</v>
      </c>
      <c r="J91" s="5">
        <f t="shared" si="18"/>
        <v>800</v>
      </c>
      <c r="K91" s="3">
        <v>650</v>
      </c>
      <c r="L91" s="1">
        <v>120</v>
      </c>
      <c r="M91" s="3">
        <v>20</v>
      </c>
      <c r="N91" s="4">
        <f>环形怪物属性!F92</f>
        <v>1866</v>
      </c>
      <c r="O91" s="4">
        <v>20</v>
      </c>
      <c r="P91" s="4">
        <f>环形怪物属性!K92</f>
        <v>15</v>
      </c>
      <c r="Q91" s="4">
        <f>环形怪物属性!N92</f>
        <v>45</v>
      </c>
      <c r="R91" s="4">
        <v>28</v>
      </c>
      <c r="S91" s="4">
        <v>15</v>
      </c>
      <c r="T91" s="1">
        <f t="shared" si="23"/>
        <v>0.3</v>
      </c>
      <c r="U91" s="6" t="s">
        <v>193</v>
      </c>
      <c r="V91" s="1">
        <v>120</v>
      </c>
      <c r="W91" s="1">
        <f t="shared" si="22"/>
        <v>10</v>
      </c>
      <c r="X91" s="1">
        <v>1</v>
      </c>
      <c r="Y91" s="1">
        <v>1.5</v>
      </c>
      <c r="Z91" s="1">
        <v>1000</v>
      </c>
    </row>
    <row r="92" spans="1:26">
      <c r="A92" s="1">
        <v>30019</v>
      </c>
      <c r="B92" s="7" t="s">
        <v>208</v>
      </c>
      <c r="C92" s="1" t="str">
        <f t="shared" si="24"/>
        <v>3</v>
      </c>
      <c r="D92" s="7" t="s">
        <v>78</v>
      </c>
      <c r="E92" s="1">
        <v>1</v>
      </c>
      <c r="F92" s="7" t="s">
        <v>209</v>
      </c>
      <c r="G92" s="1" t="str">
        <f t="shared" si="20"/>
        <v>fashi03_Lv3</v>
      </c>
      <c r="H92" s="6">
        <f t="shared" si="21"/>
        <v>1</v>
      </c>
      <c r="I92" s="6">
        <f t="shared" si="19"/>
        <v>800</v>
      </c>
      <c r="J92" s="5">
        <f t="shared" si="18"/>
        <v>800</v>
      </c>
      <c r="K92" s="3">
        <v>650</v>
      </c>
      <c r="L92" s="1">
        <v>120</v>
      </c>
      <c r="M92" s="3">
        <v>20</v>
      </c>
      <c r="N92" s="4">
        <f>环形怪物属性!F93</f>
        <v>1884</v>
      </c>
      <c r="O92" s="4">
        <v>20</v>
      </c>
      <c r="P92" s="4">
        <f>环形怪物属性!K93</f>
        <v>16</v>
      </c>
      <c r="Q92" s="4">
        <f>环形怪物属性!N93</f>
        <v>45</v>
      </c>
      <c r="R92" s="4">
        <v>30</v>
      </c>
      <c r="S92" s="4">
        <v>15</v>
      </c>
      <c r="T92" s="1">
        <f t="shared" si="23"/>
        <v>0.3</v>
      </c>
      <c r="U92" s="6" t="s">
        <v>193</v>
      </c>
      <c r="V92" s="1">
        <v>120</v>
      </c>
      <c r="W92" s="1">
        <f t="shared" si="22"/>
        <v>10</v>
      </c>
      <c r="X92" s="1">
        <v>1</v>
      </c>
      <c r="Y92" s="1">
        <v>1.5</v>
      </c>
      <c r="Z92" s="1">
        <v>1000</v>
      </c>
    </row>
    <row r="93" spans="1:26">
      <c r="A93" s="1">
        <v>30020</v>
      </c>
      <c r="B93" s="7" t="s">
        <v>210</v>
      </c>
      <c r="C93" s="1" t="str">
        <f t="shared" si="24"/>
        <v>3</v>
      </c>
      <c r="D93" s="7" t="s">
        <v>74</v>
      </c>
      <c r="E93" s="1">
        <v>1</v>
      </c>
      <c r="F93" s="7" t="s">
        <v>211</v>
      </c>
      <c r="G93" s="1" t="str">
        <f t="shared" si="20"/>
        <v>mushi01_Lv3</v>
      </c>
      <c r="H93" s="6">
        <f t="shared" si="21"/>
        <v>1</v>
      </c>
      <c r="I93" s="6">
        <f t="shared" si="19"/>
        <v>800</v>
      </c>
      <c r="J93" s="5">
        <f t="shared" si="18"/>
        <v>800</v>
      </c>
      <c r="K93" s="3">
        <v>650</v>
      </c>
      <c r="L93" s="1">
        <v>120</v>
      </c>
      <c r="M93" s="3">
        <v>20</v>
      </c>
      <c r="N93" s="4">
        <f>环形怪物属性!F94</f>
        <v>1902</v>
      </c>
      <c r="O93" s="4">
        <v>20</v>
      </c>
      <c r="P93" s="4">
        <f>环形怪物属性!K94</f>
        <v>16</v>
      </c>
      <c r="Q93" s="4">
        <f>环形怪物属性!N94</f>
        <v>45</v>
      </c>
      <c r="R93" s="4">
        <v>32</v>
      </c>
      <c r="S93" s="4">
        <v>15</v>
      </c>
      <c r="T93" s="1">
        <f t="shared" si="23"/>
        <v>0.3</v>
      </c>
      <c r="U93" s="6" t="s">
        <v>193</v>
      </c>
      <c r="V93" s="1">
        <v>120</v>
      </c>
      <c r="W93" s="1">
        <f t="shared" si="22"/>
        <v>10</v>
      </c>
      <c r="X93" s="1">
        <v>1</v>
      </c>
      <c r="Y93" s="1">
        <v>1.5</v>
      </c>
      <c r="Z93" s="1">
        <v>1000</v>
      </c>
    </row>
    <row r="94" spans="1:26">
      <c r="A94" s="1">
        <v>30021</v>
      </c>
      <c r="B94" s="7" t="s">
        <v>212</v>
      </c>
      <c r="C94" s="1" t="str">
        <f t="shared" si="24"/>
        <v>3</v>
      </c>
      <c r="D94" s="7" t="s">
        <v>74</v>
      </c>
      <c r="E94" s="1">
        <v>1</v>
      </c>
      <c r="F94" s="7" t="s">
        <v>213</v>
      </c>
      <c r="G94" s="1" t="str">
        <f t="shared" si="20"/>
        <v>mushi02_Lv3</v>
      </c>
      <c r="H94" s="6">
        <f t="shared" si="21"/>
        <v>1</v>
      </c>
      <c r="I94" s="6">
        <f t="shared" si="19"/>
        <v>800</v>
      </c>
      <c r="J94" s="5">
        <f t="shared" si="18"/>
        <v>800</v>
      </c>
      <c r="K94" s="3">
        <v>650</v>
      </c>
      <c r="L94" s="1">
        <v>120</v>
      </c>
      <c r="M94" s="3">
        <v>20</v>
      </c>
      <c r="N94" s="4">
        <f>环形怪物属性!F95</f>
        <v>1920</v>
      </c>
      <c r="O94" s="4">
        <v>20</v>
      </c>
      <c r="P94" s="4">
        <f>环形怪物属性!K95</f>
        <v>16</v>
      </c>
      <c r="Q94" s="4">
        <f>环形怪物属性!N95</f>
        <v>45</v>
      </c>
      <c r="R94" s="4">
        <v>30</v>
      </c>
      <c r="S94" s="4">
        <v>15</v>
      </c>
      <c r="T94" s="1">
        <f t="shared" si="23"/>
        <v>0.3</v>
      </c>
      <c r="U94" s="6" t="s">
        <v>193</v>
      </c>
      <c r="V94" s="1">
        <v>120</v>
      </c>
      <c r="W94" s="1">
        <f t="shared" si="22"/>
        <v>10</v>
      </c>
      <c r="X94" s="1">
        <v>1</v>
      </c>
      <c r="Y94" s="1">
        <v>1.5</v>
      </c>
      <c r="Z94" s="1">
        <v>1000</v>
      </c>
    </row>
    <row r="95" spans="1:26">
      <c r="A95" s="1">
        <v>30022</v>
      </c>
      <c r="B95" s="7" t="s">
        <v>214</v>
      </c>
      <c r="C95" s="1" t="str">
        <f t="shared" si="24"/>
        <v>3</v>
      </c>
      <c r="D95" s="7" t="s">
        <v>74</v>
      </c>
      <c r="E95" s="1">
        <v>1</v>
      </c>
      <c r="F95" s="7" t="s">
        <v>215</v>
      </c>
      <c r="G95" s="1" t="str">
        <f t="shared" si="20"/>
        <v>mushi03_Lv3</v>
      </c>
      <c r="H95" s="6">
        <f t="shared" si="21"/>
        <v>1</v>
      </c>
      <c r="I95" s="6">
        <f t="shared" si="19"/>
        <v>800</v>
      </c>
      <c r="J95" s="5">
        <f t="shared" si="18"/>
        <v>800</v>
      </c>
      <c r="K95" s="3">
        <v>650</v>
      </c>
      <c r="L95" s="1">
        <v>120</v>
      </c>
      <c r="M95" s="3">
        <v>20</v>
      </c>
      <c r="N95" s="4">
        <f>环形怪物属性!F96</f>
        <v>1938</v>
      </c>
      <c r="O95" s="4">
        <v>20</v>
      </c>
      <c r="P95" s="4">
        <f>环形怪物属性!K96</f>
        <v>18</v>
      </c>
      <c r="Q95" s="4">
        <f>环形怪物属性!N96</f>
        <v>45</v>
      </c>
      <c r="R95" s="4">
        <v>32</v>
      </c>
      <c r="S95" s="4">
        <v>15</v>
      </c>
      <c r="T95" s="1">
        <f t="shared" si="23"/>
        <v>0.3</v>
      </c>
      <c r="U95" s="6" t="s">
        <v>193</v>
      </c>
      <c r="V95" s="1">
        <v>120</v>
      </c>
      <c r="W95" s="1">
        <f t="shared" si="22"/>
        <v>10</v>
      </c>
      <c r="X95" s="1">
        <v>1</v>
      </c>
      <c r="Y95" s="1">
        <v>1.5</v>
      </c>
      <c r="Z95" s="1">
        <v>1000</v>
      </c>
    </row>
    <row r="96" spans="1:26">
      <c r="A96" s="1">
        <v>30023</v>
      </c>
      <c r="B96" s="7" t="s">
        <v>216</v>
      </c>
      <c r="C96" s="1" t="str">
        <f t="shared" si="24"/>
        <v>3</v>
      </c>
      <c r="D96" s="7" t="s">
        <v>56</v>
      </c>
      <c r="E96" s="1">
        <v>1</v>
      </c>
      <c r="F96" s="7" t="s">
        <v>217</v>
      </c>
      <c r="G96" s="1" t="str">
        <f t="shared" si="20"/>
        <v>moshou01_Lv3</v>
      </c>
      <c r="H96" s="6">
        <f t="shared" si="21"/>
        <v>2</v>
      </c>
      <c r="I96" s="6">
        <f t="shared" si="19"/>
        <v>150</v>
      </c>
      <c r="J96" s="5">
        <f t="shared" si="18"/>
        <v>500</v>
      </c>
      <c r="K96" s="3">
        <v>800</v>
      </c>
      <c r="L96" s="1">
        <v>120</v>
      </c>
      <c r="M96" s="3">
        <v>15</v>
      </c>
      <c r="N96" s="4">
        <f>环形怪物属性!F97</f>
        <v>1956</v>
      </c>
      <c r="O96" s="4">
        <f>环形怪物属性!H97</f>
        <v>64</v>
      </c>
      <c r="P96" s="4">
        <f>环形怪物属性!K97</f>
        <v>17</v>
      </c>
      <c r="Q96" s="4">
        <f>环形怪物属性!N97</f>
        <v>29</v>
      </c>
      <c r="R96" s="4">
        <v>23</v>
      </c>
      <c r="S96" s="4">
        <v>15</v>
      </c>
      <c r="T96" s="1">
        <f t="shared" ref="T96:T113" si="25">T95</f>
        <v>0.3</v>
      </c>
      <c r="U96" s="6">
        <v>80071</v>
      </c>
      <c r="V96" s="1">
        <v>120</v>
      </c>
      <c r="W96" s="1">
        <f t="shared" si="22"/>
        <v>10</v>
      </c>
      <c r="X96" s="1">
        <v>1</v>
      </c>
      <c r="Y96" s="1">
        <v>1.5</v>
      </c>
      <c r="Z96" s="1">
        <v>1000</v>
      </c>
    </row>
    <row r="97" spans="1:26">
      <c r="A97" s="1">
        <v>30024</v>
      </c>
      <c r="B97" s="7" t="s">
        <v>218</v>
      </c>
      <c r="C97" s="1" t="str">
        <f t="shared" si="24"/>
        <v>3</v>
      </c>
      <c r="D97" s="7" t="s">
        <v>56</v>
      </c>
      <c r="E97" s="1">
        <v>1</v>
      </c>
      <c r="F97" s="7" t="s">
        <v>219</v>
      </c>
      <c r="G97" s="1" t="str">
        <f t="shared" si="20"/>
        <v>moshou02_Lv3</v>
      </c>
      <c r="H97" s="6">
        <f t="shared" si="21"/>
        <v>2</v>
      </c>
      <c r="I97" s="6">
        <f t="shared" si="19"/>
        <v>150</v>
      </c>
      <c r="J97" s="5">
        <f t="shared" si="18"/>
        <v>500</v>
      </c>
      <c r="K97" s="3">
        <v>650</v>
      </c>
      <c r="L97" s="1">
        <v>120</v>
      </c>
      <c r="M97" s="3">
        <v>15</v>
      </c>
      <c r="N97" s="4">
        <f>环形怪物属性!F98</f>
        <v>1974</v>
      </c>
      <c r="O97" s="4">
        <f>环形怪物属性!H98</f>
        <v>60</v>
      </c>
      <c r="P97" s="4">
        <f>环形怪物属性!K98</f>
        <v>16</v>
      </c>
      <c r="Q97" s="4">
        <f>环形怪物属性!N98</f>
        <v>29</v>
      </c>
      <c r="R97" s="4">
        <v>24.5</v>
      </c>
      <c r="S97" s="4">
        <v>15</v>
      </c>
      <c r="T97" s="1">
        <f t="shared" si="25"/>
        <v>0.3</v>
      </c>
      <c r="U97" s="6">
        <v>80071</v>
      </c>
      <c r="V97" s="1">
        <v>120</v>
      </c>
      <c r="W97" s="1">
        <f t="shared" si="22"/>
        <v>10</v>
      </c>
      <c r="X97" s="1">
        <v>1</v>
      </c>
      <c r="Y97" s="1">
        <v>1.5</v>
      </c>
      <c r="Z97" s="1">
        <v>1000</v>
      </c>
    </row>
    <row r="98" spans="1:26">
      <c r="A98" s="1">
        <v>30025</v>
      </c>
      <c r="B98" s="7" t="s">
        <v>220</v>
      </c>
      <c r="C98" s="1" t="str">
        <f t="shared" si="24"/>
        <v>3</v>
      </c>
      <c r="D98" s="7" t="s">
        <v>56</v>
      </c>
      <c r="E98" s="1">
        <v>1</v>
      </c>
      <c r="F98" s="7" t="s">
        <v>221</v>
      </c>
      <c r="G98" s="1" t="str">
        <f t="shared" si="20"/>
        <v>moshou03_Lv3</v>
      </c>
      <c r="H98" s="6">
        <f t="shared" si="21"/>
        <v>2</v>
      </c>
      <c r="I98" s="6">
        <f t="shared" si="19"/>
        <v>150</v>
      </c>
      <c r="J98" s="5">
        <f t="shared" si="18"/>
        <v>500</v>
      </c>
      <c r="K98" s="3">
        <v>650</v>
      </c>
      <c r="L98" s="1">
        <v>120</v>
      </c>
      <c r="M98" s="3">
        <v>15</v>
      </c>
      <c r="N98" s="4">
        <f>环形怪物属性!F99</f>
        <v>1992</v>
      </c>
      <c r="O98" s="4">
        <f>环形怪物属性!H99</f>
        <v>39</v>
      </c>
      <c r="P98" s="4">
        <f>环形怪物属性!K99</f>
        <v>15</v>
      </c>
      <c r="Q98" s="4">
        <f>环形怪物属性!N99</f>
        <v>45</v>
      </c>
      <c r="R98" s="4">
        <v>28</v>
      </c>
      <c r="S98" s="4">
        <v>15</v>
      </c>
      <c r="T98" s="1">
        <f t="shared" si="25"/>
        <v>0.3</v>
      </c>
      <c r="U98" s="6" t="s">
        <v>193</v>
      </c>
      <c r="V98" s="1">
        <v>120</v>
      </c>
      <c r="W98" s="1">
        <f t="shared" si="22"/>
        <v>10</v>
      </c>
      <c r="X98" s="1">
        <v>1</v>
      </c>
      <c r="Y98" s="1">
        <v>1.5</v>
      </c>
      <c r="Z98" s="1">
        <v>1000</v>
      </c>
    </row>
    <row r="99" spans="1:26">
      <c r="A99" s="1">
        <v>30026</v>
      </c>
      <c r="B99" s="7" t="s">
        <v>222</v>
      </c>
      <c r="C99" s="1" t="str">
        <f t="shared" si="24"/>
        <v>3</v>
      </c>
      <c r="D99" s="7" t="s">
        <v>105</v>
      </c>
      <c r="E99" s="1">
        <v>1</v>
      </c>
      <c r="F99" s="7" t="s">
        <v>223</v>
      </c>
      <c r="G99" s="1" t="str">
        <f t="shared" si="20"/>
        <v>yeshou01_lv3</v>
      </c>
      <c r="H99" s="6">
        <f t="shared" si="21"/>
        <v>2</v>
      </c>
      <c r="I99" s="6">
        <f t="shared" si="19"/>
        <v>150</v>
      </c>
      <c r="J99" s="5">
        <f t="shared" si="18"/>
        <v>500</v>
      </c>
      <c r="K99" s="3">
        <v>650</v>
      </c>
      <c r="L99" s="1">
        <v>120</v>
      </c>
      <c r="M99" s="3">
        <v>15</v>
      </c>
      <c r="N99" s="4">
        <f>环形怪物属性!F100</f>
        <v>2010</v>
      </c>
      <c r="O99" s="4">
        <f>环形怪物属性!H100</f>
        <v>64</v>
      </c>
      <c r="P99" s="4">
        <f>环形怪物属性!K100</f>
        <v>17</v>
      </c>
      <c r="Q99" s="4">
        <f>环形怪物属性!N100</f>
        <v>27</v>
      </c>
      <c r="R99" s="4">
        <v>23</v>
      </c>
      <c r="S99" s="4">
        <v>15</v>
      </c>
      <c r="T99" s="1">
        <f t="shared" si="25"/>
        <v>0.3</v>
      </c>
      <c r="U99" s="6">
        <v>80071</v>
      </c>
      <c r="V99" s="1">
        <v>120</v>
      </c>
      <c r="W99" s="1">
        <f t="shared" si="22"/>
        <v>10</v>
      </c>
      <c r="X99" s="1">
        <v>1</v>
      </c>
      <c r="Y99" s="1">
        <v>1.5</v>
      </c>
      <c r="Z99" s="1">
        <v>1000</v>
      </c>
    </row>
    <row r="100" spans="1:26">
      <c r="A100" s="1">
        <v>30027</v>
      </c>
      <c r="B100" s="7" t="s">
        <v>224</v>
      </c>
      <c r="C100" s="1" t="str">
        <f t="shared" si="24"/>
        <v>3</v>
      </c>
      <c r="D100" s="7" t="s">
        <v>105</v>
      </c>
      <c r="E100" s="1">
        <v>1</v>
      </c>
      <c r="F100" s="7" t="s">
        <v>225</v>
      </c>
      <c r="G100" s="1" t="str">
        <f t="shared" si="20"/>
        <v>yeshou02_lv3</v>
      </c>
      <c r="H100" s="6">
        <f t="shared" si="21"/>
        <v>2</v>
      </c>
      <c r="I100" s="6">
        <f t="shared" si="19"/>
        <v>150</v>
      </c>
      <c r="J100" s="5">
        <f t="shared" si="18"/>
        <v>500</v>
      </c>
      <c r="K100" s="3">
        <v>800</v>
      </c>
      <c r="L100" s="1">
        <v>120</v>
      </c>
      <c r="M100" s="3">
        <v>15</v>
      </c>
      <c r="N100" s="4">
        <f>环形怪物属性!F101</f>
        <v>2028</v>
      </c>
      <c r="O100" s="4">
        <f>环形怪物属性!H101</f>
        <v>62</v>
      </c>
      <c r="P100" s="4">
        <f>环形怪物属性!K101</f>
        <v>17</v>
      </c>
      <c r="Q100" s="4">
        <f>环形怪物属性!N101</f>
        <v>27</v>
      </c>
      <c r="R100" s="4">
        <v>23</v>
      </c>
      <c r="S100" s="4">
        <v>15</v>
      </c>
      <c r="T100" s="1">
        <f t="shared" si="25"/>
        <v>0.3</v>
      </c>
      <c r="U100" s="6" t="s">
        <v>193</v>
      </c>
      <c r="V100" s="1">
        <v>120</v>
      </c>
      <c r="W100" s="1">
        <f t="shared" si="22"/>
        <v>10</v>
      </c>
      <c r="X100" s="1">
        <v>1</v>
      </c>
      <c r="Y100" s="1">
        <v>1.5</v>
      </c>
      <c r="Z100" s="1">
        <v>1000</v>
      </c>
    </row>
    <row r="101" spans="1:26">
      <c r="A101" s="1">
        <v>30028</v>
      </c>
      <c r="B101" s="7" t="s">
        <v>226</v>
      </c>
      <c r="C101" s="1" t="str">
        <f t="shared" si="24"/>
        <v>3</v>
      </c>
      <c r="D101" s="7" t="s">
        <v>105</v>
      </c>
      <c r="E101" s="1">
        <v>1</v>
      </c>
      <c r="F101" s="7" t="s">
        <v>223</v>
      </c>
      <c r="G101" s="1" t="str">
        <f t="shared" si="20"/>
        <v>yeshou01_lv3</v>
      </c>
      <c r="H101" s="6">
        <f t="shared" si="21"/>
        <v>2</v>
      </c>
      <c r="I101" s="6">
        <f t="shared" si="19"/>
        <v>150</v>
      </c>
      <c r="J101" s="5">
        <f t="shared" si="18"/>
        <v>500</v>
      </c>
      <c r="K101" s="3">
        <v>650</v>
      </c>
      <c r="L101" s="1">
        <v>120</v>
      </c>
      <c r="M101" s="3">
        <v>15</v>
      </c>
      <c r="N101" s="4">
        <f>环形怪物属性!F102</f>
        <v>2046</v>
      </c>
      <c r="O101" s="4">
        <f>环形怪物属性!H102</f>
        <v>58</v>
      </c>
      <c r="P101" s="4">
        <f>环形怪物属性!K102</f>
        <v>18</v>
      </c>
      <c r="Q101" s="4">
        <f>环形怪物属性!N102</f>
        <v>27</v>
      </c>
      <c r="R101" s="4">
        <v>23</v>
      </c>
      <c r="S101" s="4">
        <v>15</v>
      </c>
      <c r="T101" s="1">
        <f t="shared" si="25"/>
        <v>0.3</v>
      </c>
      <c r="U101" s="6">
        <v>80071</v>
      </c>
      <c r="V101" s="1">
        <v>120</v>
      </c>
      <c r="W101" s="1">
        <f t="shared" si="22"/>
        <v>10</v>
      </c>
      <c r="X101" s="1">
        <v>1</v>
      </c>
      <c r="Y101" s="1">
        <v>1.5</v>
      </c>
      <c r="Z101" s="1">
        <v>1000</v>
      </c>
    </row>
    <row r="102" spans="1:26">
      <c r="A102" s="1">
        <v>30029</v>
      </c>
      <c r="B102" s="7" t="s">
        <v>227</v>
      </c>
      <c r="C102" s="1" t="str">
        <f t="shared" ref="C102:C113" si="26">LEFT(A102,1)</f>
        <v>3</v>
      </c>
      <c r="D102" s="6" t="s">
        <v>84</v>
      </c>
      <c r="E102" s="1">
        <v>1</v>
      </c>
      <c r="F102" s="1" t="s">
        <v>172</v>
      </c>
      <c r="G102" s="1" t="str">
        <f t="shared" si="20"/>
        <v>boss001</v>
      </c>
      <c r="H102" s="6">
        <f t="shared" ref="H102:H116" si="27">_xlfn.IFS(OR(D102="1",D102="2",D102="7",D102="8"),2,OR(D102="3",D102="4",D102="5",D102="6"),1)</f>
        <v>2</v>
      </c>
      <c r="I102" s="6">
        <f t="shared" si="19"/>
        <v>150</v>
      </c>
      <c r="J102" s="5">
        <f t="shared" si="18"/>
        <v>500</v>
      </c>
      <c r="K102" s="3">
        <v>650</v>
      </c>
      <c r="L102" s="1">
        <v>120</v>
      </c>
      <c r="M102" s="3">
        <v>15</v>
      </c>
      <c r="N102" s="4">
        <f>环形怪物属性!F103</f>
        <v>2064</v>
      </c>
      <c r="O102" s="4">
        <f>环形怪物属性!H103</f>
        <v>51</v>
      </c>
      <c r="P102" s="4">
        <f>环形怪物属性!K103</f>
        <v>15</v>
      </c>
      <c r="Q102" s="4">
        <f>环形怪物属性!N103</f>
        <v>23</v>
      </c>
      <c r="R102" s="4">
        <v>26.5</v>
      </c>
      <c r="S102" s="4">
        <v>15</v>
      </c>
      <c r="T102" s="1">
        <f t="shared" si="25"/>
        <v>0.3</v>
      </c>
      <c r="U102" s="6">
        <v>80071</v>
      </c>
      <c r="V102" s="1">
        <v>120</v>
      </c>
      <c r="W102" s="1">
        <f t="shared" ref="W102:W113" si="28">_xlfn.IFS(C102="1",2,C102="2",5,C102="3",10,C102="4",20,TRUE,0)</f>
        <v>10</v>
      </c>
      <c r="X102" s="1">
        <v>1</v>
      </c>
      <c r="Y102" s="1">
        <v>1.5</v>
      </c>
      <c r="Z102" s="1">
        <v>1000</v>
      </c>
    </row>
    <row r="103" spans="1:26">
      <c r="A103" s="1">
        <v>30030</v>
      </c>
      <c r="B103" s="7" t="s">
        <v>228</v>
      </c>
      <c r="C103" s="1" t="str">
        <f t="shared" si="26"/>
        <v>3</v>
      </c>
      <c r="D103" s="6" t="s">
        <v>84</v>
      </c>
      <c r="E103" s="1">
        <v>1</v>
      </c>
      <c r="F103" s="1" t="s">
        <v>174</v>
      </c>
      <c r="G103" s="1" t="str">
        <f t="shared" si="20"/>
        <v>boss002</v>
      </c>
      <c r="H103" s="6">
        <f t="shared" si="27"/>
        <v>2</v>
      </c>
      <c r="I103" s="6">
        <f t="shared" si="19"/>
        <v>150</v>
      </c>
      <c r="J103" s="5">
        <f t="shared" si="18"/>
        <v>500</v>
      </c>
      <c r="K103" s="3">
        <v>650</v>
      </c>
      <c r="L103" s="1">
        <v>120</v>
      </c>
      <c r="M103" s="3">
        <v>15</v>
      </c>
      <c r="N103" s="4">
        <f>环形怪物属性!F104</f>
        <v>2082</v>
      </c>
      <c r="O103" s="4">
        <f>环形怪物属性!H104</f>
        <v>51</v>
      </c>
      <c r="P103" s="4">
        <f>环形怪物属性!K104</f>
        <v>15</v>
      </c>
      <c r="Q103" s="4">
        <f>环形怪物属性!N104</f>
        <v>23</v>
      </c>
      <c r="R103" s="4">
        <v>26.5</v>
      </c>
      <c r="S103" s="4">
        <v>15</v>
      </c>
      <c r="T103" s="1">
        <f t="shared" si="25"/>
        <v>0.3</v>
      </c>
      <c r="U103" s="6">
        <v>80071</v>
      </c>
      <c r="V103" s="1">
        <v>120</v>
      </c>
      <c r="W103" s="1">
        <f t="shared" si="28"/>
        <v>10</v>
      </c>
      <c r="X103" s="1">
        <v>1</v>
      </c>
      <c r="Y103" s="1">
        <v>1.8</v>
      </c>
      <c r="Z103" s="1">
        <v>1000</v>
      </c>
    </row>
    <row r="104" spans="1:26">
      <c r="A104" s="1">
        <v>30031</v>
      </c>
      <c r="B104" s="7" t="s">
        <v>229</v>
      </c>
      <c r="C104" s="1" t="str">
        <f t="shared" si="26"/>
        <v>3</v>
      </c>
      <c r="D104" s="6" t="s">
        <v>84</v>
      </c>
      <c r="E104" s="1">
        <v>1</v>
      </c>
      <c r="F104" s="1" t="s">
        <v>176</v>
      </c>
      <c r="G104" s="1" t="str">
        <f t="shared" si="20"/>
        <v>boss003</v>
      </c>
      <c r="H104" s="6">
        <f t="shared" si="27"/>
        <v>2</v>
      </c>
      <c r="I104" s="6">
        <f t="shared" si="19"/>
        <v>150</v>
      </c>
      <c r="J104" s="5">
        <f t="shared" si="18"/>
        <v>500</v>
      </c>
      <c r="K104" s="3">
        <v>650</v>
      </c>
      <c r="L104" s="1">
        <v>120</v>
      </c>
      <c r="M104" s="3">
        <v>15</v>
      </c>
      <c r="N104" s="4">
        <f>环形怪物属性!F105</f>
        <v>2100</v>
      </c>
      <c r="O104" s="4">
        <f>环形怪物属性!H105</f>
        <v>51</v>
      </c>
      <c r="P104" s="4">
        <f>环形怪物属性!K105</f>
        <v>15</v>
      </c>
      <c r="Q104" s="4">
        <f>环形怪物属性!N105</f>
        <v>23</v>
      </c>
      <c r="R104" s="4">
        <v>26.5</v>
      </c>
      <c r="S104" s="4">
        <v>15</v>
      </c>
      <c r="T104" s="1">
        <f t="shared" si="25"/>
        <v>0.3</v>
      </c>
      <c r="U104" s="6">
        <v>80071</v>
      </c>
      <c r="V104" s="1">
        <v>120</v>
      </c>
      <c r="W104" s="1">
        <f t="shared" si="28"/>
        <v>10</v>
      </c>
      <c r="X104" s="1">
        <v>1</v>
      </c>
      <c r="Y104" s="1">
        <v>1.8</v>
      </c>
      <c r="Z104" s="1">
        <v>1000</v>
      </c>
    </row>
    <row r="105" spans="1:26">
      <c r="A105" s="1">
        <v>30032</v>
      </c>
      <c r="B105" s="7" t="s">
        <v>230</v>
      </c>
      <c r="C105" s="1" t="str">
        <f t="shared" si="26"/>
        <v>3</v>
      </c>
      <c r="D105" s="6" t="s">
        <v>84</v>
      </c>
      <c r="E105" s="1">
        <v>1</v>
      </c>
      <c r="F105" s="1" t="s">
        <v>172</v>
      </c>
      <c r="G105" s="1" t="str">
        <f t="shared" si="20"/>
        <v>boss001</v>
      </c>
      <c r="H105" s="6">
        <f t="shared" si="27"/>
        <v>2</v>
      </c>
      <c r="I105" s="6">
        <f t="shared" si="19"/>
        <v>150</v>
      </c>
      <c r="J105" s="5">
        <f t="shared" si="18"/>
        <v>500</v>
      </c>
      <c r="K105" s="3">
        <v>650</v>
      </c>
      <c r="L105" s="1">
        <v>120</v>
      </c>
      <c r="M105" s="3">
        <v>15</v>
      </c>
      <c r="N105" s="4">
        <f>环形怪物属性!F106</f>
        <v>2118</v>
      </c>
      <c r="O105" s="4">
        <f>环形怪物属性!H106</f>
        <v>54</v>
      </c>
      <c r="P105" s="4">
        <f>环形怪物属性!K106</f>
        <v>16</v>
      </c>
      <c r="Q105" s="4">
        <f>环形怪物属性!N106</f>
        <v>25</v>
      </c>
      <c r="R105" s="4">
        <v>28</v>
      </c>
      <c r="S105" s="4">
        <v>15</v>
      </c>
      <c r="T105" s="1">
        <f t="shared" si="25"/>
        <v>0.3</v>
      </c>
      <c r="U105" s="6">
        <v>80071</v>
      </c>
      <c r="V105" s="1">
        <v>120</v>
      </c>
      <c r="W105" s="1">
        <f t="shared" si="28"/>
        <v>10</v>
      </c>
      <c r="X105" s="1">
        <v>1</v>
      </c>
      <c r="Y105" s="1">
        <v>1.8</v>
      </c>
      <c r="Z105" s="1">
        <v>1000</v>
      </c>
    </row>
    <row r="106" spans="1:26">
      <c r="A106" s="1">
        <v>30033</v>
      </c>
      <c r="B106" s="7" t="s">
        <v>231</v>
      </c>
      <c r="C106" s="1" t="str">
        <f t="shared" si="26"/>
        <v>3</v>
      </c>
      <c r="D106" s="7" t="s">
        <v>105</v>
      </c>
      <c r="E106" s="1">
        <v>1</v>
      </c>
      <c r="F106" s="1" t="s">
        <v>174</v>
      </c>
      <c r="G106" s="1" t="str">
        <f t="shared" si="20"/>
        <v>boss002</v>
      </c>
      <c r="H106" s="6">
        <f t="shared" si="27"/>
        <v>2</v>
      </c>
      <c r="I106" s="6">
        <f t="shared" si="19"/>
        <v>150</v>
      </c>
      <c r="J106" s="5">
        <f t="shared" si="18"/>
        <v>500</v>
      </c>
      <c r="K106" s="3">
        <v>650</v>
      </c>
      <c r="L106" s="1">
        <v>120</v>
      </c>
      <c r="M106" s="3">
        <v>15</v>
      </c>
      <c r="N106" s="4">
        <f>环形怪物属性!F107</f>
        <v>2136</v>
      </c>
      <c r="O106" s="4">
        <f>环形怪物属性!H107</f>
        <v>54</v>
      </c>
      <c r="P106" s="4">
        <f>环形怪物属性!K107</f>
        <v>16</v>
      </c>
      <c r="Q106" s="4">
        <f>环形怪物属性!N107</f>
        <v>25</v>
      </c>
      <c r="R106" s="4">
        <v>28</v>
      </c>
      <c r="S106" s="4">
        <v>15</v>
      </c>
      <c r="T106" s="1">
        <f t="shared" si="25"/>
        <v>0.3</v>
      </c>
      <c r="U106" s="6">
        <v>80071</v>
      </c>
      <c r="V106" s="1">
        <v>120</v>
      </c>
      <c r="W106" s="1">
        <f t="shared" si="28"/>
        <v>10</v>
      </c>
      <c r="X106" s="1">
        <v>1</v>
      </c>
      <c r="Y106" s="1">
        <v>1.8</v>
      </c>
      <c r="Z106" s="1">
        <v>1000</v>
      </c>
    </row>
    <row r="107" spans="1:26">
      <c r="A107" s="1">
        <v>30034</v>
      </c>
      <c r="B107" s="7" t="s">
        <v>232</v>
      </c>
      <c r="C107" s="1" t="str">
        <f t="shared" si="26"/>
        <v>3</v>
      </c>
      <c r="D107" s="6" t="s">
        <v>84</v>
      </c>
      <c r="E107" s="1">
        <v>1</v>
      </c>
      <c r="F107" s="1" t="s">
        <v>176</v>
      </c>
      <c r="G107" s="1" t="str">
        <f t="shared" si="20"/>
        <v>boss003</v>
      </c>
      <c r="H107" s="6">
        <f t="shared" si="27"/>
        <v>2</v>
      </c>
      <c r="I107" s="6">
        <f t="shared" si="19"/>
        <v>150</v>
      </c>
      <c r="J107" s="5">
        <f t="shared" si="18"/>
        <v>500</v>
      </c>
      <c r="K107" s="3">
        <v>650</v>
      </c>
      <c r="L107" s="1">
        <v>120</v>
      </c>
      <c r="M107" s="3">
        <v>15</v>
      </c>
      <c r="N107" s="4">
        <f>环形怪物属性!F108</f>
        <v>2154</v>
      </c>
      <c r="O107" s="4">
        <f>环形怪物属性!H108</f>
        <v>54</v>
      </c>
      <c r="P107" s="4">
        <f>环形怪物属性!K108</f>
        <v>16</v>
      </c>
      <c r="Q107" s="4">
        <f>环形怪物属性!N108</f>
        <v>25</v>
      </c>
      <c r="R107" s="4">
        <v>28</v>
      </c>
      <c r="S107" s="4">
        <v>15</v>
      </c>
      <c r="T107" s="1">
        <f t="shared" si="25"/>
        <v>0.3</v>
      </c>
      <c r="U107" s="6">
        <v>80071</v>
      </c>
      <c r="V107" s="1">
        <v>120</v>
      </c>
      <c r="W107" s="1">
        <f t="shared" si="28"/>
        <v>10</v>
      </c>
      <c r="X107" s="1">
        <v>1</v>
      </c>
      <c r="Y107" s="1">
        <v>1.8</v>
      </c>
      <c r="Z107" s="1">
        <v>1000</v>
      </c>
    </row>
    <row r="108" spans="1:26">
      <c r="A108" s="1">
        <v>30035</v>
      </c>
      <c r="B108" s="7" t="s">
        <v>233</v>
      </c>
      <c r="C108" s="1" t="str">
        <f t="shared" si="26"/>
        <v>3</v>
      </c>
      <c r="D108" s="6" t="s">
        <v>84</v>
      </c>
      <c r="E108" s="1">
        <v>1</v>
      </c>
      <c r="F108" s="1" t="s">
        <v>172</v>
      </c>
      <c r="G108" s="1" t="str">
        <f t="shared" si="20"/>
        <v>boss001</v>
      </c>
      <c r="H108" s="6">
        <f t="shared" si="27"/>
        <v>2</v>
      </c>
      <c r="I108" s="6">
        <f t="shared" si="19"/>
        <v>150</v>
      </c>
      <c r="J108" s="5">
        <f t="shared" si="18"/>
        <v>500</v>
      </c>
      <c r="K108" s="3">
        <v>650</v>
      </c>
      <c r="L108" s="1">
        <v>120</v>
      </c>
      <c r="M108" s="3">
        <v>15</v>
      </c>
      <c r="N108" s="4">
        <f>环形怪物属性!F109</f>
        <v>2172</v>
      </c>
      <c r="O108" s="4">
        <f>环形怪物属性!H109</f>
        <v>56</v>
      </c>
      <c r="P108" s="4">
        <f>环形怪物属性!K109</f>
        <v>17</v>
      </c>
      <c r="Q108" s="4">
        <f>环形怪物属性!N109</f>
        <v>27</v>
      </c>
      <c r="R108" s="4">
        <v>30</v>
      </c>
      <c r="S108" s="4">
        <v>15</v>
      </c>
      <c r="T108" s="1">
        <f t="shared" si="25"/>
        <v>0.3</v>
      </c>
      <c r="U108" s="6">
        <v>80071</v>
      </c>
      <c r="V108" s="1">
        <v>120</v>
      </c>
      <c r="W108" s="1">
        <f t="shared" si="28"/>
        <v>10</v>
      </c>
      <c r="X108" s="1">
        <v>1</v>
      </c>
      <c r="Y108" s="1">
        <v>1.8</v>
      </c>
      <c r="Z108" s="1">
        <v>1000</v>
      </c>
    </row>
    <row r="109" spans="1:26">
      <c r="A109" s="1">
        <v>30036</v>
      </c>
      <c r="B109" s="7" t="s">
        <v>234</v>
      </c>
      <c r="C109" s="1" t="str">
        <f t="shared" si="26"/>
        <v>3</v>
      </c>
      <c r="D109" s="7" t="s">
        <v>96</v>
      </c>
      <c r="E109" s="1">
        <v>1</v>
      </c>
      <c r="F109" s="1" t="s">
        <v>174</v>
      </c>
      <c r="G109" s="1" t="str">
        <f t="shared" si="20"/>
        <v>boss002</v>
      </c>
      <c r="H109" s="6">
        <f t="shared" si="27"/>
        <v>1</v>
      </c>
      <c r="I109" s="6">
        <f t="shared" si="19"/>
        <v>150</v>
      </c>
      <c r="J109" s="5">
        <f t="shared" si="18"/>
        <v>500</v>
      </c>
      <c r="K109" s="3">
        <v>750</v>
      </c>
      <c r="L109" s="1">
        <v>120</v>
      </c>
      <c r="M109" s="3">
        <v>15</v>
      </c>
      <c r="N109" s="4">
        <f>环形怪物属性!F110</f>
        <v>2190</v>
      </c>
      <c r="O109" s="4">
        <f>环形怪物属性!H110</f>
        <v>56</v>
      </c>
      <c r="P109" s="4">
        <f>环形怪物属性!K110</f>
        <v>17</v>
      </c>
      <c r="Q109" s="4">
        <f>环形怪物属性!N110</f>
        <v>27</v>
      </c>
      <c r="R109" s="4">
        <v>30</v>
      </c>
      <c r="S109" s="4">
        <v>15</v>
      </c>
      <c r="T109" s="1">
        <f t="shared" si="25"/>
        <v>0.3</v>
      </c>
      <c r="U109" s="6">
        <v>80071</v>
      </c>
      <c r="V109" s="1">
        <v>120</v>
      </c>
      <c r="W109" s="1">
        <f t="shared" si="28"/>
        <v>10</v>
      </c>
      <c r="X109" s="1">
        <v>1</v>
      </c>
      <c r="Y109" s="1">
        <v>1.8</v>
      </c>
      <c r="Z109" s="1">
        <v>1000</v>
      </c>
    </row>
    <row r="110" spans="1:26">
      <c r="A110" s="1">
        <v>30037</v>
      </c>
      <c r="B110" s="7" t="s">
        <v>235</v>
      </c>
      <c r="C110" s="1" t="str">
        <f t="shared" si="26"/>
        <v>3</v>
      </c>
      <c r="D110" s="6" t="s">
        <v>84</v>
      </c>
      <c r="E110" s="1">
        <v>1</v>
      </c>
      <c r="F110" s="1" t="s">
        <v>176</v>
      </c>
      <c r="G110" s="1" t="str">
        <f t="shared" si="20"/>
        <v>boss003</v>
      </c>
      <c r="H110" s="6">
        <f t="shared" si="27"/>
        <v>2</v>
      </c>
      <c r="I110" s="6">
        <f t="shared" si="19"/>
        <v>150</v>
      </c>
      <c r="J110" s="5">
        <f t="shared" si="18"/>
        <v>500</v>
      </c>
      <c r="K110" s="3">
        <v>650</v>
      </c>
      <c r="L110" s="1">
        <v>120</v>
      </c>
      <c r="M110" s="3">
        <v>15</v>
      </c>
      <c r="N110" s="4">
        <f>环形怪物属性!F111</f>
        <v>2208</v>
      </c>
      <c r="O110" s="4">
        <f>环形怪物属性!H111</f>
        <v>56</v>
      </c>
      <c r="P110" s="4">
        <f>环形怪物属性!K111</f>
        <v>17</v>
      </c>
      <c r="Q110" s="4">
        <f>环形怪物属性!N111</f>
        <v>27</v>
      </c>
      <c r="R110" s="4">
        <v>30</v>
      </c>
      <c r="S110" s="4">
        <v>15</v>
      </c>
      <c r="T110" s="1">
        <f t="shared" si="25"/>
        <v>0.3</v>
      </c>
      <c r="U110" s="6">
        <v>80071</v>
      </c>
      <c r="V110" s="1">
        <v>120</v>
      </c>
      <c r="W110" s="1">
        <f t="shared" si="28"/>
        <v>10</v>
      </c>
      <c r="X110" s="1">
        <v>1</v>
      </c>
      <c r="Y110" s="1">
        <v>1.8</v>
      </c>
      <c r="Z110" s="1">
        <v>1000</v>
      </c>
    </row>
    <row r="111" spans="1:26">
      <c r="A111" s="1">
        <v>30038</v>
      </c>
      <c r="B111" s="7" t="s">
        <v>236</v>
      </c>
      <c r="C111" s="1" t="str">
        <f t="shared" si="26"/>
        <v>3</v>
      </c>
      <c r="D111" s="6" t="s">
        <v>84</v>
      </c>
      <c r="E111" s="1">
        <v>1</v>
      </c>
      <c r="F111" s="1" t="s">
        <v>172</v>
      </c>
      <c r="G111" s="1" t="str">
        <f t="shared" si="20"/>
        <v>boss001</v>
      </c>
      <c r="H111" s="6">
        <f t="shared" si="27"/>
        <v>2</v>
      </c>
      <c r="I111" s="6">
        <f t="shared" si="19"/>
        <v>150</v>
      </c>
      <c r="J111" s="5">
        <f t="shared" si="18"/>
        <v>500</v>
      </c>
      <c r="K111" s="3">
        <v>650</v>
      </c>
      <c r="L111" s="1">
        <v>120</v>
      </c>
      <c r="M111" s="3">
        <v>15</v>
      </c>
      <c r="N111" s="4">
        <f>环形怪物属性!F112</f>
        <v>2226</v>
      </c>
      <c r="O111" s="4">
        <f>环形怪物属性!H112</f>
        <v>58</v>
      </c>
      <c r="P111" s="4">
        <f>环形怪物属性!K112</f>
        <v>18</v>
      </c>
      <c r="Q111" s="4">
        <f>环形怪物属性!N112</f>
        <v>29</v>
      </c>
      <c r="R111" s="4">
        <v>32</v>
      </c>
      <c r="S111" s="4">
        <v>15</v>
      </c>
      <c r="T111" s="1">
        <f t="shared" si="25"/>
        <v>0.3</v>
      </c>
      <c r="U111" s="6">
        <v>80071</v>
      </c>
      <c r="V111" s="1">
        <v>120</v>
      </c>
      <c r="W111" s="1">
        <f t="shared" si="28"/>
        <v>10</v>
      </c>
      <c r="X111" s="1">
        <v>1</v>
      </c>
      <c r="Y111" s="1">
        <v>1.8</v>
      </c>
      <c r="Z111" s="1">
        <v>1000</v>
      </c>
    </row>
    <row r="112" spans="1:26">
      <c r="A112" s="1">
        <v>30039</v>
      </c>
      <c r="B112" s="7" t="s">
        <v>237</v>
      </c>
      <c r="C112" s="1" t="str">
        <f t="shared" si="26"/>
        <v>3</v>
      </c>
      <c r="D112" s="6" t="s">
        <v>84</v>
      </c>
      <c r="E112" s="1">
        <v>1</v>
      </c>
      <c r="F112" s="1" t="s">
        <v>174</v>
      </c>
      <c r="G112" s="1" t="str">
        <f t="shared" si="20"/>
        <v>boss002</v>
      </c>
      <c r="H112" s="6">
        <f t="shared" si="27"/>
        <v>2</v>
      </c>
      <c r="I112" s="6">
        <f t="shared" si="19"/>
        <v>150</v>
      </c>
      <c r="J112" s="5">
        <f t="shared" si="18"/>
        <v>500</v>
      </c>
      <c r="K112" s="3">
        <v>650</v>
      </c>
      <c r="L112" s="1">
        <v>120</v>
      </c>
      <c r="M112" s="3">
        <v>15</v>
      </c>
      <c r="N112" s="4">
        <f>环形怪物属性!F113</f>
        <v>2244</v>
      </c>
      <c r="O112" s="4">
        <f>环形怪物属性!H113</f>
        <v>58</v>
      </c>
      <c r="P112" s="4">
        <f>环形怪物属性!K113</f>
        <v>18</v>
      </c>
      <c r="Q112" s="4">
        <f>环形怪物属性!N113</f>
        <v>29</v>
      </c>
      <c r="R112" s="4">
        <v>32</v>
      </c>
      <c r="S112" s="4">
        <v>15</v>
      </c>
      <c r="T112" s="1">
        <f t="shared" si="25"/>
        <v>0.3</v>
      </c>
      <c r="U112" s="6">
        <v>80071</v>
      </c>
      <c r="V112" s="1">
        <v>120</v>
      </c>
      <c r="W112" s="1">
        <f t="shared" si="28"/>
        <v>10</v>
      </c>
      <c r="X112" s="1">
        <v>1</v>
      </c>
      <c r="Y112" s="1">
        <v>1.8</v>
      </c>
      <c r="Z112" s="1">
        <v>1000</v>
      </c>
    </row>
    <row r="113" spans="1:26">
      <c r="A113" s="1">
        <v>30040</v>
      </c>
      <c r="B113" s="7" t="s">
        <v>238</v>
      </c>
      <c r="C113" s="1" t="str">
        <f t="shared" si="26"/>
        <v>3</v>
      </c>
      <c r="D113" s="6" t="s">
        <v>84</v>
      </c>
      <c r="E113" s="1">
        <v>1</v>
      </c>
      <c r="F113" s="1" t="s">
        <v>176</v>
      </c>
      <c r="G113" s="1" t="str">
        <f t="shared" si="20"/>
        <v>boss003</v>
      </c>
      <c r="H113" s="6">
        <f t="shared" si="27"/>
        <v>2</v>
      </c>
      <c r="I113" s="6">
        <f t="shared" si="19"/>
        <v>150</v>
      </c>
      <c r="J113" s="5">
        <f t="shared" si="18"/>
        <v>500</v>
      </c>
      <c r="K113" s="3">
        <v>650</v>
      </c>
      <c r="L113" s="1">
        <v>120</v>
      </c>
      <c r="M113" s="3">
        <v>15</v>
      </c>
      <c r="N113" s="4">
        <f>环形怪物属性!F114</f>
        <v>2262</v>
      </c>
      <c r="O113" s="4">
        <f>环形怪物属性!H114</f>
        <v>58</v>
      </c>
      <c r="P113" s="4">
        <f>环形怪物属性!K114</f>
        <v>18</v>
      </c>
      <c r="Q113" s="4">
        <f>环形怪物属性!N114</f>
        <v>29</v>
      </c>
      <c r="R113" s="4">
        <v>32</v>
      </c>
      <c r="S113" s="4">
        <v>15</v>
      </c>
      <c r="T113" s="1">
        <f t="shared" si="25"/>
        <v>0.3</v>
      </c>
      <c r="U113" s="6">
        <v>80071</v>
      </c>
      <c r="V113" s="1">
        <v>120</v>
      </c>
      <c r="W113" s="1">
        <f t="shared" si="28"/>
        <v>10</v>
      </c>
      <c r="X113" s="1">
        <v>1</v>
      </c>
      <c r="Y113" s="1">
        <v>1.8</v>
      </c>
      <c r="Z113" s="1">
        <v>1000</v>
      </c>
    </row>
    <row r="114" spans="1:26">
      <c r="A114" s="1">
        <v>40001</v>
      </c>
      <c r="B114" s="6" t="s">
        <v>177</v>
      </c>
      <c r="C114" s="1" t="str">
        <f t="shared" ref="C114:C144" si="29">LEFT(A114,1)</f>
        <v>4</v>
      </c>
      <c r="D114" s="6" t="s">
        <v>84</v>
      </c>
      <c r="E114" s="1">
        <v>1</v>
      </c>
      <c r="F114" s="6" t="s">
        <v>178</v>
      </c>
      <c r="G114" s="1" t="str">
        <f t="shared" si="20"/>
        <v>bubing01_Lv3</v>
      </c>
      <c r="H114" s="6">
        <v>1</v>
      </c>
      <c r="I114" s="3">
        <v>150</v>
      </c>
      <c r="J114" s="5">
        <f t="shared" ref="J114:J145" si="30">MIN(I114+350,800)</f>
        <v>500</v>
      </c>
      <c r="K114" s="3">
        <v>650</v>
      </c>
      <c r="L114" s="1">
        <v>120</v>
      </c>
      <c r="M114" s="3">
        <v>15</v>
      </c>
      <c r="N114" s="4">
        <f>环形怪物属性!F115</f>
        <v>4062</v>
      </c>
      <c r="O114" s="4">
        <f>环形怪物属性!H115</f>
        <v>64</v>
      </c>
      <c r="P114" s="4">
        <f>环形怪物属性!K115</f>
        <v>19</v>
      </c>
      <c r="Q114" s="4">
        <f>环形怪物属性!N115</f>
        <v>31</v>
      </c>
      <c r="R114" s="4">
        <v>27.5</v>
      </c>
      <c r="S114" s="4">
        <v>15</v>
      </c>
      <c r="T114" s="11">
        <v>0.3</v>
      </c>
      <c r="U114" s="6" t="s">
        <v>239</v>
      </c>
      <c r="V114" s="1">
        <v>120</v>
      </c>
      <c r="W114" s="1">
        <f t="shared" ref="W114:W138" si="31">_xlfn.IFS(C114="1",2,C114="2",5,C114="3",10,C114="4",20,TRUE,0)</f>
        <v>20</v>
      </c>
      <c r="X114" s="1">
        <v>1.3</v>
      </c>
      <c r="Y114" s="1">
        <v>2.3</v>
      </c>
      <c r="Z114" s="1">
        <v>1000</v>
      </c>
    </row>
    <row r="115" spans="1:26">
      <c r="A115" s="1">
        <v>40002</v>
      </c>
      <c r="B115" s="6" t="s">
        <v>179</v>
      </c>
      <c r="C115" s="1" t="str">
        <f t="shared" ref="C115:C143" si="32">LEFT(A115,1)</f>
        <v>4</v>
      </c>
      <c r="D115" s="6" t="s">
        <v>84</v>
      </c>
      <c r="E115" s="1">
        <v>1</v>
      </c>
      <c r="F115" s="6" t="s">
        <v>180</v>
      </c>
      <c r="G115" s="1" t="str">
        <f t="shared" si="20"/>
        <v>bubing02_Lv3</v>
      </c>
      <c r="H115" s="6">
        <v>1</v>
      </c>
      <c r="I115" s="3">
        <v>150</v>
      </c>
      <c r="J115" s="5">
        <f t="shared" si="30"/>
        <v>500</v>
      </c>
      <c r="K115" s="3">
        <v>650</v>
      </c>
      <c r="L115" s="1">
        <v>120</v>
      </c>
      <c r="M115" s="3">
        <v>15</v>
      </c>
      <c r="N115" s="4">
        <f>环形怪物属性!F116</f>
        <v>3796</v>
      </c>
      <c r="O115" s="4">
        <f>环形怪物属性!H116</f>
        <v>66</v>
      </c>
      <c r="P115" s="4">
        <f>环形怪物属性!K116</f>
        <v>18</v>
      </c>
      <c r="Q115" s="4">
        <f>环形怪物属性!N116</f>
        <v>28</v>
      </c>
      <c r="R115" s="4">
        <v>25.5</v>
      </c>
      <c r="S115" s="4">
        <v>15</v>
      </c>
      <c r="T115" s="1">
        <f t="shared" ref="T115:T122" si="33">T114</f>
        <v>0.3</v>
      </c>
      <c r="U115" s="6" t="s">
        <v>239</v>
      </c>
      <c r="V115" s="1">
        <v>120</v>
      </c>
      <c r="W115" s="1">
        <f t="shared" si="31"/>
        <v>20</v>
      </c>
      <c r="X115" s="1">
        <v>1.3</v>
      </c>
      <c r="Y115" s="1">
        <v>2.3</v>
      </c>
      <c r="Z115" s="1">
        <v>1000</v>
      </c>
    </row>
    <row r="116" spans="1:26">
      <c r="A116" s="1">
        <v>40003</v>
      </c>
      <c r="B116" s="6" t="s">
        <v>181</v>
      </c>
      <c r="C116" s="1" t="str">
        <f t="shared" si="32"/>
        <v>4</v>
      </c>
      <c r="D116" s="6" t="s">
        <v>84</v>
      </c>
      <c r="E116" s="1">
        <v>1</v>
      </c>
      <c r="F116" s="6" t="s">
        <v>182</v>
      </c>
      <c r="G116" s="1" t="str">
        <f t="shared" si="20"/>
        <v>bubing03_Lv3</v>
      </c>
      <c r="H116" s="6">
        <v>1</v>
      </c>
      <c r="I116" s="3">
        <v>150</v>
      </c>
      <c r="J116" s="5">
        <f t="shared" si="30"/>
        <v>500</v>
      </c>
      <c r="K116" s="3">
        <v>650</v>
      </c>
      <c r="L116" s="1">
        <v>120</v>
      </c>
      <c r="M116" s="3">
        <v>15</v>
      </c>
      <c r="N116" s="4">
        <f>环形怪物属性!F117</f>
        <v>4062</v>
      </c>
      <c r="O116" s="4">
        <f>环形怪物属性!H117</f>
        <v>62</v>
      </c>
      <c r="P116" s="4">
        <f>环形怪物属性!K117</f>
        <v>18</v>
      </c>
      <c r="Q116" s="4">
        <f>环形怪物属性!N117</f>
        <v>28</v>
      </c>
      <c r="R116" s="4">
        <v>25.5</v>
      </c>
      <c r="S116" s="4">
        <v>15</v>
      </c>
      <c r="T116" s="1">
        <f t="shared" si="33"/>
        <v>0.3</v>
      </c>
      <c r="U116" s="6" t="s">
        <v>239</v>
      </c>
      <c r="V116" s="1">
        <v>120</v>
      </c>
      <c r="W116" s="1">
        <f t="shared" si="31"/>
        <v>20</v>
      </c>
      <c r="X116" s="1">
        <v>1.3</v>
      </c>
      <c r="Y116" s="1">
        <v>2.3</v>
      </c>
      <c r="Z116" s="1">
        <v>1000</v>
      </c>
    </row>
    <row r="117" spans="1:26">
      <c r="A117" s="1">
        <v>40004</v>
      </c>
      <c r="B117" s="6" t="s">
        <v>183</v>
      </c>
      <c r="C117" s="1" t="str">
        <f t="shared" si="32"/>
        <v>4</v>
      </c>
      <c r="D117" s="6" t="s">
        <v>84</v>
      </c>
      <c r="E117" s="1">
        <v>1</v>
      </c>
      <c r="F117" s="6" t="s">
        <v>184</v>
      </c>
      <c r="G117" s="1" t="str">
        <f t="shared" si="20"/>
        <v>bubing04_Lv3</v>
      </c>
      <c r="H117" s="6">
        <v>1</v>
      </c>
      <c r="I117" s="3">
        <v>150</v>
      </c>
      <c r="J117" s="5">
        <f t="shared" si="30"/>
        <v>500</v>
      </c>
      <c r="K117" s="3">
        <v>650</v>
      </c>
      <c r="L117" s="1">
        <v>120</v>
      </c>
      <c r="M117" s="3">
        <v>15</v>
      </c>
      <c r="N117" s="4">
        <f>环形怪物属性!F118</f>
        <v>4328</v>
      </c>
      <c r="O117" s="4">
        <f>环形怪物属性!H118</f>
        <v>57</v>
      </c>
      <c r="P117" s="4">
        <f>环形怪物属性!K118</f>
        <v>21</v>
      </c>
      <c r="Q117" s="4">
        <f>环形怪物属性!N118</f>
        <v>26</v>
      </c>
      <c r="R117" s="4">
        <v>24</v>
      </c>
      <c r="S117" s="4">
        <v>15</v>
      </c>
      <c r="T117" s="1">
        <f t="shared" si="33"/>
        <v>0.3</v>
      </c>
      <c r="U117" s="6" t="s">
        <v>239</v>
      </c>
      <c r="V117" s="1">
        <v>120</v>
      </c>
      <c r="W117" s="1">
        <f t="shared" si="31"/>
        <v>20</v>
      </c>
      <c r="X117" s="1">
        <v>1.3</v>
      </c>
      <c r="Y117" s="1">
        <v>2.3</v>
      </c>
      <c r="Z117" s="1">
        <v>1000</v>
      </c>
    </row>
    <row r="118" spans="1:26">
      <c r="A118" s="1">
        <v>40005</v>
      </c>
      <c r="B118" s="7" t="s">
        <v>185</v>
      </c>
      <c r="C118" s="1" t="str">
        <f t="shared" si="32"/>
        <v>4</v>
      </c>
      <c r="D118" s="7" t="s">
        <v>91</v>
      </c>
      <c r="E118" s="1">
        <v>1</v>
      </c>
      <c r="F118" s="7" t="s">
        <v>186</v>
      </c>
      <c r="G118" s="1" t="str">
        <f t="shared" si="20"/>
        <v>qibing01_Lv3</v>
      </c>
      <c r="H118" s="6">
        <v>1</v>
      </c>
      <c r="I118" s="3">
        <v>150</v>
      </c>
      <c r="J118" s="5">
        <f t="shared" si="30"/>
        <v>500</v>
      </c>
      <c r="K118" s="3">
        <v>800</v>
      </c>
      <c r="L118" s="1">
        <v>120</v>
      </c>
      <c r="M118" s="3">
        <v>15</v>
      </c>
      <c r="N118" s="4">
        <f>环形怪物属性!F119</f>
        <v>4328</v>
      </c>
      <c r="O118" s="4">
        <f>环形怪物属性!H119</f>
        <v>64</v>
      </c>
      <c r="P118" s="4">
        <f>环形怪物属性!K119</f>
        <v>19</v>
      </c>
      <c r="Q118" s="4">
        <f>环形怪物属性!N119</f>
        <v>28</v>
      </c>
      <c r="R118" s="4">
        <v>29.5</v>
      </c>
      <c r="S118" s="4">
        <v>15</v>
      </c>
      <c r="T118" s="1">
        <f t="shared" si="33"/>
        <v>0.3</v>
      </c>
      <c r="U118" s="6" t="s">
        <v>239</v>
      </c>
      <c r="V118" s="1">
        <v>120</v>
      </c>
      <c r="W118" s="1">
        <f t="shared" si="31"/>
        <v>20</v>
      </c>
      <c r="X118" s="1">
        <v>1.3</v>
      </c>
      <c r="Y118" s="1">
        <v>2.3</v>
      </c>
      <c r="Z118" s="1">
        <v>1000</v>
      </c>
    </row>
    <row r="119" spans="1:26">
      <c r="A119" s="1">
        <v>40006</v>
      </c>
      <c r="B119" s="7" t="s">
        <v>187</v>
      </c>
      <c r="C119" s="1" t="str">
        <f t="shared" si="32"/>
        <v>4</v>
      </c>
      <c r="D119" s="7" t="s">
        <v>91</v>
      </c>
      <c r="E119" s="1">
        <v>1</v>
      </c>
      <c r="F119" s="7" t="s">
        <v>188</v>
      </c>
      <c r="G119" s="1" t="str">
        <f t="shared" si="20"/>
        <v>qibing02_Lv3</v>
      </c>
      <c r="H119" s="6">
        <v>1</v>
      </c>
      <c r="I119" s="3">
        <v>150</v>
      </c>
      <c r="J119" s="5">
        <f t="shared" si="30"/>
        <v>500</v>
      </c>
      <c r="K119" s="3">
        <v>800</v>
      </c>
      <c r="L119" s="1">
        <v>120</v>
      </c>
      <c r="M119" s="3">
        <v>15</v>
      </c>
      <c r="N119" s="4">
        <f>环形怪物属性!F120</f>
        <v>3796</v>
      </c>
      <c r="O119" s="4">
        <f>环形怪物属性!H120</f>
        <v>66</v>
      </c>
      <c r="P119" s="4">
        <f>环形怪物属性!K120</f>
        <v>18</v>
      </c>
      <c r="Q119" s="4">
        <f>环形怪物属性!N120</f>
        <v>28</v>
      </c>
      <c r="R119" s="4">
        <v>27.5</v>
      </c>
      <c r="S119" s="4">
        <v>15</v>
      </c>
      <c r="T119" s="1">
        <f t="shared" si="33"/>
        <v>0.3</v>
      </c>
      <c r="U119" s="6" t="s">
        <v>239</v>
      </c>
      <c r="V119" s="1">
        <v>120</v>
      </c>
      <c r="W119" s="1">
        <f t="shared" si="31"/>
        <v>20</v>
      </c>
      <c r="X119" s="1">
        <v>1.3</v>
      </c>
      <c r="Y119" s="1">
        <v>2.3</v>
      </c>
      <c r="Z119" s="1">
        <v>1000</v>
      </c>
    </row>
    <row r="120" spans="1:26">
      <c r="A120" s="1">
        <v>40007</v>
      </c>
      <c r="B120" s="7" t="s">
        <v>189</v>
      </c>
      <c r="C120" s="1" t="str">
        <f t="shared" si="32"/>
        <v>4</v>
      </c>
      <c r="D120" s="7" t="s">
        <v>91</v>
      </c>
      <c r="E120" s="1">
        <v>1</v>
      </c>
      <c r="F120" s="7" t="s">
        <v>190</v>
      </c>
      <c r="G120" s="1" t="str">
        <f t="shared" si="20"/>
        <v>qibing03_Lv3</v>
      </c>
      <c r="H120" s="6">
        <v>1</v>
      </c>
      <c r="I120" s="3">
        <v>150</v>
      </c>
      <c r="J120" s="5">
        <f t="shared" si="30"/>
        <v>500</v>
      </c>
      <c r="K120" s="3">
        <v>800</v>
      </c>
      <c r="L120" s="1">
        <v>120</v>
      </c>
      <c r="M120" s="3">
        <v>15</v>
      </c>
      <c r="N120" s="4">
        <f>环形怪物属性!F121</f>
        <v>4062</v>
      </c>
      <c r="O120" s="4">
        <f>环形怪物属性!H121</f>
        <v>62</v>
      </c>
      <c r="P120" s="4">
        <f>环形怪物属性!K121</f>
        <v>20</v>
      </c>
      <c r="Q120" s="4">
        <f>环形怪物属性!N121</f>
        <v>31</v>
      </c>
      <c r="R120" s="4">
        <v>27.5</v>
      </c>
      <c r="S120" s="4">
        <v>15</v>
      </c>
      <c r="T120" s="1">
        <f t="shared" si="33"/>
        <v>0.3</v>
      </c>
      <c r="U120" s="6" t="s">
        <v>239</v>
      </c>
      <c r="V120" s="1">
        <v>120</v>
      </c>
      <c r="W120" s="1">
        <f t="shared" si="31"/>
        <v>20</v>
      </c>
      <c r="X120" s="1">
        <v>1.3</v>
      </c>
      <c r="Y120" s="1">
        <v>2.3</v>
      </c>
      <c r="Z120" s="1">
        <v>1000</v>
      </c>
    </row>
    <row r="121" spans="1:26">
      <c r="A121" s="1">
        <v>40008</v>
      </c>
      <c r="B121" s="7" t="s">
        <v>191</v>
      </c>
      <c r="C121" s="1" t="str">
        <f t="shared" si="32"/>
        <v>4</v>
      </c>
      <c r="D121" s="7" t="s">
        <v>81</v>
      </c>
      <c r="E121" s="1">
        <v>1</v>
      </c>
      <c r="F121" s="7" t="s">
        <v>192</v>
      </c>
      <c r="G121" s="1" t="str">
        <f t="shared" si="20"/>
        <v>gongbing01_Lv3</v>
      </c>
      <c r="H121" s="6">
        <v>1</v>
      </c>
      <c r="I121" s="3">
        <v>600</v>
      </c>
      <c r="J121" s="5">
        <f t="shared" si="30"/>
        <v>800</v>
      </c>
      <c r="K121" s="3">
        <v>650</v>
      </c>
      <c r="L121" s="1">
        <v>120</v>
      </c>
      <c r="M121" s="3">
        <v>20</v>
      </c>
      <c r="N121" s="4">
        <f>环形怪物属性!F122</f>
        <v>3264</v>
      </c>
      <c r="O121" s="4">
        <f>环形怪物属性!H122</f>
        <v>52</v>
      </c>
      <c r="P121" s="4">
        <f>环形怪物属性!K122</f>
        <v>18</v>
      </c>
      <c r="Q121" s="4">
        <f>环形怪物属性!N122</f>
        <v>28</v>
      </c>
      <c r="R121" s="4">
        <v>27.5</v>
      </c>
      <c r="S121" s="4">
        <v>50</v>
      </c>
      <c r="T121" s="1">
        <f t="shared" ref="T121:T138" si="34">T120</f>
        <v>0.3</v>
      </c>
      <c r="U121" s="6" t="s">
        <v>239</v>
      </c>
      <c r="V121" s="1">
        <v>120</v>
      </c>
      <c r="W121" s="1">
        <f t="shared" si="31"/>
        <v>20</v>
      </c>
      <c r="X121" s="1">
        <v>1.3</v>
      </c>
      <c r="Y121" s="1">
        <v>2.3</v>
      </c>
      <c r="Z121" s="1">
        <v>1000</v>
      </c>
    </row>
    <row r="122" spans="1:26">
      <c r="A122" s="1">
        <v>40009</v>
      </c>
      <c r="B122" s="7" t="s">
        <v>194</v>
      </c>
      <c r="C122" s="1" t="str">
        <f t="shared" si="32"/>
        <v>4</v>
      </c>
      <c r="D122" s="7" t="s">
        <v>81</v>
      </c>
      <c r="E122" s="1">
        <v>1</v>
      </c>
      <c r="F122" s="7" t="s">
        <v>195</v>
      </c>
      <c r="G122" s="1" t="str">
        <f t="shared" si="20"/>
        <v>gongbing02_Lv3</v>
      </c>
      <c r="H122" s="6">
        <v>1</v>
      </c>
      <c r="I122" s="3">
        <v>600</v>
      </c>
      <c r="J122" s="5">
        <f t="shared" si="30"/>
        <v>800</v>
      </c>
      <c r="K122" s="3">
        <v>800</v>
      </c>
      <c r="L122" s="1">
        <v>120</v>
      </c>
      <c r="M122" s="3">
        <v>20</v>
      </c>
      <c r="N122" s="4">
        <f>环形怪物属性!F123</f>
        <v>3530</v>
      </c>
      <c r="O122" s="4">
        <f>环形怪物属性!H123</f>
        <v>55</v>
      </c>
      <c r="P122" s="4">
        <f>环形怪物属性!K123</f>
        <v>18</v>
      </c>
      <c r="Q122" s="4">
        <f>环形怪物属性!N123</f>
        <v>28</v>
      </c>
      <c r="R122" s="4">
        <v>27.5</v>
      </c>
      <c r="S122" s="4">
        <v>50</v>
      </c>
      <c r="T122" s="1">
        <f t="shared" si="34"/>
        <v>0.3</v>
      </c>
      <c r="U122" s="6" t="s">
        <v>239</v>
      </c>
      <c r="V122" s="1">
        <v>120</v>
      </c>
      <c r="W122" s="1">
        <f t="shared" si="31"/>
        <v>20</v>
      </c>
      <c r="X122" s="1">
        <v>1.3</v>
      </c>
      <c r="Y122" s="1">
        <v>2.3</v>
      </c>
      <c r="Z122" s="1">
        <v>1000</v>
      </c>
    </row>
    <row r="123" spans="1:26">
      <c r="A123" s="1">
        <v>40010</v>
      </c>
      <c r="B123" s="7" t="s">
        <v>196</v>
      </c>
      <c r="C123" s="1" t="str">
        <f t="shared" si="32"/>
        <v>4</v>
      </c>
      <c r="D123" s="7" t="s">
        <v>81</v>
      </c>
      <c r="E123" s="1">
        <v>1</v>
      </c>
      <c r="F123" s="7" t="s">
        <v>197</v>
      </c>
      <c r="G123" s="1" t="str">
        <f t="shared" si="20"/>
        <v>gongbing03_Lv3</v>
      </c>
      <c r="H123" s="6">
        <v>1</v>
      </c>
      <c r="I123" s="3">
        <v>600</v>
      </c>
      <c r="J123" s="5">
        <f t="shared" si="30"/>
        <v>800</v>
      </c>
      <c r="K123" s="3">
        <v>650</v>
      </c>
      <c r="L123" s="1">
        <v>120</v>
      </c>
      <c r="M123" s="3">
        <v>20</v>
      </c>
      <c r="N123" s="4">
        <f>环形怪物属性!F124</f>
        <v>2998</v>
      </c>
      <c r="O123" s="4">
        <f>环形怪物属性!H124</f>
        <v>57</v>
      </c>
      <c r="P123" s="4">
        <f>环形怪物属性!K124</f>
        <v>18</v>
      </c>
      <c r="Q123" s="4">
        <f>环形怪物属性!N124</f>
        <v>28</v>
      </c>
      <c r="R123" s="4">
        <v>27.5</v>
      </c>
      <c r="S123" s="4">
        <v>50</v>
      </c>
      <c r="T123" s="1">
        <f t="shared" si="34"/>
        <v>0.3</v>
      </c>
      <c r="U123" s="6" t="s">
        <v>239</v>
      </c>
      <c r="V123" s="1">
        <v>120</v>
      </c>
      <c r="W123" s="1">
        <f t="shared" si="31"/>
        <v>20</v>
      </c>
      <c r="X123" s="1">
        <v>1.3</v>
      </c>
      <c r="Y123" s="1">
        <v>2.3</v>
      </c>
      <c r="Z123" s="1">
        <v>1000</v>
      </c>
    </row>
    <row r="124" spans="1:26">
      <c r="A124" s="1">
        <v>40011</v>
      </c>
      <c r="B124" s="7" t="s">
        <v>198</v>
      </c>
      <c r="C124" s="1" t="str">
        <f t="shared" si="32"/>
        <v>4</v>
      </c>
      <c r="D124" s="7" t="s">
        <v>96</v>
      </c>
      <c r="E124" s="1">
        <v>1</v>
      </c>
      <c r="F124" s="7" t="s">
        <v>199</v>
      </c>
      <c r="G124" s="1" t="str">
        <f t="shared" si="20"/>
        <v>feibing01_Lv3</v>
      </c>
      <c r="H124" s="6">
        <v>1</v>
      </c>
      <c r="I124" s="3">
        <v>150</v>
      </c>
      <c r="J124" s="5">
        <f t="shared" si="30"/>
        <v>500</v>
      </c>
      <c r="K124" s="3">
        <v>800</v>
      </c>
      <c r="L124" s="1">
        <v>120</v>
      </c>
      <c r="M124" s="3">
        <v>15</v>
      </c>
      <c r="N124" s="4">
        <f>环形怪物属性!F125</f>
        <v>3796</v>
      </c>
      <c r="O124" s="4">
        <f>环形怪物属性!H125</f>
        <v>64</v>
      </c>
      <c r="P124" s="4">
        <f>环形怪物属性!K125</f>
        <v>19</v>
      </c>
      <c r="Q124" s="4">
        <f>环形怪物属性!N125</f>
        <v>33</v>
      </c>
      <c r="R124" s="4">
        <v>33.5</v>
      </c>
      <c r="S124" s="4">
        <v>15</v>
      </c>
      <c r="T124" s="1">
        <f t="shared" si="34"/>
        <v>0.3</v>
      </c>
      <c r="U124" s="6" t="s">
        <v>239</v>
      </c>
      <c r="V124" s="1">
        <v>120</v>
      </c>
      <c r="W124" s="1">
        <f t="shared" si="31"/>
        <v>20</v>
      </c>
      <c r="X124" s="1">
        <v>1.3</v>
      </c>
      <c r="Y124" s="1">
        <v>2.3</v>
      </c>
      <c r="Z124" s="1">
        <v>1000</v>
      </c>
    </row>
    <row r="125" spans="1:26">
      <c r="A125" s="1">
        <v>40012</v>
      </c>
      <c r="B125" s="7" t="s">
        <v>200</v>
      </c>
      <c r="C125" s="1" t="str">
        <f t="shared" si="32"/>
        <v>4</v>
      </c>
      <c r="D125" s="7" t="s">
        <v>96</v>
      </c>
      <c r="E125" s="1">
        <v>1</v>
      </c>
      <c r="F125" s="7" t="s">
        <v>201</v>
      </c>
      <c r="G125" s="1" t="str">
        <f t="shared" si="20"/>
        <v>feibing02_Lv3</v>
      </c>
      <c r="H125" s="6">
        <v>1</v>
      </c>
      <c r="I125" s="3">
        <v>150</v>
      </c>
      <c r="J125" s="5">
        <f t="shared" si="30"/>
        <v>500</v>
      </c>
      <c r="K125" s="3">
        <v>800</v>
      </c>
      <c r="L125" s="1">
        <v>120</v>
      </c>
      <c r="M125" s="3">
        <v>15</v>
      </c>
      <c r="N125" s="4">
        <f>环形怪物属性!F126</f>
        <v>4328</v>
      </c>
      <c r="O125" s="4">
        <f>环形怪物属性!H126</f>
        <v>66</v>
      </c>
      <c r="P125" s="4">
        <f>环形怪物属性!K126</f>
        <v>19</v>
      </c>
      <c r="Q125" s="4">
        <f>环形怪物属性!N126</f>
        <v>28</v>
      </c>
      <c r="R125" s="4">
        <v>25.5</v>
      </c>
      <c r="S125" s="4">
        <v>15</v>
      </c>
      <c r="T125" s="1">
        <f t="shared" si="34"/>
        <v>0.3</v>
      </c>
      <c r="U125" s="6" t="s">
        <v>239</v>
      </c>
      <c r="V125" s="1">
        <v>120</v>
      </c>
      <c r="W125" s="1">
        <f t="shared" si="31"/>
        <v>20</v>
      </c>
      <c r="X125" s="1">
        <v>1.3</v>
      </c>
      <c r="Y125" s="1">
        <v>2.3</v>
      </c>
      <c r="Z125" s="1">
        <v>1000</v>
      </c>
    </row>
    <row r="126" spans="1:26">
      <c r="A126" s="1">
        <v>40013</v>
      </c>
      <c r="B126" s="7" t="s">
        <v>202</v>
      </c>
      <c r="C126" s="1" t="str">
        <f t="shared" si="32"/>
        <v>4</v>
      </c>
      <c r="D126" s="7" t="s">
        <v>96</v>
      </c>
      <c r="E126" s="1">
        <v>1</v>
      </c>
      <c r="F126" s="7" t="s">
        <v>203</v>
      </c>
      <c r="G126" s="1" t="str">
        <f t="shared" si="20"/>
        <v>feibing03_Lv3</v>
      </c>
      <c r="H126" s="6">
        <v>1</v>
      </c>
      <c r="I126" s="3">
        <v>150</v>
      </c>
      <c r="J126" s="5">
        <f t="shared" si="30"/>
        <v>500</v>
      </c>
      <c r="K126" s="3">
        <v>800</v>
      </c>
      <c r="L126" s="1">
        <v>120</v>
      </c>
      <c r="M126" s="3">
        <v>15</v>
      </c>
      <c r="N126" s="4">
        <f>环形怪物属性!F127</f>
        <v>4062</v>
      </c>
      <c r="O126" s="4">
        <f>环形怪物属性!H127</f>
        <v>64</v>
      </c>
      <c r="P126" s="4">
        <f>环形怪物属性!K127</f>
        <v>20</v>
      </c>
      <c r="Q126" s="4">
        <f>环形怪物属性!N127</f>
        <v>31</v>
      </c>
      <c r="R126" s="4">
        <v>27.5</v>
      </c>
      <c r="S126" s="4">
        <v>15</v>
      </c>
      <c r="T126" s="1">
        <f t="shared" si="34"/>
        <v>0.3</v>
      </c>
      <c r="U126" s="6" t="s">
        <v>239</v>
      </c>
      <c r="V126" s="1">
        <v>120</v>
      </c>
      <c r="W126" s="1">
        <f t="shared" si="31"/>
        <v>20</v>
      </c>
      <c r="X126" s="1">
        <v>1.3</v>
      </c>
      <c r="Y126" s="1">
        <v>2.3</v>
      </c>
      <c r="Z126" s="1">
        <v>1000</v>
      </c>
    </row>
    <row r="127" spans="1:26">
      <c r="A127" s="1">
        <v>40014</v>
      </c>
      <c r="B127" s="7" t="s">
        <v>204</v>
      </c>
      <c r="C127" s="1" t="str">
        <f t="shared" si="32"/>
        <v>4</v>
      </c>
      <c r="D127" s="7" t="s">
        <v>78</v>
      </c>
      <c r="E127" s="1">
        <v>1</v>
      </c>
      <c r="F127" s="7" t="s">
        <v>205</v>
      </c>
      <c r="G127" s="1" t="str">
        <f t="shared" si="20"/>
        <v>fashi01_Lv3</v>
      </c>
      <c r="H127" s="6">
        <v>1</v>
      </c>
      <c r="I127" s="3">
        <v>600</v>
      </c>
      <c r="J127" s="5">
        <f t="shared" si="30"/>
        <v>800</v>
      </c>
      <c r="K127" s="3">
        <v>650</v>
      </c>
      <c r="L127" s="1">
        <v>120</v>
      </c>
      <c r="M127" s="3">
        <v>20</v>
      </c>
      <c r="N127" s="4">
        <f>环形怪物属性!F128</f>
        <v>2998</v>
      </c>
      <c r="O127" s="4">
        <v>20</v>
      </c>
      <c r="P127" s="4">
        <f>环形怪物属性!K128</f>
        <v>17</v>
      </c>
      <c r="Q127" s="4">
        <f>环形怪物属性!N128</f>
        <v>49</v>
      </c>
      <c r="R127" s="4">
        <v>29.5</v>
      </c>
      <c r="S127" s="4">
        <v>15</v>
      </c>
      <c r="T127" s="1">
        <f t="shared" si="34"/>
        <v>0.3</v>
      </c>
      <c r="U127" s="6" t="s">
        <v>239</v>
      </c>
      <c r="V127" s="1">
        <v>120</v>
      </c>
      <c r="W127" s="1">
        <f t="shared" si="31"/>
        <v>20</v>
      </c>
      <c r="X127" s="1">
        <v>1.3</v>
      </c>
      <c r="Y127" s="1">
        <v>2.3</v>
      </c>
      <c r="Z127" s="1">
        <v>1000</v>
      </c>
    </row>
    <row r="128" spans="1:26">
      <c r="A128" s="1">
        <v>40015</v>
      </c>
      <c r="B128" s="7" t="s">
        <v>206</v>
      </c>
      <c r="C128" s="1" t="str">
        <f t="shared" si="32"/>
        <v>4</v>
      </c>
      <c r="D128" s="7" t="s">
        <v>78</v>
      </c>
      <c r="E128" s="1">
        <v>1</v>
      </c>
      <c r="F128" s="7" t="s">
        <v>207</v>
      </c>
      <c r="G128" s="1" t="str">
        <f t="shared" si="20"/>
        <v>fashi02_Lv3</v>
      </c>
      <c r="H128" s="6">
        <v>1</v>
      </c>
      <c r="I128" s="3">
        <v>600</v>
      </c>
      <c r="J128" s="5">
        <f t="shared" si="30"/>
        <v>800</v>
      </c>
      <c r="K128" s="3">
        <v>650</v>
      </c>
      <c r="L128" s="1">
        <v>120</v>
      </c>
      <c r="M128" s="3">
        <v>20</v>
      </c>
      <c r="N128" s="4">
        <f>环形怪物属性!F129</f>
        <v>3264</v>
      </c>
      <c r="O128" s="4">
        <v>20</v>
      </c>
      <c r="P128" s="4">
        <f>环形怪物属性!K129</f>
        <v>17</v>
      </c>
      <c r="Q128" s="4">
        <f>环形怪物属性!N129</f>
        <v>47</v>
      </c>
      <c r="R128" s="4">
        <v>29.5</v>
      </c>
      <c r="S128" s="4">
        <v>15</v>
      </c>
      <c r="T128" s="1">
        <f t="shared" si="34"/>
        <v>0.3</v>
      </c>
      <c r="U128" s="6" t="s">
        <v>239</v>
      </c>
      <c r="V128" s="1">
        <v>120</v>
      </c>
      <c r="W128" s="1">
        <f t="shared" si="31"/>
        <v>20</v>
      </c>
      <c r="X128" s="1">
        <v>1.3</v>
      </c>
      <c r="Y128" s="1">
        <v>2.3</v>
      </c>
      <c r="Z128" s="1">
        <v>1000</v>
      </c>
    </row>
    <row r="129" spans="1:26">
      <c r="A129" s="1">
        <v>40016</v>
      </c>
      <c r="B129" s="7" t="s">
        <v>208</v>
      </c>
      <c r="C129" s="1" t="str">
        <f t="shared" si="32"/>
        <v>4</v>
      </c>
      <c r="D129" s="7" t="s">
        <v>78</v>
      </c>
      <c r="E129" s="1">
        <v>1</v>
      </c>
      <c r="F129" s="7" t="s">
        <v>209</v>
      </c>
      <c r="G129" s="1" t="str">
        <f t="shared" si="20"/>
        <v>fashi03_Lv3</v>
      </c>
      <c r="H129" s="6">
        <v>1</v>
      </c>
      <c r="I129" s="3">
        <v>600</v>
      </c>
      <c r="J129" s="5">
        <f t="shared" si="30"/>
        <v>800</v>
      </c>
      <c r="K129" s="3">
        <v>650</v>
      </c>
      <c r="L129" s="1">
        <v>120</v>
      </c>
      <c r="M129" s="3">
        <v>20</v>
      </c>
      <c r="N129" s="4">
        <f>环形怪物属性!F130</f>
        <v>3530</v>
      </c>
      <c r="O129" s="4">
        <v>20</v>
      </c>
      <c r="P129" s="4">
        <f>环形怪物属性!K130</f>
        <v>18</v>
      </c>
      <c r="Q129" s="4">
        <f>环形怪物属性!N130</f>
        <v>45</v>
      </c>
      <c r="R129" s="4">
        <v>31.5</v>
      </c>
      <c r="S129" s="4">
        <v>15</v>
      </c>
      <c r="T129" s="1">
        <f t="shared" si="34"/>
        <v>0.3</v>
      </c>
      <c r="U129" s="6" t="s">
        <v>239</v>
      </c>
      <c r="V129" s="1">
        <v>120</v>
      </c>
      <c r="W129" s="1">
        <f t="shared" si="31"/>
        <v>20</v>
      </c>
      <c r="X129" s="1">
        <v>1.3</v>
      </c>
      <c r="Y129" s="1">
        <v>2.3</v>
      </c>
      <c r="Z129" s="1">
        <v>1000</v>
      </c>
    </row>
    <row r="130" spans="1:26">
      <c r="A130" s="1">
        <v>40017</v>
      </c>
      <c r="B130" s="7" t="s">
        <v>210</v>
      </c>
      <c r="C130" s="1" t="str">
        <f t="shared" si="32"/>
        <v>4</v>
      </c>
      <c r="D130" s="7" t="s">
        <v>74</v>
      </c>
      <c r="E130" s="1">
        <v>1</v>
      </c>
      <c r="F130" s="7" t="s">
        <v>211</v>
      </c>
      <c r="G130" s="1" t="str">
        <f t="shared" ref="G130:G138" si="35">F130</f>
        <v>mushi01_Lv3</v>
      </c>
      <c r="H130" s="6">
        <v>1</v>
      </c>
      <c r="I130" s="3">
        <v>600</v>
      </c>
      <c r="J130" s="5">
        <f t="shared" si="30"/>
        <v>800</v>
      </c>
      <c r="K130" s="3">
        <v>650</v>
      </c>
      <c r="L130" s="1">
        <v>120</v>
      </c>
      <c r="M130" s="3">
        <v>20</v>
      </c>
      <c r="N130" s="4">
        <f>环形怪物属性!F131</f>
        <v>3530</v>
      </c>
      <c r="O130" s="4">
        <v>20</v>
      </c>
      <c r="P130" s="4">
        <f>环形怪物属性!K131</f>
        <v>18</v>
      </c>
      <c r="Q130" s="4">
        <f>环形怪物属性!N131</f>
        <v>47</v>
      </c>
      <c r="R130" s="4">
        <v>33.5</v>
      </c>
      <c r="S130" s="4">
        <v>15</v>
      </c>
      <c r="T130" s="1">
        <f t="shared" si="34"/>
        <v>0.3</v>
      </c>
      <c r="U130" s="6" t="s">
        <v>239</v>
      </c>
      <c r="V130" s="1">
        <v>120</v>
      </c>
      <c r="W130" s="1">
        <f t="shared" si="31"/>
        <v>20</v>
      </c>
      <c r="X130" s="1">
        <v>1.3</v>
      </c>
      <c r="Y130" s="1">
        <v>2.3</v>
      </c>
      <c r="Z130" s="1">
        <v>1000</v>
      </c>
    </row>
    <row r="131" spans="1:26">
      <c r="A131" s="1">
        <v>40018</v>
      </c>
      <c r="B131" s="7" t="s">
        <v>212</v>
      </c>
      <c r="C131" s="1" t="str">
        <f t="shared" si="32"/>
        <v>4</v>
      </c>
      <c r="D131" s="7" t="s">
        <v>74</v>
      </c>
      <c r="E131" s="1">
        <v>1</v>
      </c>
      <c r="F131" s="7" t="s">
        <v>213</v>
      </c>
      <c r="G131" s="1" t="str">
        <f t="shared" si="35"/>
        <v>mushi02_Lv3</v>
      </c>
      <c r="H131" s="6">
        <v>1</v>
      </c>
      <c r="I131" s="3">
        <v>600</v>
      </c>
      <c r="J131" s="5">
        <f t="shared" si="30"/>
        <v>800</v>
      </c>
      <c r="K131" s="3">
        <v>650</v>
      </c>
      <c r="L131" s="1">
        <v>120</v>
      </c>
      <c r="M131" s="3">
        <v>20</v>
      </c>
      <c r="N131" s="4">
        <f>环形怪物属性!F132</f>
        <v>2998</v>
      </c>
      <c r="O131" s="4">
        <v>20</v>
      </c>
      <c r="P131" s="4">
        <f>环形怪物属性!K132</f>
        <v>18</v>
      </c>
      <c r="Q131" s="4">
        <f>环形怪物属性!N132</f>
        <v>47</v>
      </c>
      <c r="R131" s="4">
        <v>31.5</v>
      </c>
      <c r="S131" s="4">
        <v>15</v>
      </c>
      <c r="T131" s="1">
        <f t="shared" si="34"/>
        <v>0.3</v>
      </c>
      <c r="U131" s="6" t="s">
        <v>239</v>
      </c>
      <c r="V131" s="1">
        <v>120</v>
      </c>
      <c r="W131" s="1">
        <f t="shared" si="31"/>
        <v>20</v>
      </c>
      <c r="X131" s="1">
        <v>1.3</v>
      </c>
      <c r="Y131" s="1">
        <v>2.3</v>
      </c>
      <c r="Z131" s="1">
        <v>1000</v>
      </c>
    </row>
    <row r="132" spans="1:26">
      <c r="A132" s="1">
        <v>40019</v>
      </c>
      <c r="B132" s="7" t="s">
        <v>214</v>
      </c>
      <c r="C132" s="1" t="str">
        <f t="shared" si="32"/>
        <v>4</v>
      </c>
      <c r="D132" s="7" t="s">
        <v>74</v>
      </c>
      <c r="E132" s="1">
        <v>1</v>
      </c>
      <c r="F132" s="7" t="s">
        <v>215</v>
      </c>
      <c r="G132" s="1" t="str">
        <f t="shared" si="35"/>
        <v>mushi03_Lv3</v>
      </c>
      <c r="H132" s="6">
        <v>1</v>
      </c>
      <c r="I132" s="3">
        <v>600</v>
      </c>
      <c r="J132" s="5">
        <f t="shared" si="30"/>
        <v>800</v>
      </c>
      <c r="K132" s="3">
        <v>650</v>
      </c>
      <c r="L132" s="1">
        <v>120</v>
      </c>
      <c r="M132" s="3">
        <v>20</v>
      </c>
      <c r="N132" s="4">
        <f>环形怪物属性!F133</f>
        <v>3530</v>
      </c>
      <c r="O132" s="4">
        <v>20</v>
      </c>
      <c r="P132" s="4">
        <f>环形怪物属性!K133</f>
        <v>20</v>
      </c>
      <c r="Q132" s="4">
        <f>环形怪物属性!N133</f>
        <v>47</v>
      </c>
      <c r="R132" s="4">
        <v>33.5</v>
      </c>
      <c r="S132" s="4">
        <v>15</v>
      </c>
      <c r="T132" s="1">
        <f t="shared" si="34"/>
        <v>0.3</v>
      </c>
      <c r="U132" s="6" t="s">
        <v>239</v>
      </c>
      <c r="V132" s="1">
        <v>120</v>
      </c>
      <c r="W132" s="1">
        <f t="shared" si="31"/>
        <v>20</v>
      </c>
      <c r="X132" s="1">
        <v>1.3</v>
      </c>
      <c r="Y132" s="1">
        <v>2.3</v>
      </c>
      <c r="Z132" s="1">
        <v>1000</v>
      </c>
    </row>
    <row r="133" spans="1:26">
      <c r="A133" s="1">
        <v>40020</v>
      </c>
      <c r="B133" s="7" t="s">
        <v>216</v>
      </c>
      <c r="C133" s="1" t="str">
        <f t="shared" si="32"/>
        <v>4</v>
      </c>
      <c r="D133" s="7" t="s">
        <v>56</v>
      </c>
      <c r="E133" s="1">
        <v>1</v>
      </c>
      <c r="F133" s="7" t="s">
        <v>217</v>
      </c>
      <c r="G133" s="1" t="str">
        <f t="shared" si="35"/>
        <v>moshou01_Lv3</v>
      </c>
      <c r="H133" s="6">
        <v>1</v>
      </c>
      <c r="I133" s="3">
        <v>150</v>
      </c>
      <c r="J133" s="5">
        <f t="shared" si="30"/>
        <v>500</v>
      </c>
      <c r="K133" s="3">
        <v>800</v>
      </c>
      <c r="L133" s="1">
        <v>120</v>
      </c>
      <c r="M133" s="3">
        <v>15</v>
      </c>
      <c r="N133" s="4">
        <f>环形怪物属性!F134</f>
        <v>3796</v>
      </c>
      <c r="O133" s="4">
        <f>环形怪物属性!H134</f>
        <v>69</v>
      </c>
      <c r="P133" s="4">
        <f>环形怪物属性!K134</f>
        <v>19</v>
      </c>
      <c r="Q133" s="4">
        <f>环形怪物属性!N134</f>
        <v>31</v>
      </c>
      <c r="R133" s="4">
        <v>24</v>
      </c>
      <c r="S133" s="4">
        <v>15</v>
      </c>
      <c r="T133" s="1">
        <f t="shared" si="34"/>
        <v>0.3</v>
      </c>
      <c r="U133" s="6" t="s">
        <v>239</v>
      </c>
      <c r="V133" s="1">
        <v>120</v>
      </c>
      <c r="W133" s="1">
        <f t="shared" si="31"/>
        <v>20</v>
      </c>
      <c r="X133" s="1">
        <v>1.3</v>
      </c>
      <c r="Y133" s="1">
        <v>2.3</v>
      </c>
      <c r="Z133" s="1">
        <v>1000</v>
      </c>
    </row>
    <row r="134" spans="1:26">
      <c r="A134" s="1">
        <v>40021</v>
      </c>
      <c r="B134" s="7" t="s">
        <v>218</v>
      </c>
      <c r="C134" s="1" t="str">
        <f t="shared" si="32"/>
        <v>4</v>
      </c>
      <c r="D134" s="7" t="s">
        <v>56</v>
      </c>
      <c r="E134" s="1">
        <v>1</v>
      </c>
      <c r="F134" s="7" t="s">
        <v>219</v>
      </c>
      <c r="G134" s="1" t="str">
        <f t="shared" si="35"/>
        <v>moshou02_Lv3</v>
      </c>
      <c r="H134" s="6">
        <v>1</v>
      </c>
      <c r="I134" s="3">
        <v>150</v>
      </c>
      <c r="J134" s="5">
        <f t="shared" si="30"/>
        <v>500</v>
      </c>
      <c r="K134" s="3">
        <v>650</v>
      </c>
      <c r="L134" s="1">
        <v>120</v>
      </c>
      <c r="M134" s="3">
        <v>15</v>
      </c>
      <c r="N134" s="4">
        <f>环形怪物属性!F135</f>
        <v>3530</v>
      </c>
      <c r="O134" s="4">
        <f>环形怪物属性!H135</f>
        <v>64</v>
      </c>
      <c r="P134" s="4">
        <f>环形怪物属性!K135</f>
        <v>18</v>
      </c>
      <c r="Q134" s="4">
        <f>环形怪物属性!N135</f>
        <v>31</v>
      </c>
      <c r="R134" s="4">
        <v>25.5</v>
      </c>
      <c r="S134" s="4">
        <v>15</v>
      </c>
      <c r="T134" s="1">
        <f t="shared" si="34"/>
        <v>0.3</v>
      </c>
      <c r="U134" s="6" t="s">
        <v>239</v>
      </c>
      <c r="V134" s="1">
        <v>120</v>
      </c>
      <c r="W134" s="1">
        <f t="shared" si="31"/>
        <v>20</v>
      </c>
      <c r="X134" s="1">
        <v>1.3</v>
      </c>
      <c r="Y134" s="1">
        <v>3</v>
      </c>
      <c r="Z134" s="1">
        <v>1000</v>
      </c>
    </row>
    <row r="135" spans="1:26">
      <c r="A135" s="1">
        <v>40022</v>
      </c>
      <c r="B135" s="7" t="s">
        <v>220</v>
      </c>
      <c r="C135" s="1" t="str">
        <f t="shared" si="32"/>
        <v>4</v>
      </c>
      <c r="D135" s="7" t="s">
        <v>56</v>
      </c>
      <c r="E135" s="1">
        <v>1</v>
      </c>
      <c r="F135" s="7" t="s">
        <v>221</v>
      </c>
      <c r="G135" s="1" t="str">
        <f t="shared" si="35"/>
        <v>moshou03_Lv3</v>
      </c>
      <c r="H135" s="6">
        <v>1</v>
      </c>
      <c r="I135" s="3">
        <v>600</v>
      </c>
      <c r="J135" s="5">
        <f t="shared" si="30"/>
        <v>800</v>
      </c>
      <c r="K135" s="3">
        <v>650</v>
      </c>
      <c r="L135" s="1">
        <v>120</v>
      </c>
      <c r="M135" s="3">
        <v>20</v>
      </c>
      <c r="N135" s="4">
        <f>环形怪物属性!F136</f>
        <v>2998</v>
      </c>
      <c r="O135" s="4">
        <f>环形怪物属性!H136</f>
        <v>38</v>
      </c>
      <c r="P135" s="4">
        <f>环形怪物属性!K136</f>
        <v>17</v>
      </c>
      <c r="Q135" s="4">
        <f>环形怪物属性!N136</f>
        <v>49</v>
      </c>
      <c r="R135" s="4">
        <v>29.5</v>
      </c>
      <c r="S135" s="4">
        <v>15</v>
      </c>
      <c r="T135" s="1">
        <f t="shared" si="34"/>
        <v>0.3</v>
      </c>
      <c r="U135" s="6" t="s">
        <v>239</v>
      </c>
      <c r="V135" s="1">
        <v>120</v>
      </c>
      <c r="W135" s="1">
        <f t="shared" si="31"/>
        <v>20</v>
      </c>
      <c r="X135" s="1">
        <v>1.3</v>
      </c>
      <c r="Y135" s="1">
        <v>3.4</v>
      </c>
      <c r="Z135" s="1">
        <v>1000</v>
      </c>
    </row>
    <row r="136" spans="1:26">
      <c r="A136" s="1">
        <v>40023</v>
      </c>
      <c r="B136" s="7" t="s">
        <v>222</v>
      </c>
      <c r="C136" s="1" t="str">
        <f t="shared" si="32"/>
        <v>4</v>
      </c>
      <c r="D136" s="7" t="s">
        <v>105</v>
      </c>
      <c r="E136" s="1">
        <v>1</v>
      </c>
      <c r="F136" s="7" t="s">
        <v>223</v>
      </c>
      <c r="G136" s="1" t="s">
        <v>223</v>
      </c>
      <c r="H136" s="6">
        <v>1</v>
      </c>
      <c r="I136" s="3">
        <v>150</v>
      </c>
      <c r="J136" s="5">
        <f t="shared" si="30"/>
        <v>500</v>
      </c>
      <c r="K136" s="3">
        <v>650</v>
      </c>
      <c r="L136" s="1">
        <v>120</v>
      </c>
      <c r="M136" s="3">
        <v>15</v>
      </c>
      <c r="N136" s="4">
        <f>环形怪物属性!F137</f>
        <v>3796</v>
      </c>
      <c r="O136" s="4">
        <f>环形怪物属性!H137</f>
        <v>69</v>
      </c>
      <c r="P136" s="4">
        <f>环形怪物属性!K137</f>
        <v>19</v>
      </c>
      <c r="Q136" s="4">
        <f>环形怪物属性!N137</f>
        <v>28</v>
      </c>
      <c r="R136" s="4">
        <v>24</v>
      </c>
      <c r="S136" s="4">
        <v>15</v>
      </c>
      <c r="T136" s="1">
        <f t="shared" si="34"/>
        <v>0.3</v>
      </c>
      <c r="U136" s="6" t="s">
        <v>239</v>
      </c>
      <c r="V136" s="1">
        <v>120</v>
      </c>
      <c r="W136" s="1">
        <f t="shared" si="31"/>
        <v>20</v>
      </c>
      <c r="X136" s="1">
        <v>1.3</v>
      </c>
      <c r="Y136" s="1">
        <v>2.3</v>
      </c>
      <c r="Z136" s="1">
        <v>1000</v>
      </c>
    </row>
    <row r="137" spans="1:26">
      <c r="A137" s="1">
        <v>40024</v>
      </c>
      <c r="B137" s="7" t="s">
        <v>224</v>
      </c>
      <c r="C137" s="1" t="str">
        <f t="shared" si="32"/>
        <v>4</v>
      </c>
      <c r="D137" s="7" t="s">
        <v>105</v>
      </c>
      <c r="E137" s="1">
        <v>1</v>
      </c>
      <c r="F137" s="7" t="s">
        <v>225</v>
      </c>
      <c r="G137" s="1" t="s">
        <v>225</v>
      </c>
      <c r="H137" s="6">
        <v>1</v>
      </c>
      <c r="I137" s="3">
        <v>600</v>
      </c>
      <c r="J137" s="5">
        <f t="shared" si="30"/>
        <v>800</v>
      </c>
      <c r="K137" s="3">
        <v>800</v>
      </c>
      <c r="L137" s="1">
        <v>120</v>
      </c>
      <c r="M137" s="3">
        <v>20</v>
      </c>
      <c r="N137" s="4">
        <f>环形怪物属性!F138</f>
        <v>3530</v>
      </c>
      <c r="O137" s="4">
        <f>环形怪物属性!H138</f>
        <v>55</v>
      </c>
      <c r="P137" s="4">
        <f>环形怪物属性!K138</f>
        <v>19</v>
      </c>
      <c r="Q137" s="4">
        <f>环形怪物属性!N138</f>
        <v>28</v>
      </c>
      <c r="R137" s="4">
        <v>24</v>
      </c>
      <c r="S137" s="4">
        <v>15</v>
      </c>
      <c r="T137" s="1">
        <f t="shared" si="34"/>
        <v>0.3</v>
      </c>
      <c r="U137" s="6" t="s">
        <v>239</v>
      </c>
      <c r="V137" s="1">
        <v>120</v>
      </c>
      <c r="W137" s="1">
        <f t="shared" si="31"/>
        <v>20</v>
      </c>
      <c r="X137" s="1">
        <v>1.3</v>
      </c>
      <c r="Y137" s="1">
        <v>2.3</v>
      </c>
      <c r="Z137" s="1">
        <v>1000</v>
      </c>
    </row>
    <row r="138" spans="1:26">
      <c r="A138" s="1">
        <v>40025</v>
      </c>
      <c r="B138" s="7" t="s">
        <v>226</v>
      </c>
      <c r="C138" s="1" t="str">
        <f t="shared" si="32"/>
        <v>4</v>
      </c>
      <c r="D138" s="7" t="s">
        <v>105</v>
      </c>
      <c r="E138" s="1">
        <v>1</v>
      </c>
      <c r="F138" s="7" t="s">
        <v>223</v>
      </c>
      <c r="G138" s="1" t="s">
        <v>223</v>
      </c>
      <c r="H138" s="6">
        <v>1</v>
      </c>
      <c r="I138" s="3">
        <v>150</v>
      </c>
      <c r="J138" s="5">
        <f t="shared" si="30"/>
        <v>500</v>
      </c>
      <c r="K138" s="3">
        <v>650</v>
      </c>
      <c r="L138" s="1">
        <v>120</v>
      </c>
      <c r="M138" s="3">
        <v>15</v>
      </c>
      <c r="N138" s="4">
        <f>环形怪物属性!F139</f>
        <v>4328</v>
      </c>
      <c r="O138" s="4">
        <f>环形怪物属性!H139</f>
        <v>62</v>
      </c>
      <c r="P138" s="4">
        <f>环形怪物属性!K139</f>
        <v>20</v>
      </c>
      <c r="Q138" s="4">
        <f>环形怪物属性!N139</f>
        <v>28</v>
      </c>
      <c r="R138" s="4">
        <v>24</v>
      </c>
      <c r="S138" s="4">
        <v>15</v>
      </c>
      <c r="T138" s="1">
        <f t="shared" si="34"/>
        <v>0.3</v>
      </c>
      <c r="U138" s="6" t="s">
        <v>239</v>
      </c>
      <c r="V138" s="1">
        <v>120</v>
      </c>
      <c r="W138" s="1">
        <f t="shared" si="31"/>
        <v>20</v>
      </c>
      <c r="X138" s="1">
        <v>1.3</v>
      </c>
      <c r="Y138" s="1">
        <v>2.3</v>
      </c>
      <c r="Z138" s="1">
        <v>1000</v>
      </c>
    </row>
    <row r="139" spans="1:26">
      <c r="A139" s="1">
        <v>41001</v>
      </c>
      <c r="B139" s="7" t="s">
        <v>132</v>
      </c>
      <c r="C139" s="1" t="str">
        <f t="shared" si="32"/>
        <v>4</v>
      </c>
      <c r="D139" s="7" t="s">
        <v>105</v>
      </c>
      <c r="E139" s="1">
        <v>1</v>
      </c>
      <c r="F139" s="7" t="s">
        <v>133</v>
      </c>
      <c r="G139" s="1" t="s">
        <v>133</v>
      </c>
      <c r="H139" s="6">
        <v>1</v>
      </c>
      <c r="I139" s="3">
        <v>150</v>
      </c>
      <c r="J139" s="5">
        <f t="shared" si="30"/>
        <v>500</v>
      </c>
      <c r="K139" s="3">
        <v>700</v>
      </c>
      <c r="L139" s="11">
        <v>120</v>
      </c>
      <c r="M139" s="3">
        <v>15</v>
      </c>
      <c r="N139" s="4">
        <f>环形怪物属性!F140</f>
        <v>1668</v>
      </c>
      <c r="O139" s="4">
        <f>环形怪物属性!H140</f>
        <v>59</v>
      </c>
      <c r="P139" s="4">
        <f>环形怪物属性!K140</f>
        <v>16</v>
      </c>
      <c r="Q139" s="4">
        <f>环形怪物属性!N140</f>
        <v>26</v>
      </c>
      <c r="R139" s="4">
        <v>24</v>
      </c>
      <c r="S139" s="4">
        <v>10</v>
      </c>
      <c r="T139" s="11">
        <v>0.3</v>
      </c>
      <c r="U139" s="6" t="s">
        <v>239</v>
      </c>
      <c r="V139" s="1">
        <v>50</v>
      </c>
      <c r="W139" s="1">
        <v>5</v>
      </c>
      <c r="X139" s="1">
        <v>1.2</v>
      </c>
      <c r="Y139" s="1">
        <v>2.2</v>
      </c>
      <c r="Z139" s="1">
        <v>1000</v>
      </c>
    </row>
    <row r="140" spans="1:26">
      <c r="A140" s="1">
        <v>41002</v>
      </c>
      <c r="B140" s="7" t="s">
        <v>134</v>
      </c>
      <c r="C140" s="1" t="str">
        <f t="shared" si="32"/>
        <v>4</v>
      </c>
      <c r="D140" s="7" t="s">
        <v>56</v>
      </c>
      <c r="E140" s="1">
        <v>1</v>
      </c>
      <c r="F140" s="7" t="s">
        <v>135</v>
      </c>
      <c r="G140" s="1" t="s">
        <v>135</v>
      </c>
      <c r="H140" s="6">
        <v>1</v>
      </c>
      <c r="I140" s="3">
        <v>800</v>
      </c>
      <c r="J140" s="5">
        <f t="shared" si="30"/>
        <v>800</v>
      </c>
      <c r="K140" s="3">
        <v>650</v>
      </c>
      <c r="L140" s="1">
        <v>120</v>
      </c>
      <c r="M140" s="3">
        <v>20</v>
      </c>
      <c r="N140" s="4">
        <f>环形怪物属性!F141</f>
        <v>1668</v>
      </c>
      <c r="O140" s="4">
        <f>环形怪物属性!H141</f>
        <v>38</v>
      </c>
      <c r="P140" s="4">
        <f>环形怪物属性!K141</f>
        <v>17</v>
      </c>
      <c r="Q140" s="4">
        <f>环形怪物属性!N141</f>
        <v>28</v>
      </c>
      <c r="R140" s="4">
        <v>27.5</v>
      </c>
      <c r="S140" s="4">
        <v>10</v>
      </c>
      <c r="T140" s="1">
        <f t="shared" ref="T140:T145" si="36">T139</f>
        <v>0.3</v>
      </c>
      <c r="U140" s="6" t="s">
        <v>239</v>
      </c>
      <c r="V140" s="1">
        <v>50</v>
      </c>
      <c r="W140" s="1">
        <v>5</v>
      </c>
      <c r="X140" s="1">
        <v>1.2</v>
      </c>
      <c r="Y140" s="1">
        <v>2.2</v>
      </c>
      <c r="Z140" s="1">
        <v>1000</v>
      </c>
    </row>
    <row r="141" spans="1:26">
      <c r="A141" s="1">
        <v>41003</v>
      </c>
      <c r="B141" s="7" t="s">
        <v>136</v>
      </c>
      <c r="C141" s="1" t="str">
        <f t="shared" si="32"/>
        <v>4</v>
      </c>
      <c r="D141" s="7" t="s">
        <v>105</v>
      </c>
      <c r="E141" s="1">
        <v>1</v>
      </c>
      <c r="F141" s="7" t="s">
        <v>137</v>
      </c>
      <c r="G141" s="1" t="s">
        <v>137</v>
      </c>
      <c r="H141" s="6">
        <v>1</v>
      </c>
      <c r="I141" s="3">
        <v>150</v>
      </c>
      <c r="J141" s="5">
        <f t="shared" si="30"/>
        <v>500</v>
      </c>
      <c r="K141" s="3">
        <v>700</v>
      </c>
      <c r="L141" s="1">
        <v>120</v>
      </c>
      <c r="M141" s="3">
        <v>15</v>
      </c>
      <c r="N141" s="4">
        <f>环形怪物属性!F142</f>
        <v>1668</v>
      </c>
      <c r="O141" s="4">
        <f>环形怪物属性!H142</f>
        <v>59</v>
      </c>
      <c r="P141" s="4">
        <f>环形怪物属性!K142</f>
        <v>17</v>
      </c>
      <c r="Q141" s="4">
        <f>环形怪物属性!N142</f>
        <v>28</v>
      </c>
      <c r="R141" s="4">
        <v>25.5</v>
      </c>
      <c r="S141" s="4">
        <v>10</v>
      </c>
      <c r="T141" s="1">
        <f t="shared" si="36"/>
        <v>0.3</v>
      </c>
      <c r="U141" s="6" t="s">
        <v>239</v>
      </c>
      <c r="V141" s="1">
        <v>50</v>
      </c>
      <c r="W141" s="1">
        <v>5</v>
      </c>
      <c r="X141" s="1">
        <v>1.2</v>
      </c>
      <c r="Y141" s="1">
        <v>2.2</v>
      </c>
      <c r="Z141" s="1">
        <v>1000</v>
      </c>
    </row>
    <row r="142" spans="1:26">
      <c r="A142" s="1">
        <v>41004</v>
      </c>
      <c r="B142" s="7" t="s">
        <v>138</v>
      </c>
      <c r="C142" s="1" t="str">
        <f t="shared" si="32"/>
        <v>4</v>
      </c>
      <c r="D142" s="7" t="s">
        <v>56</v>
      </c>
      <c r="E142" s="1">
        <v>1</v>
      </c>
      <c r="F142" s="7" t="s">
        <v>139</v>
      </c>
      <c r="G142" s="1" t="s">
        <v>139</v>
      </c>
      <c r="H142" s="6">
        <v>1</v>
      </c>
      <c r="I142" s="3">
        <v>150</v>
      </c>
      <c r="J142" s="5">
        <f t="shared" si="30"/>
        <v>500</v>
      </c>
      <c r="K142" s="3">
        <v>650</v>
      </c>
      <c r="L142" s="1">
        <v>120</v>
      </c>
      <c r="M142" s="3">
        <v>15</v>
      </c>
      <c r="N142" s="4">
        <f>环形怪物属性!F143</f>
        <v>1668</v>
      </c>
      <c r="O142" s="4">
        <f>环形怪物属性!H143</f>
        <v>62</v>
      </c>
      <c r="P142" s="4">
        <f>环形怪物属性!K143</f>
        <v>17</v>
      </c>
      <c r="Q142" s="4">
        <f>环形怪物属性!N143</f>
        <v>28</v>
      </c>
      <c r="R142" s="4">
        <v>25.5</v>
      </c>
      <c r="S142" s="4">
        <v>10</v>
      </c>
      <c r="T142" s="1">
        <f t="shared" si="36"/>
        <v>0.3</v>
      </c>
      <c r="U142" s="6" t="s">
        <v>239</v>
      </c>
      <c r="V142" s="1">
        <v>50</v>
      </c>
      <c r="W142" s="1">
        <v>5</v>
      </c>
      <c r="X142" s="1">
        <v>1.2</v>
      </c>
      <c r="Y142" s="1">
        <v>2.2</v>
      </c>
      <c r="Z142" s="1">
        <v>1000</v>
      </c>
    </row>
    <row r="143" spans="1:26">
      <c r="A143" s="1">
        <v>42001</v>
      </c>
      <c r="B143" s="1" t="s">
        <v>171</v>
      </c>
      <c r="C143" s="1" t="str">
        <f t="shared" si="32"/>
        <v>4</v>
      </c>
      <c r="D143" s="7" t="s">
        <v>56</v>
      </c>
      <c r="E143" s="1">
        <v>1</v>
      </c>
      <c r="F143" s="1" t="s">
        <v>172</v>
      </c>
      <c r="G143" s="1" t="str">
        <f>F143</f>
        <v>boss001</v>
      </c>
      <c r="H143" s="6">
        <v>1</v>
      </c>
      <c r="I143" s="3">
        <v>800</v>
      </c>
      <c r="J143" s="5">
        <f t="shared" si="30"/>
        <v>800</v>
      </c>
      <c r="K143" s="3">
        <v>650</v>
      </c>
      <c r="L143" s="1">
        <v>120</v>
      </c>
      <c r="M143" s="3">
        <v>20</v>
      </c>
      <c r="N143" s="4">
        <f>环形怪物属性!F144</f>
        <v>1668</v>
      </c>
      <c r="O143" s="4">
        <f>环形怪物属性!H144</f>
        <v>41</v>
      </c>
      <c r="P143" s="4">
        <f>环形怪物属性!K144</f>
        <v>16</v>
      </c>
      <c r="Q143" s="4">
        <f>环形怪物属性!N144</f>
        <v>49</v>
      </c>
      <c r="R143" s="4">
        <v>29.5</v>
      </c>
      <c r="S143" s="4">
        <v>15</v>
      </c>
      <c r="T143" s="1">
        <f t="shared" si="36"/>
        <v>0.3</v>
      </c>
      <c r="U143" s="6" t="s">
        <v>239</v>
      </c>
      <c r="V143" s="1">
        <v>100</v>
      </c>
      <c r="W143" s="1">
        <f t="shared" ref="W143:W148" si="37">_xlfn.IFS(C143="1",2,C143="2",5,C143="3",10,C143="4",20,TRUE,0)</f>
        <v>20</v>
      </c>
      <c r="X143" s="1">
        <v>1</v>
      </c>
      <c r="Y143" s="1">
        <v>1.5</v>
      </c>
      <c r="Z143" s="1">
        <v>1000</v>
      </c>
    </row>
    <row r="144" spans="1:26">
      <c r="A144" s="1">
        <v>42002</v>
      </c>
      <c r="B144" s="1" t="s">
        <v>173</v>
      </c>
      <c r="C144" s="1" t="str">
        <f>LEFT(A147,1)</f>
        <v>9</v>
      </c>
      <c r="D144" s="6" t="s">
        <v>84</v>
      </c>
      <c r="E144" s="1">
        <v>1</v>
      </c>
      <c r="F144" s="1" t="s">
        <v>174</v>
      </c>
      <c r="G144" s="1" t="str">
        <f>F144</f>
        <v>boss002</v>
      </c>
      <c r="H144" s="6">
        <v>1</v>
      </c>
      <c r="I144" s="3">
        <v>150</v>
      </c>
      <c r="J144" s="5">
        <f t="shared" si="30"/>
        <v>500</v>
      </c>
      <c r="K144" s="3">
        <v>650</v>
      </c>
      <c r="L144" s="1">
        <v>120</v>
      </c>
      <c r="M144" s="3">
        <v>15</v>
      </c>
      <c r="N144" s="4">
        <f>环形怪物属性!F145</f>
        <v>2466</v>
      </c>
      <c r="O144" s="4">
        <f>环形怪物属性!H145</f>
        <v>52</v>
      </c>
      <c r="P144" s="4">
        <f>环形怪物属性!K145</f>
        <v>19</v>
      </c>
      <c r="Q144" s="4">
        <f>环形怪物属性!N145</f>
        <v>28</v>
      </c>
      <c r="R144" s="4">
        <v>24</v>
      </c>
      <c r="S144" s="4">
        <v>15</v>
      </c>
      <c r="T144" s="1">
        <f t="shared" si="36"/>
        <v>0.3</v>
      </c>
      <c r="U144" s="6" t="s">
        <v>239</v>
      </c>
      <c r="V144" s="1">
        <v>100</v>
      </c>
      <c r="W144" s="1">
        <f t="shared" si="37"/>
        <v>0</v>
      </c>
      <c r="X144" s="1">
        <v>1.2</v>
      </c>
      <c r="Y144" s="1">
        <v>1.5</v>
      </c>
      <c r="Z144" s="1">
        <v>1000</v>
      </c>
    </row>
    <row r="145" spans="1:26">
      <c r="A145" s="1">
        <v>42003</v>
      </c>
      <c r="B145" s="3" t="s">
        <v>175</v>
      </c>
      <c r="C145" s="1" t="str">
        <f>LEFT(A148,1)</f>
        <v>9</v>
      </c>
      <c r="D145" s="6" t="s">
        <v>84</v>
      </c>
      <c r="E145" s="1">
        <v>1</v>
      </c>
      <c r="F145" s="1" t="s">
        <v>176</v>
      </c>
      <c r="G145" s="1" t="str">
        <f>F145</f>
        <v>boss003</v>
      </c>
      <c r="H145" s="6">
        <v>1</v>
      </c>
      <c r="I145" s="3">
        <v>150</v>
      </c>
      <c r="J145" s="5">
        <f t="shared" si="30"/>
        <v>500</v>
      </c>
      <c r="K145" s="3">
        <v>650</v>
      </c>
      <c r="L145" s="1">
        <v>120</v>
      </c>
      <c r="M145" s="3">
        <v>15</v>
      </c>
      <c r="N145" s="4">
        <f>环形怪物属性!F146</f>
        <v>2998</v>
      </c>
      <c r="O145" s="4">
        <f>环形怪物属性!H146</f>
        <v>57</v>
      </c>
      <c r="P145" s="4">
        <f>环形怪物属性!K146</f>
        <v>18</v>
      </c>
      <c r="Q145" s="4">
        <f>环形怪物属性!N146</f>
        <v>28</v>
      </c>
      <c r="R145" s="4">
        <v>24</v>
      </c>
      <c r="S145" s="4">
        <v>15</v>
      </c>
      <c r="T145" s="1">
        <f t="shared" si="36"/>
        <v>0.3</v>
      </c>
      <c r="U145" s="6" t="s">
        <v>239</v>
      </c>
      <c r="V145" s="1">
        <v>100</v>
      </c>
      <c r="W145" s="1">
        <f t="shared" si="37"/>
        <v>0</v>
      </c>
      <c r="X145" s="1">
        <v>1</v>
      </c>
      <c r="Y145" s="1">
        <v>1.5</v>
      </c>
      <c r="Z145" s="1">
        <v>1000</v>
      </c>
    </row>
    <row r="146" spans="1:26">
      <c r="A146" s="1">
        <v>90001</v>
      </c>
      <c r="B146" s="1" t="s">
        <v>240</v>
      </c>
      <c r="C146" s="1" t="str">
        <f>LEFT(A146,1)</f>
        <v>9</v>
      </c>
      <c r="D146" s="6" t="s">
        <v>84</v>
      </c>
      <c r="E146" s="1">
        <v>0</v>
      </c>
      <c r="F146" s="7" t="s">
        <v>241</v>
      </c>
      <c r="G146" s="7" t="s">
        <v>241</v>
      </c>
      <c r="H146" s="6">
        <f>_xlfn.IFS(OR(D146="1",D146="2",D146="7",D146="8"),2,OR(D146="3",D146="4",D146="5",D146="6"),1)</f>
        <v>2</v>
      </c>
      <c r="I146" s="3">
        <v>0</v>
      </c>
      <c r="J146" s="5">
        <v>500</v>
      </c>
      <c r="K146" s="3">
        <v>300</v>
      </c>
      <c r="L146" s="3">
        <v>0</v>
      </c>
      <c r="M146" s="3">
        <v>0</v>
      </c>
      <c r="N146" s="3">
        <v>0</v>
      </c>
      <c r="O146" s="3">
        <v>7</v>
      </c>
      <c r="P146" s="3">
        <v>3</v>
      </c>
      <c r="Q146" s="3">
        <v>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1">
        <f t="shared" si="37"/>
        <v>0</v>
      </c>
      <c r="X146" s="1">
        <v>1.5</v>
      </c>
      <c r="Y146" s="1">
        <v>2</v>
      </c>
      <c r="Z146" s="1">
        <v>50</v>
      </c>
    </row>
    <row r="147" spans="1:26">
      <c r="A147" s="1">
        <v>90002</v>
      </c>
      <c r="B147" s="1" t="s">
        <v>242</v>
      </c>
      <c r="C147" s="1" t="str">
        <f>LEFT(A147,1)</f>
        <v>9</v>
      </c>
      <c r="D147" s="6" t="s">
        <v>84</v>
      </c>
      <c r="E147" s="1">
        <v>0</v>
      </c>
      <c r="F147" s="7" t="s">
        <v>243</v>
      </c>
      <c r="G147" s="7" t="s">
        <v>243</v>
      </c>
      <c r="H147" s="6">
        <f>_xlfn.IFS(OR(D147="1",D147="2",D147="7",D147="8"),2,OR(D147="3",D147="4",D147="5",D147="6"),1)</f>
        <v>2</v>
      </c>
      <c r="I147" s="3">
        <v>0</v>
      </c>
      <c r="J147" s="5">
        <v>500</v>
      </c>
      <c r="K147" s="3">
        <v>300</v>
      </c>
      <c r="L147" s="3">
        <v>0</v>
      </c>
      <c r="M147" s="3">
        <v>0</v>
      </c>
      <c r="N147" s="3">
        <v>0</v>
      </c>
      <c r="O147" s="3">
        <v>7</v>
      </c>
      <c r="P147" s="3">
        <v>3</v>
      </c>
      <c r="Q147" s="3">
        <v>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1">
        <f t="shared" si="37"/>
        <v>0</v>
      </c>
      <c r="X147" s="1">
        <v>1.5</v>
      </c>
      <c r="Y147" s="1">
        <v>2</v>
      </c>
      <c r="Z147" s="1">
        <v>50</v>
      </c>
    </row>
    <row r="148" spans="1:26">
      <c r="A148" s="1">
        <v>90003</v>
      </c>
      <c r="B148" s="1" t="s">
        <v>244</v>
      </c>
      <c r="C148" s="1" t="str">
        <f>LEFT(A148,1)</f>
        <v>9</v>
      </c>
      <c r="D148" s="6" t="s">
        <v>84</v>
      </c>
      <c r="E148" s="1">
        <v>0</v>
      </c>
      <c r="F148" s="7" t="s">
        <v>245</v>
      </c>
      <c r="G148" s="7" t="s">
        <v>246</v>
      </c>
      <c r="H148" s="6">
        <f>_xlfn.IFS(OR(D148="1",D148="2",D148="7",D148="8"),2,OR(D148="3",D148="4",D148="5",D148="6"),1)</f>
        <v>2</v>
      </c>
      <c r="I148" s="3">
        <v>0</v>
      </c>
      <c r="J148" s="5">
        <v>500</v>
      </c>
      <c r="K148" s="3">
        <v>300</v>
      </c>
      <c r="L148" s="3">
        <v>0</v>
      </c>
      <c r="M148" s="3">
        <v>0</v>
      </c>
      <c r="N148" s="3">
        <v>0</v>
      </c>
      <c r="O148" s="3">
        <v>7</v>
      </c>
      <c r="P148" s="3">
        <v>3</v>
      </c>
      <c r="Q148" s="3">
        <v>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1">
        <f t="shared" si="37"/>
        <v>0</v>
      </c>
      <c r="X148" s="1">
        <v>1.5</v>
      </c>
      <c r="Y148" s="1">
        <v>2</v>
      </c>
      <c r="Z148" s="1">
        <v>50</v>
      </c>
    </row>
    <row r="154" spans="5:5">
      <c r="E154" s="4"/>
    </row>
    <row r="155" spans="5:5">
      <c r="E155" s="4"/>
    </row>
    <row r="156" spans="5:5">
      <c r="E156" s="4"/>
    </row>
    <row r="157" spans="5:5">
      <c r="E157" s="4"/>
    </row>
    <row r="158" spans="5:5">
      <c r="E158" s="4"/>
    </row>
    <row r="159" spans="5:5">
      <c r="E159" s="4"/>
    </row>
    <row r="160" spans="5:5">
      <c r="E160" s="4"/>
    </row>
    <row r="161" spans="5:5">
      <c r="E161" s="4"/>
    </row>
    <row r="162" spans="5:5">
      <c r="E162" s="4"/>
    </row>
    <row r="163" spans="5:5">
      <c r="E163" s="4"/>
    </row>
    <row r="164" spans="5:5">
      <c r="E164" s="4"/>
    </row>
    <row r="165" spans="5:5">
      <c r="E165" s="4"/>
    </row>
    <row r="166" spans="5:5">
      <c r="E166" s="4"/>
    </row>
    <row r="167" spans="5:5">
      <c r="E167" s="4"/>
    </row>
    <row r="168" spans="5:5">
      <c r="E168" s="4"/>
    </row>
    <row r="169" spans="5:5">
      <c r="E169" s="4"/>
    </row>
    <row r="170" spans="5:5">
      <c r="E170" s="4"/>
    </row>
    <row r="171" spans="5:5">
      <c r="E171" s="4"/>
    </row>
    <row r="172" spans="5:5">
      <c r="E172" s="4"/>
    </row>
    <row r="173" spans="5:5">
      <c r="E173" s="4"/>
    </row>
    <row r="174" spans="5:5">
      <c r="E174" s="4"/>
    </row>
    <row r="175" spans="5:5">
      <c r="E175" s="4"/>
    </row>
    <row r="176" spans="5:5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  <row r="181" spans="5:5">
      <c r="E181" s="4"/>
    </row>
    <row r="182" spans="5:5">
      <c r="E182" s="4"/>
    </row>
    <row r="183" spans="5:5">
      <c r="E183" s="4"/>
    </row>
    <row r="184" spans="5:5">
      <c r="E184" s="4"/>
    </row>
    <row r="185" spans="5:5">
      <c r="E185" s="4"/>
    </row>
    <row r="186" spans="5:5">
      <c r="E186" s="4"/>
    </row>
    <row r="187" spans="5:5">
      <c r="E187" s="4"/>
    </row>
    <row r="188" spans="5:5">
      <c r="E188" s="4"/>
    </row>
    <row r="189" spans="5:5">
      <c r="E189" s="4"/>
    </row>
    <row r="190" spans="5:5">
      <c r="E190" s="4"/>
    </row>
    <row r="191" spans="5:5">
      <c r="E191" s="4"/>
    </row>
    <row r="192" spans="5:5">
      <c r="E192" s="4"/>
    </row>
    <row r="193" spans="5:5">
      <c r="E193" s="4"/>
    </row>
    <row r="194" spans="5:5">
      <c r="E194" s="4"/>
    </row>
    <row r="195" spans="5:5">
      <c r="E195" s="4"/>
    </row>
    <row r="196" spans="5:5">
      <c r="E196" s="4"/>
    </row>
    <row r="197" spans="5:5">
      <c r="E197" s="4"/>
    </row>
    <row r="198" spans="5:5">
      <c r="E198" s="4"/>
    </row>
    <row r="199" spans="5:5">
      <c r="E199" s="4"/>
    </row>
    <row r="200" spans="5:5">
      <c r="E200" s="4"/>
    </row>
    <row r="201" spans="5:5">
      <c r="E201" s="4"/>
    </row>
    <row r="202" spans="5:5">
      <c r="E202" s="4"/>
    </row>
    <row r="203" spans="5:5">
      <c r="E203" s="4"/>
    </row>
    <row r="204" spans="5:5">
      <c r="E204" s="4"/>
    </row>
    <row r="205" spans="5:5">
      <c r="E205" s="4"/>
    </row>
    <row r="206" spans="5:5">
      <c r="E206" s="4"/>
    </row>
    <row r="207" spans="5:5">
      <c r="E207" s="4"/>
    </row>
    <row r="208" spans="5:5">
      <c r="E208" s="4"/>
    </row>
    <row r="209" spans="5:5">
      <c r="E209" s="4"/>
    </row>
    <row r="210" spans="5:5">
      <c r="E210" s="4"/>
    </row>
    <row r="211" spans="5:5">
      <c r="E211" s="4"/>
    </row>
    <row r="212" spans="5:5">
      <c r="E212" s="4"/>
    </row>
    <row r="213" spans="5:5">
      <c r="E213" s="4"/>
    </row>
    <row r="214" spans="5:5">
      <c r="E214" s="4"/>
    </row>
    <row r="215" spans="5:5">
      <c r="E215" s="4"/>
    </row>
    <row r="216" spans="5:5">
      <c r="E216" s="4"/>
    </row>
    <row r="217" spans="5:5">
      <c r="E217" s="4"/>
    </row>
    <row r="218" spans="5:5">
      <c r="E218" s="4"/>
    </row>
    <row r="219" spans="5:5">
      <c r="E219" s="4"/>
    </row>
    <row r="220" spans="5:5">
      <c r="E220" s="4"/>
    </row>
    <row r="221" spans="5:5">
      <c r="E221" s="4"/>
    </row>
    <row r="222" spans="5:5">
      <c r="E222" s="4"/>
    </row>
    <row r="223" spans="5:5">
      <c r="E223" s="4"/>
    </row>
    <row r="224" spans="5:5">
      <c r="E224" s="4"/>
    </row>
    <row r="225" spans="5:5">
      <c r="E225" s="4"/>
    </row>
    <row r="226" spans="5:5">
      <c r="E226" s="4"/>
    </row>
  </sheetData>
  <autoFilter xmlns:etc="http://www.wps.cn/officeDocument/2017/etCustomData" ref="A3:Z148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zoomScale="115" zoomScaleNormal="115" workbookViewId="0">
      <selection activeCell="B7" sqref="B7"/>
    </sheetView>
  </sheetViews>
  <sheetFormatPr defaultColWidth="9" defaultRowHeight="16.5"/>
  <cols>
    <col min="1" max="3" width="9" style="8"/>
    <col min="4" max="4" width="10.375" style="8"/>
    <col min="5" max="6" width="9.875" style="8"/>
    <col min="7" max="7" width="11" style="8"/>
    <col min="8" max="8" width="13.25" style="8"/>
    <col min="9" max="16384" width="9" style="8"/>
  </cols>
  <sheetData>
    <row r="1" s="8" customFormat="1" spans="1:18">
      <c r="A1" s="3" t="s">
        <v>48</v>
      </c>
      <c r="B1" s="8" t="s">
        <v>247</v>
      </c>
      <c r="C1" s="1"/>
      <c r="D1" s="1"/>
      <c r="E1" s="1">
        <v>0.2</v>
      </c>
      <c r="F1" s="1">
        <v>2</v>
      </c>
      <c r="G1" s="1">
        <v>2</v>
      </c>
      <c r="H1" s="1">
        <v>1.5</v>
      </c>
      <c r="O1" s="1">
        <v>2</v>
      </c>
      <c r="P1" s="1">
        <v>1.5</v>
      </c>
      <c r="Q1" s="1">
        <v>0.2</v>
      </c>
      <c r="R1" s="1">
        <v>2</v>
      </c>
    </row>
    <row r="2" s="8" customFormat="1" spans="1:19">
      <c r="A2" s="1">
        <v>0.3</v>
      </c>
      <c r="B2" s="8" t="s">
        <v>248</v>
      </c>
      <c r="C2" s="1" t="s">
        <v>249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L2" s="8" t="s">
        <v>250</v>
      </c>
      <c r="M2" s="1" t="s">
        <v>249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/>
    </row>
    <row r="3" s="8" customFormat="1" spans="3:19">
      <c r="C3" s="9">
        <v>1</v>
      </c>
      <c r="D3" s="2">
        <v>47</v>
      </c>
      <c r="E3" s="2">
        <v>9</v>
      </c>
      <c r="F3" s="2">
        <v>5</v>
      </c>
      <c r="G3" s="2">
        <v>5</v>
      </c>
      <c r="H3" s="2">
        <v>3</v>
      </c>
      <c r="M3" s="9">
        <v>1</v>
      </c>
      <c r="N3" s="2">
        <v>47</v>
      </c>
      <c r="O3" s="2">
        <v>5</v>
      </c>
      <c r="P3" s="2">
        <v>3</v>
      </c>
      <c r="Q3" s="2">
        <v>9</v>
      </c>
      <c r="R3" s="2">
        <v>5</v>
      </c>
      <c r="S3" s="1"/>
    </row>
    <row r="4" s="8" customFormat="1" spans="3:18">
      <c r="C4" s="1">
        <v>5</v>
      </c>
      <c r="D4" s="4">
        <v>103</v>
      </c>
      <c r="E4" s="4">
        <v>21</v>
      </c>
      <c r="F4" s="4">
        <v>10</v>
      </c>
      <c r="G4" s="4">
        <v>10</v>
      </c>
      <c r="H4" s="4">
        <v>7</v>
      </c>
      <c r="I4" s="1"/>
      <c r="M4" s="1">
        <v>5</v>
      </c>
      <c r="N4" s="4">
        <v>103</v>
      </c>
      <c r="O4" s="4">
        <v>10</v>
      </c>
      <c r="P4" s="4">
        <v>7</v>
      </c>
      <c r="Q4" s="4">
        <v>21</v>
      </c>
      <c r="R4" s="4">
        <v>10</v>
      </c>
    </row>
    <row r="5" s="8" customFormat="1" spans="3:18">
      <c r="C5" s="1">
        <v>10</v>
      </c>
      <c r="D5" s="4">
        <v>174</v>
      </c>
      <c r="E5" s="4">
        <v>35</v>
      </c>
      <c r="F5" s="4">
        <v>17</v>
      </c>
      <c r="G5" s="4">
        <v>17</v>
      </c>
      <c r="H5" s="4">
        <v>12</v>
      </c>
      <c r="I5" s="1"/>
      <c r="M5" s="1">
        <v>10</v>
      </c>
      <c r="N5" s="4">
        <v>174</v>
      </c>
      <c r="O5" s="4">
        <v>17</v>
      </c>
      <c r="P5" s="4">
        <v>12</v>
      </c>
      <c r="Q5" s="4">
        <v>35</v>
      </c>
      <c r="R5" s="4">
        <v>17</v>
      </c>
    </row>
    <row r="6" s="8" customFormat="1" spans="3:18">
      <c r="C6" s="1">
        <v>20</v>
      </c>
      <c r="D6" s="4">
        <v>315</v>
      </c>
      <c r="E6" s="4">
        <v>63</v>
      </c>
      <c r="F6" s="4">
        <v>31</v>
      </c>
      <c r="G6" s="4">
        <v>31</v>
      </c>
      <c r="H6" s="4">
        <v>21</v>
      </c>
      <c r="I6" s="1"/>
      <c r="M6" s="1">
        <v>20</v>
      </c>
      <c r="N6" s="4">
        <v>315</v>
      </c>
      <c r="O6" s="4">
        <v>31</v>
      </c>
      <c r="P6" s="4">
        <v>21</v>
      </c>
      <c r="Q6" s="4">
        <v>63</v>
      </c>
      <c r="R6" s="4">
        <v>31</v>
      </c>
    </row>
    <row r="7" s="8" customFormat="1" spans="3:18">
      <c r="C7" s="1">
        <v>30</v>
      </c>
      <c r="D7" s="4">
        <v>456</v>
      </c>
      <c r="E7" s="4">
        <v>91</v>
      </c>
      <c r="F7" s="4">
        <v>46</v>
      </c>
      <c r="G7" s="4">
        <v>46</v>
      </c>
      <c r="H7" s="4">
        <v>30</v>
      </c>
      <c r="I7" s="1"/>
      <c r="M7" s="1">
        <v>30</v>
      </c>
      <c r="N7" s="4">
        <v>456</v>
      </c>
      <c r="O7" s="4">
        <v>46</v>
      </c>
      <c r="P7" s="4">
        <v>30</v>
      </c>
      <c r="Q7" s="4">
        <v>91</v>
      </c>
      <c r="R7" s="4">
        <v>46</v>
      </c>
    </row>
    <row r="8" s="8" customFormat="1" spans="3:18">
      <c r="C8" s="1">
        <v>50</v>
      </c>
      <c r="D8" s="4">
        <v>738</v>
      </c>
      <c r="E8" s="4">
        <v>148</v>
      </c>
      <c r="F8" s="4">
        <v>74</v>
      </c>
      <c r="G8" s="4">
        <v>74</v>
      </c>
      <c r="H8" s="4">
        <v>49</v>
      </c>
      <c r="I8" s="1"/>
      <c r="M8" s="1">
        <v>50</v>
      </c>
      <c r="N8" s="4">
        <v>738</v>
      </c>
      <c r="O8" s="4">
        <v>74</v>
      </c>
      <c r="P8" s="4">
        <v>49</v>
      </c>
      <c r="Q8" s="4">
        <v>148</v>
      </c>
      <c r="R8" s="4">
        <v>74</v>
      </c>
    </row>
    <row r="9" s="8" customFormat="1" spans="3:18">
      <c r="C9" s="1">
        <v>70</v>
      </c>
      <c r="D9" s="4">
        <v>1020</v>
      </c>
      <c r="E9" s="4">
        <v>204</v>
      </c>
      <c r="F9" s="4">
        <v>102</v>
      </c>
      <c r="G9" s="4">
        <v>102</v>
      </c>
      <c r="H9" s="4">
        <v>68</v>
      </c>
      <c r="I9" s="1"/>
      <c r="M9" s="1">
        <v>70</v>
      </c>
      <c r="N9" s="4">
        <v>1020</v>
      </c>
      <c r="O9" s="4">
        <v>102</v>
      </c>
      <c r="P9" s="4">
        <v>68</v>
      </c>
      <c r="Q9" s="4">
        <v>204</v>
      </c>
      <c r="R9" s="4">
        <v>102</v>
      </c>
    </row>
    <row r="11" s="8" customFormat="1" spans="3:18">
      <c r="C11" s="1"/>
      <c r="D11" s="1"/>
      <c r="E11" s="1">
        <v>0.8</v>
      </c>
      <c r="F11" s="1">
        <v>8</v>
      </c>
      <c r="G11" s="1"/>
      <c r="H11" s="1">
        <v>1.5</v>
      </c>
      <c r="O11" s="1"/>
      <c r="P11" s="1">
        <v>1.5</v>
      </c>
      <c r="Q11" s="1">
        <v>0.8</v>
      </c>
      <c r="R11" s="1">
        <v>8</v>
      </c>
    </row>
    <row r="12" s="8" customFormat="1" spans="2:18">
      <c r="B12" s="8" t="s">
        <v>251</v>
      </c>
      <c r="C12" s="1" t="s">
        <v>249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46</v>
      </c>
      <c r="L12" s="8" t="s">
        <v>252</v>
      </c>
      <c r="M12" s="1" t="s">
        <v>249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46</v>
      </c>
    </row>
    <row r="13" s="8" customFormat="1" spans="3:18">
      <c r="C13" s="9">
        <v>1</v>
      </c>
      <c r="D13" s="2">
        <v>50</v>
      </c>
      <c r="E13" s="2">
        <v>5</v>
      </c>
      <c r="F13" s="2">
        <v>6</v>
      </c>
      <c r="G13" s="2">
        <v>5</v>
      </c>
      <c r="H13" s="2">
        <v>4</v>
      </c>
      <c r="M13" s="9">
        <v>1</v>
      </c>
      <c r="N13" s="2">
        <v>50</v>
      </c>
      <c r="O13" s="2">
        <v>5</v>
      </c>
      <c r="P13" s="2">
        <v>4</v>
      </c>
      <c r="Q13" s="2">
        <v>5</v>
      </c>
      <c r="R13" s="2">
        <v>6</v>
      </c>
    </row>
    <row r="14" s="8" customFormat="1" spans="3:18">
      <c r="C14" s="1">
        <v>5</v>
      </c>
      <c r="D14" s="4">
        <v>110</v>
      </c>
      <c r="E14" s="4">
        <v>11</v>
      </c>
      <c r="F14" s="4">
        <v>14</v>
      </c>
      <c r="G14" s="4">
        <v>11</v>
      </c>
      <c r="H14" s="4">
        <v>9</v>
      </c>
      <c r="I14" s="1"/>
      <c r="M14" s="1">
        <v>5</v>
      </c>
      <c r="N14" s="4">
        <v>110</v>
      </c>
      <c r="O14" s="4">
        <v>11</v>
      </c>
      <c r="P14" s="4">
        <v>9</v>
      </c>
      <c r="Q14" s="4">
        <v>11</v>
      </c>
      <c r="R14" s="4">
        <v>14</v>
      </c>
    </row>
    <row r="15" s="8" customFormat="1" spans="3:18">
      <c r="C15" s="1">
        <v>10</v>
      </c>
      <c r="D15" s="4">
        <v>185</v>
      </c>
      <c r="E15" s="4">
        <v>19</v>
      </c>
      <c r="F15" s="4">
        <v>23</v>
      </c>
      <c r="G15" s="4">
        <v>19</v>
      </c>
      <c r="H15" s="4">
        <v>15</v>
      </c>
      <c r="I15" s="1"/>
      <c r="M15" s="1">
        <v>10</v>
      </c>
      <c r="N15" s="4">
        <v>185</v>
      </c>
      <c r="O15" s="4">
        <v>19</v>
      </c>
      <c r="P15" s="4">
        <v>15</v>
      </c>
      <c r="Q15" s="4">
        <v>19</v>
      </c>
      <c r="R15" s="4">
        <v>23</v>
      </c>
    </row>
    <row r="16" s="8" customFormat="1" spans="3:18">
      <c r="C16" s="1">
        <v>20</v>
      </c>
      <c r="D16" s="4">
        <v>335</v>
      </c>
      <c r="E16" s="4">
        <v>34</v>
      </c>
      <c r="F16" s="4">
        <v>42</v>
      </c>
      <c r="G16" s="4">
        <v>34</v>
      </c>
      <c r="H16" s="4">
        <v>28</v>
      </c>
      <c r="I16" s="1"/>
      <c r="M16" s="1">
        <v>20</v>
      </c>
      <c r="N16" s="4">
        <v>335</v>
      </c>
      <c r="O16" s="4">
        <v>34</v>
      </c>
      <c r="P16" s="4">
        <v>28</v>
      </c>
      <c r="Q16" s="4">
        <v>34</v>
      </c>
      <c r="R16" s="4">
        <v>42</v>
      </c>
    </row>
    <row r="17" s="8" customFormat="1" spans="3:18">
      <c r="C17" s="1">
        <v>30</v>
      </c>
      <c r="D17" s="4">
        <v>485</v>
      </c>
      <c r="E17" s="4">
        <v>49</v>
      </c>
      <c r="F17" s="4">
        <v>61</v>
      </c>
      <c r="G17" s="4">
        <v>49</v>
      </c>
      <c r="H17" s="4">
        <v>40</v>
      </c>
      <c r="I17" s="1"/>
      <c r="M17" s="1">
        <v>30</v>
      </c>
      <c r="N17" s="4">
        <v>485</v>
      </c>
      <c r="O17" s="4">
        <v>49</v>
      </c>
      <c r="P17" s="4">
        <v>40</v>
      </c>
      <c r="Q17" s="4">
        <v>49</v>
      </c>
      <c r="R17" s="4">
        <v>61</v>
      </c>
    </row>
    <row r="18" s="8" customFormat="1" spans="3:18">
      <c r="C18" s="1">
        <v>50</v>
      </c>
      <c r="D18" s="4">
        <v>785</v>
      </c>
      <c r="E18" s="4">
        <v>79</v>
      </c>
      <c r="F18" s="4">
        <v>98</v>
      </c>
      <c r="G18" s="4">
        <v>79</v>
      </c>
      <c r="H18" s="4">
        <v>65</v>
      </c>
      <c r="I18" s="1"/>
      <c r="M18" s="1">
        <v>50</v>
      </c>
      <c r="N18" s="4">
        <v>785</v>
      </c>
      <c r="O18" s="4">
        <v>79</v>
      </c>
      <c r="P18" s="4">
        <v>65</v>
      </c>
      <c r="Q18" s="4">
        <v>79</v>
      </c>
      <c r="R18" s="4">
        <v>98</v>
      </c>
    </row>
    <row r="19" s="8" customFormat="1" spans="3:18">
      <c r="C19" s="1">
        <v>70</v>
      </c>
      <c r="D19" s="4">
        <v>1085</v>
      </c>
      <c r="E19" s="4">
        <v>109</v>
      </c>
      <c r="F19" s="4">
        <v>136</v>
      </c>
      <c r="G19" s="4">
        <v>109</v>
      </c>
      <c r="H19" s="4">
        <v>90</v>
      </c>
      <c r="I19" s="1"/>
      <c r="M19" s="1">
        <v>70</v>
      </c>
      <c r="N19" s="4">
        <v>1085</v>
      </c>
      <c r="O19" s="4">
        <v>109</v>
      </c>
      <c r="P19" s="4">
        <v>90</v>
      </c>
      <c r="Q19" s="4">
        <v>109</v>
      </c>
      <c r="R19" s="4">
        <v>136</v>
      </c>
    </row>
    <row r="21" s="8" customFormat="1" spans="1:18">
      <c r="A21" s="3" t="s">
        <v>48</v>
      </c>
      <c r="B21" s="8" t="s">
        <v>253</v>
      </c>
      <c r="C21" s="1"/>
      <c r="D21" s="1"/>
      <c r="E21" s="1">
        <v>0.15</v>
      </c>
      <c r="F21" s="1">
        <v>1.5</v>
      </c>
      <c r="G21" s="1">
        <v>2</v>
      </c>
      <c r="H21" s="1">
        <v>1.5</v>
      </c>
      <c r="K21" s="3" t="s">
        <v>48</v>
      </c>
      <c r="L21" s="8" t="s">
        <v>254</v>
      </c>
      <c r="O21" s="1">
        <v>0.15</v>
      </c>
      <c r="P21" s="1">
        <v>1.5</v>
      </c>
      <c r="Q21" s="1">
        <v>2</v>
      </c>
      <c r="R21" s="1">
        <v>1.5</v>
      </c>
    </row>
    <row r="22" s="8" customFormat="1" spans="1:18">
      <c r="A22" s="1">
        <v>0.4</v>
      </c>
      <c r="B22" s="8" t="s">
        <v>255</v>
      </c>
      <c r="C22" s="1" t="s">
        <v>249</v>
      </c>
      <c r="D22" s="3" t="s">
        <v>42</v>
      </c>
      <c r="E22" s="3" t="s">
        <v>43</v>
      </c>
      <c r="F22" s="3" t="s">
        <v>44</v>
      </c>
      <c r="G22" s="3" t="s">
        <v>45</v>
      </c>
      <c r="H22" s="3" t="s">
        <v>46</v>
      </c>
      <c r="K22" s="1">
        <v>0.5</v>
      </c>
      <c r="L22" s="8" t="s">
        <v>256</v>
      </c>
      <c r="M22" s="1" t="s">
        <v>249</v>
      </c>
      <c r="N22" s="3" t="s">
        <v>42</v>
      </c>
      <c r="O22" s="3" t="s">
        <v>43</v>
      </c>
      <c r="P22" s="3" t="s">
        <v>44</v>
      </c>
      <c r="Q22" s="3" t="s">
        <v>45</v>
      </c>
      <c r="R22" s="3" t="s">
        <v>46</v>
      </c>
    </row>
    <row r="23" s="8" customFormat="1" spans="3:18">
      <c r="C23" s="9">
        <v>1</v>
      </c>
      <c r="D23" s="2">
        <v>80</v>
      </c>
      <c r="E23" s="2">
        <v>12</v>
      </c>
      <c r="F23" s="2">
        <v>8</v>
      </c>
      <c r="G23" s="2">
        <v>6</v>
      </c>
      <c r="H23" s="2">
        <v>5</v>
      </c>
      <c r="M23" s="9">
        <v>1</v>
      </c>
      <c r="N23" s="2">
        <v>100</v>
      </c>
      <c r="O23" s="2">
        <v>15</v>
      </c>
      <c r="P23" s="2">
        <v>10</v>
      </c>
      <c r="Q23" s="2">
        <v>8</v>
      </c>
      <c r="R23" s="2">
        <v>7</v>
      </c>
    </row>
    <row r="24" s="8" customFormat="1" spans="3:19">
      <c r="C24" s="1">
        <v>5</v>
      </c>
      <c r="D24" s="4">
        <v>208</v>
      </c>
      <c r="E24" s="4">
        <v>31</v>
      </c>
      <c r="F24" s="4">
        <v>21</v>
      </c>
      <c r="G24" s="4">
        <v>16</v>
      </c>
      <c r="H24" s="4">
        <v>14</v>
      </c>
      <c r="I24" s="1"/>
      <c r="M24" s="1">
        <v>5</v>
      </c>
      <c r="N24" s="4">
        <v>300</v>
      </c>
      <c r="O24" s="4">
        <v>45</v>
      </c>
      <c r="P24" s="4">
        <v>30</v>
      </c>
      <c r="Q24" s="4">
        <v>23</v>
      </c>
      <c r="R24" s="4">
        <v>20</v>
      </c>
      <c r="S24" s="1"/>
    </row>
    <row r="25" s="8" customFormat="1" spans="3:19">
      <c r="C25" s="1">
        <v>10</v>
      </c>
      <c r="D25" s="4">
        <v>249</v>
      </c>
      <c r="E25" s="4">
        <v>55</v>
      </c>
      <c r="F25" s="4">
        <v>37</v>
      </c>
      <c r="G25" s="4">
        <v>28</v>
      </c>
      <c r="H25" s="4">
        <v>25</v>
      </c>
      <c r="I25" s="1"/>
      <c r="M25" s="1">
        <v>10</v>
      </c>
      <c r="N25" s="4">
        <v>550</v>
      </c>
      <c r="O25" s="4">
        <v>83</v>
      </c>
      <c r="P25" s="4">
        <v>55</v>
      </c>
      <c r="Q25" s="4">
        <v>41</v>
      </c>
      <c r="R25" s="4">
        <v>37</v>
      </c>
      <c r="S25" s="1"/>
    </row>
    <row r="26" s="8" customFormat="1" spans="3:19">
      <c r="C26" s="1">
        <v>20</v>
      </c>
      <c r="D26" s="4">
        <v>437</v>
      </c>
      <c r="E26" s="4">
        <v>103</v>
      </c>
      <c r="F26" s="4">
        <v>69</v>
      </c>
      <c r="G26" s="4">
        <v>52</v>
      </c>
      <c r="H26" s="4">
        <v>46</v>
      </c>
      <c r="I26" s="1"/>
      <c r="M26" s="1">
        <v>20</v>
      </c>
      <c r="N26" s="4">
        <v>1050</v>
      </c>
      <c r="O26" s="4">
        <v>158</v>
      </c>
      <c r="P26" s="4">
        <v>105</v>
      </c>
      <c r="Q26" s="4">
        <v>79</v>
      </c>
      <c r="R26" s="4">
        <v>70</v>
      </c>
      <c r="S26" s="1"/>
    </row>
    <row r="27" s="8" customFormat="1" spans="3:19">
      <c r="C27" s="1">
        <v>30</v>
      </c>
      <c r="D27" s="4">
        <v>625</v>
      </c>
      <c r="E27" s="4">
        <v>151</v>
      </c>
      <c r="F27" s="4">
        <v>101</v>
      </c>
      <c r="G27" s="4">
        <v>76</v>
      </c>
      <c r="H27" s="4">
        <v>67</v>
      </c>
      <c r="I27" s="1"/>
      <c r="M27" s="1">
        <v>30</v>
      </c>
      <c r="N27" s="4">
        <v>1550</v>
      </c>
      <c r="O27" s="4">
        <v>233</v>
      </c>
      <c r="P27" s="4">
        <v>155</v>
      </c>
      <c r="Q27" s="4">
        <v>116</v>
      </c>
      <c r="R27" s="4">
        <v>103</v>
      </c>
      <c r="S27" s="1"/>
    </row>
    <row r="28" s="8" customFormat="1" spans="3:19">
      <c r="C28" s="1">
        <v>50</v>
      </c>
      <c r="D28" s="4">
        <v>1001</v>
      </c>
      <c r="E28" s="4">
        <v>247</v>
      </c>
      <c r="F28" s="4">
        <v>165</v>
      </c>
      <c r="G28" s="4">
        <v>124</v>
      </c>
      <c r="H28" s="4">
        <v>110</v>
      </c>
      <c r="I28" s="1"/>
      <c r="M28" s="1">
        <v>50</v>
      </c>
      <c r="N28" s="4">
        <v>2550</v>
      </c>
      <c r="O28" s="4">
        <v>383</v>
      </c>
      <c r="P28" s="4">
        <v>255</v>
      </c>
      <c r="Q28" s="4">
        <v>191</v>
      </c>
      <c r="R28" s="4">
        <v>170</v>
      </c>
      <c r="S28" s="1"/>
    </row>
    <row r="29" s="8" customFormat="1" spans="3:19">
      <c r="C29" s="1">
        <v>70</v>
      </c>
      <c r="D29" s="4">
        <v>1377</v>
      </c>
      <c r="E29" s="4">
        <v>343</v>
      </c>
      <c r="F29" s="4">
        <v>229</v>
      </c>
      <c r="G29" s="4">
        <v>172</v>
      </c>
      <c r="H29" s="4">
        <v>153</v>
      </c>
      <c r="I29" s="1"/>
      <c r="M29" s="1">
        <v>70</v>
      </c>
      <c r="N29" s="4">
        <v>3550</v>
      </c>
      <c r="O29" s="4">
        <v>533</v>
      </c>
      <c r="P29" s="4">
        <v>355</v>
      </c>
      <c r="Q29" s="4">
        <v>266</v>
      </c>
      <c r="R29" s="4">
        <v>237</v>
      </c>
      <c r="S29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"/>
  <sheetViews>
    <sheetView workbookViewId="0">
      <selection activeCell="A1" sqref="$A1:$XFD1048576"/>
    </sheetView>
  </sheetViews>
  <sheetFormatPr defaultColWidth="9" defaultRowHeight="16.5"/>
  <cols>
    <col min="1" max="2" width="9" style="1"/>
    <col min="3" max="4" width="8.875" style="1" customWidth="1"/>
    <col min="5" max="5" width="8.375" style="1" customWidth="1"/>
    <col min="6" max="6" width="15.25" style="1" customWidth="1"/>
    <col min="7" max="7" width="16.25" style="1" customWidth="1"/>
    <col min="8" max="9" width="8.125" style="1" customWidth="1"/>
    <col min="10" max="10" width="8.125" style="3" customWidth="1"/>
    <col min="11" max="11" width="8.125" style="1" customWidth="1"/>
    <col min="12" max="12" width="10.375" style="2"/>
    <col min="13" max="16" width="8.375" style="2" customWidth="1"/>
    <col min="17" max="17" width="8.5" style="2" customWidth="1"/>
    <col min="18" max="20" width="8.5" style="1" customWidth="1"/>
    <col min="21" max="23" width="10.125" style="1" customWidth="1"/>
    <col min="24" max="16384" width="9" style="1"/>
  </cols>
  <sheetData>
    <row r="1" s="1" customForma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3" t="s">
        <v>19</v>
      </c>
      <c r="S1" s="3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="1" customFormat="1" spans="1:23">
      <c r="A2" s="3" t="s">
        <v>26</v>
      </c>
      <c r="B2" s="3" t="s">
        <v>27</v>
      </c>
      <c r="C2" s="3" t="s">
        <v>26</v>
      </c>
      <c r="D2" s="3" t="s">
        <v>26</v>
      </c>
      <c r="E2" s="3" t="s">
        <v>26</v>
      </c>
      <c r="F2" s="3" t="s">
        <v>27</v>
      </c>
      <c r="G2" s="3" t="s">
        <v>27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26</v>
      </c>
      <c r="R2" s="3" t="s">
        <v>28</v>
      </c>
      <c r="S2" s="3" t="s">
        <v>27</v>
      </c>
      <c r="T2" s="3" t="s">
        <v>26</v>
      </c>
      <c r="U2" s="3" t="s">
        <v>26</v>
      </c>
      <c r="V2" s="3" t="s">
        <v>27</v>
      </c>
      <c r="W2" s="3" t="s">
        <v>27</v>
      </c>
    </row>
    <row r="3" s="1" customFormat="1" spans="1:2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37</v>
      </c>
      <c r="I3" s="3" t="s">
        <v>38</v>
      </c>
      <c r="J3" s="3" t="s">
        <v>39</v>
      </c>
      <c r="K3" s="3" t="s">
        <v>257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3" t="s">
        <v>48</v>
      </c>
      <c r="S3" s="3" t="s">
        <v>49</v>
      </c>
      <c r="T3" s="1" t="s">
        <v>50</v>
      </c>
      <c r="U3" s="1" t="s">
        <v>51</v>
      </c>
      <c r="V3" s="1" t="s">
        <v>52</v>
      </c>
      <c r="W3" s="1" t="s">
        <v>53</v>
      </c>
    </row>
    <row r="4" s="1" customFormat="1" spans="1:24">
      <c r="A4" s="1">
        <v>10001</v>
      </c>
      <c r="B4" s="3" t="s">
        <v>55</v>
      </c>
      <c r="C4" s="1" t="str">
        <f t="shared" ref="C4:C67" si="0">LEFT(A4,1)</f>
        <v>1</v>
      </c>
      <c r="D4" s="1">
        <v>7</v>
      </c>
      <c r="E4" s="1">
        <v>1</v>
      </c>
      <c r="F4" s="1" t="s">
        <v>57</v>
      </c>
      <c r="G4" s="1" t="str">
        <f t="shared" ref="G4:G63" si="1">F4</f>
        <v>monster001</v>
      </c>
      <c r="H4" s="3">
        <v>250</v>
      </c>
      <c r="I4" s="3">
        <f t="shared" ref="I4:I67" si="2">IF(E4&lt;=2,1500,0)</f>
        <v>1500</v>
      </c>
      <c r="J4" s="3">
        <v>250</v>
      </c>
      <c r="K4" s="3">
        <v>20</v>
      </c>
      <c r="L4" s="4">
        <v>35</v>
      </c>
      <c r="M4" s="4">
        <v>6</v>
      </c>
      <c r="N4" s="4">
        <v>3</v>
      </c>
      <c r="O4" s="4">
        <v>1</v>
      </c>
      <c r="P4" s="4">
        <v>2</v>
      </c>
      <c r="Q4" s="4">
        <v>5</v>
      </c>
      <c r="R4" s="1">
        <v>0.2</v>
      </c>
      <c r="S4" s="6">
        <v>0</v>
      </c>
      <c r="T4" s="1">
        <v>20</v>
      </c>
      <c r="U4" s="1">
        <f t="shared" ref="U4:U67" si="3">_xlfn.IFS(C4="1",2,C4="2",5,C4="3",10,C4="4",20,TRUE,0)</f>
        <v>2</v>
      </c>
      <c r="V4" s="1">
        <v>1</v>
      </c>
      <c r="W4" s="1">
        <f t="shared" ref="W4:W67" si="4">V4</f>
        <v>1</v>
      </c>
      <c r="X4" s="1" t="s">
        <v>58</v>
      </c>
    </row>
    <row r="5" s="1" customFormat="1" spans="1:24">
      <c r="A5" s="1">
        <v>10002</v>
      </c>
      <c r="B5" s="3" t="s">
        <v>59</v>
      </c>
      <c r="C5" s="1" t="str">
        <f t="shared" si="0"/>
        <v>1</v>
      </c>
      <c r="D5" s="1">
        <v>7</v>
      </c>
      <c r="E5" s="1">
        <v>1</v>
      </c>
      <c r="F5" s="1" t="s">
        <v>60</v>
      </c>
      <c r="G5" s="1" t="str">
        <f t="shared" si="1"/>
        <v>monster002</v>
      </c>
      <c r="H5" s="3">
        <v>250</v>
      </c>
      <c r="I5" s="3">
        <f t="shared" si="2"/>
        <v>1500</v>
      </c>
      <c r="J5" s="3">
        <v>250</v>
      </c>
      <c r="K5" s="3">
        <v>20</v>
      </c>
      <c r="L5" s="4">
        <v>35</v>
      </c>
      <c r="M5" s="4">
        <v>5</v>
      </c>
      <c r="N5" s="4">
        <v>3</v>
      </c>
      <c r="O5" s="4">
        <v>4</v>
      </c>
      <c r="P5" s="4">
        <v>3</v>
      </c>
      <c r="Q5" s="4">
        <v>5</v>
      </c>
      <c r="R5" s="1">
        <v>0.2</v>
      </c>
      <c r="S5" s="6">
        <v>0</v>
      </c>
      <c r="T5" s="1">
        <v>20</v>
      </c>
      <c r="U5" s="1">
        <f t="shared" si="3"/>
        <v>2</v>
      </c>
      <c r="V5" s="1">
        <v>1</v>
      </c>
      <c r="W5" s="1">
        <f t="shared" si="4"/>
        <v>1</v>
      </c>
      <c r="X5" s="1" t="s">
        <v>61</v>
      </c>
    </row>
    <row r="6" s="1" customFormat="1" spans="1:24">
      <c r="A6" s="1">
        <v>10003</v>
      </c>
      <c r="B6" s="3" t="s">
        <v>62</v>
      </c>
      <c r="C6" s="1" t="str">
        <f t="shared" si="0"/>
        <v>1</v>
      </c>
      <c r="D6" s="1">
        <v>7</v>
      </c>
      <c r="E6" s="1">
        <v>1</v>
      </c>
      <c r="F6" s="1" t="s">
        <v>63</v>
      </c>
      <c r="G6" s="1" t="str">
        <f t="shared" si="1"/>
        <v>monster003</v>
      </c>
      <c r="H6" s="3">
        <v>500</v>
      </c>
      <c r="I6" s="3">
        <f t="shared" si="2"/>
        <v>1500</v>
      </c>
      <c r="J6" s="3">
        <v>250</v>
      </c>
      <c r="K6" s="3">
        <v>20</v>
      </c>
      <c r="L6" s="4">
        <v>45</v>
      </c>
      <c r="M6" s="4">
        <v>6</v>
      </c>
      <c r="N6" s="4">
        <v>5</v>
      </c>
      <c r="O6" s="4">
        <v>1</v>
      </c>
      <c r="P6" s="4">
        <v>4</v>
      </c>
      <c r="Q6" s="4">
        <v>5</v>
      </c>
      <c r="R6" s="1">
        <v>0.2</v>
      </c>
      <c r="S6" s="6">
        <v>0</v>
      </c>
      <c r="T6" s="1">
        <v>20</v>
      </c>
      <c r="U6" s="1">
        <f t="shared" si="3"/>
        <v>2</v>
      </c>
      <c r="V6" s="1">
        <v>1</v>
      </c>
      <c r="W6" s="1">
        <f t="shared" si="4"/>
        <v>1</v>
      </c>
      <c r="X6" s="1" t="s">
        <v>64</v>
      </c>
    </row>
    <row r="7" s="1" customFormat="1" spans="1:24">
      <c r="A7" s="1">
        <v>10004</v>
      </c>
      <c r="B7" s="1" t="s">
        <v>65</v>
      </c>
      <c r="C7" s="1" t="str">
        <f t="shared" si="0"/>
        <v>1</v>
      </c>
      <c r="D7" s="1">
        <v>1</v>
      </c>
      <c r="E7" s="1">
        <v>1</v>
      </c>
      <c r="F7" s="1" t="s">
        <v>66</v>
      </c>
      <c r="G7" s="1" t="str">
        <f t="shared" si="1"/>
        <v>monster004</v>
      </c>
      <c r="H7" s="3">
        <v>250</v>
      </c>
      <c r="I7" s="3">
        <f t="shared" si="2"/>
        <v>1500</v>
      </c>
      <c r="J7" s="3">
        <v>400</v>
      </c>
      <c r="K7" s="3">
        <v>20</v>
      </c>
      <c r="L7" s="4">
        <v>41</v>
      </c>
      <c r="M7" s="4">
        <v>5</v>
      </c>
      <c r="N7" s="4">
        <v>3</v>
      </c>
      <c r="O7" s="4">
        <v>2</v>
      </c>
      <c r="P7" s="4">
        <v>2</v>
      </c>
      <c r="Q7" s="4">
        <v>5</v>
      </c>
      <c r="R7" s="1">
        <v>0.2</v>
      </c>
      <c r="S7" s="6">
        <v>0</v>
      </c>
      <c r="T7" s="1">
        <v>20</v>
      </c>
      <c r="U7" s="1">
        <f t="shared" si="3"/>
        <v>2</v>
      </c>
      <c r="V7" s="1">
        <v>1</v>
      </c>
      <c r="W7" s="1">
        <f t="shared" si="4"/>
        <v>1</v>
      </c>
      <c r="X7" s="1" t="s">
        <v>67</v>
      </c>
    </row>
    <row r="8" s="1" customFormat="1" spans="1:24">
      <c r="A8" s="1">
        <v>10005</v>
      </c>
      <c r="B8" s="1" t="s">
        <v>68</v>
      </c>
      <c r="C8" s="1" t="str">
        <f t="shared" si="0"/>
        <v>1</v>
      </c>
      <c r="D8" s="1">
        <v>1</v>
      </c>
      <c r="E8" s="1">
        <v>1</v>
      </c>
      <c r="F8" s="1" t="s">
        <v>69</v>
      </c>
      <c r="G8" s="1" t="str">
        <f t="shared" si="1"/>
        <v>monster005</v>
      </c>
      <c r="H8" s="3">
        <v>800</v>
      </c>
      <c r="I8" s="3">
        <f t="shared" si="2"/>
        <v>1500</v>
      </c>
      <c r="J8" s="3">
        <v>220</v>
      </c>
      <c r="K8" s="3">
        <v>25</v>
      </c>
      <c r="L8" s="4">
        <v>43</v>
      </c>
      <c r="M8" s="4">
        <v>5</v>
      </c>
      <c r="N8" s="4">
        <v>3</v>
      </c>
      <c r="O8" s="4">
        <v>2</v>
      </c>
      <c r="P8" s="4">
        <v>2</v>
      </c>
      <c r="Q8" s="4">
        <v>5</v>
      </c>
      <c r="R8" s="1">
        <v>0.2</v>
      </c>
      <c r="S8" s="6">
        <v>0</v>
      </c>
      <c r="T8" s="1">
        <v>25</v>
      </c>
      <c r="U8" s="1">
        <f t="shared" si="3"/>
        <v>2</v>
      </c>
      <c r="V8" s="1">
        <v>1</v>
      </c>
      <c r="W8" s="1">
        <f t="shared" si="4"/>
        <v>1</v>
      </c>
      <c r="X8" s="1" t="s">
        <v>70</v>
      </c>
    </row>
    <row r="9" s="1" customFormat="1" spans="1:23">
      <c r="A9" s="1">
        <v>10006</v>
      </c>
      <c r="B9" s="1" t="s">
        <v>71</v>
      </c>
      <c r="C9" s="1" t="str">
        <f t="shared" si="0"/>
        <v>1</v>
      </c>
      <c r="D9" s="1">
        <v>1</v>
      </c>
      <c r="E9" s="1">
        <v>1</v>
      </c>
      <c r="F9" s="1" t="s">
        <v>72</v>
      </c>
      <c r="G9" s="1" t="str">
        <f t="shared" si="1"/>
        <v>monster006</v>
      </c>
      <c r="H9" s="3">
        <v>250</v>
      </c>
      <c r="I9" s="3">
        <f t="shared" si="2"/>
        <v>1500</v>
      </c>
      <c r="J9" s="3">
        <v>250</v>
      </c>
      <c r="K9" s="3">
        <v>20</v>
      </c>
      <c r="L9" s="4">
        <v>45</v>
      </c>
      <c r="M9" s="4">
        <v>6</v>
      </c>
      <c r="N9" s="4">
        <v>4</v>
      </c>
      <c r="O9" s="4">
        <v>3</v>
      </c>
      <c r="P9" s="4">
        <v>2</v>
      </c>
      <c r="Q9" s="4">
        <v>6</v>
      </c>
      <c r="R9" s="1">
        <v>0.2</v>
      </c>
      <c r="S9" s="6">
        <v>0</v>
      </c>
      <c r="T9" s="1">
        <v>25</v>
      </c>
      <c r="U9" s="1">
        <f t="shared" si="3"/>
        <v>2</v>
      </c>
      <c r="V9" s="1">
        <v>1</v>
      </c>
      <c r="W9" s="1">
        <f t="shared" si="4"/>
        <v>1</v>
      </c>
    </row>
    <row r="10" s="1" customFormat="1" spans="1:23">
      <c r="A10" s="1">
        <v>10007</v>
      </c>
      <c r="B10" s="1" t="s">
        <v>73</v>
      </c>
      <c r="C10" s="1" t="str">
        <f t="shared" si="0"/>
        <v>1</v>
      </c>
      <c r="D10" s="1">
        <v>6</v>
      </c>
      <c r="E10" s="1">
        <v>1</v>
      </c>
      <c r="F10" s="1" t="s">
        <v>75</v>
      </c>
      <c r="G10" s="1" t="str">
        <f t="shared" si="1"/>
        <v>monster007</v>
      </c>
      <c r="H10" s="3">
        <v>700</v>
      </c>
      <c r="I10" s="3">
        <f t="shared" si="2"/>
        <v>1500</v>
      </c>
      <c r="J10" s="3">
        <v>220</v>
      </c>
      <c r="K10" s="3">
        <v>25</v>
      </c>
      <c r="L10" s="4">
        <v>43</v>
      </c>
      <c r="M10" s="4">
        <v>5</v>
      </c>
      <c r="N10" s="4">
        <v>4</v>
      </c>
      <c r="O10" s="4">
        <v>4</v>
      </c>
      <c r="P10" s="4">
        <v>4</v>
      </c>
      <c r="Q10" s="4">
        <v>6</v>
      </c>
      <c r="R10" s="1">
        <v>0.2</v>
      </c>
      <c r="S10" s="6">
        <v>0</v>
      </c>
      <c r="T10" s="1">
        <v>25</v>
      </c>
      <c r="U10" s="1">
        <f t="shared" si="3"/>
        <v>2</v>
      </c>
      <c r="V10" s="1">
        <v>1</v>
      </c>
      <c r="W10" s="1">
        <f t="shared" si="4"/>
        <v>1</v>
      </c>
    </row>
    <row r="11" s="1" customFormat="1" spans="1:23">
      <c r="A11" s="1">
        <v>10008</v>
      </c>
      <c r="B11" s="1" t="s">
        <v>77</v>
      </c>
      <c r="C11" s="1" t="str">
        <f t="shared" si="0"/>
        <v>1</v>
      </c>
      <c r="D11" s="1">
        <v>5</v>
      </c>
      <c r="E11" s="1">
        <v>1</v>
      </c>
      <c r="F11" s="1" t="s">
        <v>79</v>
      </c>
      <c r="G11" s="1" t="str">
        <f t="shared" si="1"/>
        <v>monster008</v>
      </c>
      <c r="H11" s="3">
        <v>700</v>
      </c>
      <c r="I11" s="3">
        <f t="shared" si="2"/>
        <v>1500</v>
      </c>
      <c r="J11" s="3">
        <v>220</v>
      </c>
      <c r="K11" s="3">
        <v>25</v>
      </c>
      <c r="L11" s="4">
        <v>42</v>
      </c>
      <c r="M11" s="4">
        <v>5</v>
      </c>
      <c r="N11" s="4">
        <v>3</v>
      </c>
      <c r="O11" s="4">
        <v>5</v>
      </c>
      <c r="P11" s="4">
        <v>4</v>
      </c>
      <c r="Q11" s="4">
        <v>6</v>
      </c>
      <c r="R11" s="1">
        <v>0.2</v>
      </c>
      <c r="S11" s="6">
        <v>0</v>
      </c>
      <c r="T11" s="1">
        <v>25</v>
      </c>
      <c r="U11" s="1">
        <f t="shared" si="3"/>
        <v>2</v>
      </c>
      <c r="V11" s="1">
        <v>1</v>
      </c>
      <c r="W11" s="1">
        <f t="shared" si="4"/>
        <v>1</v>
      </c>
    </row>
    <row r="12" s="1" customFormat="1" spans="1:23">
      <c r="A12" s="1">
        <v>10009</v>
      </c>
      <c r="B12" s="1" t="s">
        <v>258</v>
      </c>
      <c r="C12" s="1" t="str">
        <f t="shared" si="0"/>
        <v>1</v>
      </c>
      <c r="D12" s="1">
        <v>1</v>
      </c>
      <c r="E12" s="1">
        <v>2</v>
      </c>
      <c r="F12" s="1" t="s">
        <v>82</v>
      </c>
      <c r="G12" s="1" t="str">
        <f t="shared" si="1"/>
        <v>monster009</v>
      </c>
      <c r="H12" s="3">
        <v>250</v>
      </c>
      <c r="I12" s="3">
        <f t="shared" si="2"/>
        <v>1500</v>
      </c>
      <c r="J12" s="3">
        <v>250</v>
      </c>
      <c r="K12" s="3">
        <v>20</v>
      </c>
      <c r="L12" s="4">
        <v>45</v>
      </c>
      <c r="M12" s="4">
        <v>7</v>
      </c>
      <c r="N12" s="4">
        <v>5</v>
      </c>
      <c r="O12" s="4">
        <v>3</v>
      </c>
      <c r="P12" s="4">
        <v>5</v>
      </c>
      <c r="Q12" s="4">
        <v>8</v>
      </c>
      <c r="R12" s="1">
        <v>0.2</v>
      </c>
      <c r="S12" s="6">
        <v>0</v>
      </c>
      <c r="T12" s="1">
        <v>25</v>
      </c>
      <c r="U12" s="1">
        <f t="shared" si="3"/>
        <v>2</v>
      </c>
      <c r="V12" s="1">
        <v>1</v>
      </c>
      <c r="W12" s="1">
        <f t="shared" si="4"/>
        <v>1</v>
      </c>
    </row>
    <row r="13" s="1" customFormat="1" spans="1:23">
      <c r="A13" s="1">
        <v>10010</v>
      </c>
      <c r="B13" s="1" t="s">
        <v>83</v>
      </c>
      <c r="C13" s="1" t="str">
        <f t="shared" si="0"/>
        <v>1</v>
      </c>
      <c r="D13" s="1">
        <v>1</v>
      </c>
      <c r="E13" s="1">
        <v>2</v>
      </c>
      <c r="F13" s="1" t="s">
        <v>85</v>
      </c>
      <c r="G13" s="1" t="str">
        <f t="shared" si="1"/>
        <v>monster010</v>
      </c>
      <c r="H13" s="3">
        <v>250</v>
      </c>
      <c r="I13" s="3">
        <f t="shared" si="2"/>
        <v>1500</v>
      </c>
      <c r="J13" s="3">
        <v>250</v>
      </c>
      <c r="K13" s="3">
        <v>20</v>
      </c>
      <c r="L13" s="4">
        <v>45</v>
      </c>
      <c r="M13" s="4">
        <v>8</v>
      </c>
      <c r="N13" s="4">
        <v>6</v>
      </c>
      <c r="O13" s="4">
        <v>3</v>
      </c>
      <c r="P13" s="4">
        <v>6</v>
      </c>
      <c r="Q13" s="4">
        <v>8</v>
      </c>
      <c r="R13" s="1">
        <v>0.2</v>
      </c>
      <c r="S13" s="6">
        <v>0</v>
      </c>
      <c r="T13" s="1">
        <v>25</v>
      </c>
      <c r="U13" s="1">
        <f t="shared" si="3"/>
        <v>2</v>
      </c>
      <c r="V13" s="1">
        <v>1</v>
      </c>
      <c r="W13" s="1">
        <f t="shared" si="4"/>
        <v>1</v>
      </c>
    </row>
    <row r="14" s="1" customFormat="1" spans="1:23">
      <c r="A14" s="1">
        <v>10011</v>
      </c>
      <c r="B14" s="6" t="s">
        <v>86</v>
      </c>
      <c r="C14" s="1" t="str">
        <f t="shared" si="0"/>
        <v>1</v>
      </c>
      <c r="D14" s="6" t="s">
        <v>84</v>
      </c>
      <c r="E14" s="1">
        <v>1</v>
      </c>
      <c r="F14" s="6" t="s">
        <v>87</v>
      </c>
      <c r="G14" s="1" t="str">
        <f t="shared" si="1"/>
        <v>bubing01_Lv1</v>
      </c>
      <c r="H14" s="3">
        <v>250</v>
      </c>
      <c r="I14" s="3">
        <f t="shared" si="2"/>
        <v>1500</v>
      </c>
      <c r="J14" s="3">
        <v>250</v>
      </c>
      <c r="K14" s="6">
        <v>15</v>
      </c>
      <c r="L14" s="4">
        <v>45</v>
      </c>
      <c r="M14" s="4">
        <v>9</v>
      </c>
      <c r="N14" s="4">
        <v>5</v>
      </c>
      <c r="O14" s="4">
        <v>5</v>
      </c>
      <c r="P14" s="4">
        <v>3</v>
      </c>
      <c r="Q14" s="4">
        <v>10</v>
      </c>
      <c r="R14" s="1">
        <v>0.3</v>
      </c>
      <c r="S14" s="6">
        <v>0</v>
      </c>
      <c r="T14" s="1">
        <v>30</v>
      </c>
      <c r="U14" s="1">
        <f t="shared" si="3"/>
        <v>2</v>
      </c>
      <c r="V14" s="1">
        <v>1</v>
      </c>
      <c r="W14" s="1">
        <f t="shared" si="4"/>
        <v>1</v>
      </c>
    </row>
    <row r="15" s="1" customFormat="1" spans="1:23">
      <c r="A15" s="1">
        <v>10012</v>
      </c>
      <c r="B15" s="6" t="s">
        <v>88</v>
      </c>
      <c r="C15" s="1" t="str">
        <f t="shared" si="0"/>
        <v>1</v>
      </c>
      <c r="D15" s="6" t="s">
        <v>84</v>
      </c>
      <c r="E15" s="1">
        <v>1</v>
      </c>
      <c r="F15" s="6" t="s">
        <v>89</v>
      </c>
      <c r="G15" s="1" t="str">
        <f t="shared" si="1"/>
        <v>bubing02_Lv1</v>
      </c>
      <c r="H15" s="3">
        <v>250</v>
      </c>
      <c r="I15" s="3">
        <f t="shared" si="2"/>
        <v>1500</v>
      </c>
      <c r="J15" s="3">
        <v>250</v>
      </c>
      <c r="K15" s="6">
        <v>15</v>
      </c>
      <c r="L15" s="4">
        <v>50</v>
      </c>
      <c r="M15" s="4">
        <v>5</v>
      </c>
      <c r="N15" s="4">
        <v>6</v>
      </c>
      <c r="O15" s="4">
        <v>5</v>
      </c>
      <c r="P15" s="4">
        <v>4</v>
      </c>
      <c r="Q15" s="4">
        <v>10</v>
      </c>
      <c r="R15" s="1">
        <v>0.3</v>
      </c>
      <c r="S15" s="6">
        <v>0</v>
      </c>
      <c r="T15" s="1">
        <v>30</v>
      </c>
      <c r="U15" s="1">
        <f t="shared" si="3"/>
        <v>2</v>
      </c>
      <c r="V15" s="1">
        <v>1</v>
      </c>
      <c r="W15" s="1">
        <f t="shared" si="4"/>
        <v>1</v>
      </c>
    </row>
    <row r="16" s="1" customFormat="1" spans="1:23">
      <c r="A16" s="1">
        <v>10013</v>
      </c>
      <c r="B16" s="7" t="s">
        <v>90</v>
      </c>
      <c r="C16" s="1" t="str">
        <f t="shared" si="0"/>
        <v>1</v>
      </c>
      <c r="D16" s="7" t="s">
        <v>91</v>
      </c>
      <c r="E16" s="1">
        <v>2</v>
      </c>
      <c r="F16" s="7" t="s">
        <v>92</v>
      </c>
      <c r="G16" s="1" t="str">
        <f t="shared" si="1"/>
        <v>qibing01_Lv1</v>
      </c>
      <c r="H16" s="3">
        <v>250</v>
      </c>
      <c r="I16" s="3">
        <f t="shared" si="2"/>
        <v>1500</v>
      </c>
      <c r="J16" s="3">
        <v>400</v>
      </c>
      <c r="K16" s="6">
        <v>15</v>
      </c>
      <c r="L16" s="4">
        <v>47</v>
      </c>
      <c r="M16" s="4">
        <v>9</v>
      </c>
      <c r="N16" s="4">
        <v>4</v>
      </c>
      <c r="O16" s="4">
        <v>4</v>
      </c>
      <c r="P16" s="4">
        <v>4</v>
      </c>
      <c r="Q16" s="4">
        <v>10</v>
      </c>
      <c r="R16" s="1">
        <v>0.3</v>
      </c>
      <c r="S16" s="6">
        <v>0</v>
      </c>
      <c r="T16" s="1">
        <v>30</v>
      </c>
      <c r="U16" s="1">
        <f t="shared" si="3"/>
        <v>2</v>
      </c>
      <c r="V16" s="1">
        <v>1</v>
      </c>
      <c r="W16" s="1">
        <f t="shared" si="4"/>
        <v>1</v>
      </c>
    </row>
    <row r="17" s="1" customFormat="1" spans="1:23">
      <c r="A17" s="1">
        <v>10014</v>
      </c>
      <c r="B17" s="7" t="s">
        <v>93</v>
      </c>
      <c r="C17" s="1" t="str">
        <f t="shared" si="0"/>
        <v>1</v>
      </c>
      <c r="D17" s="7" t="s">
        <v>81</v>
      </c>
      <c r="E17" s="1">
        <v>1</v>
      </c>
      <c r="F17" s="7" t="s">
        <v>94</v>
      </c>
      <c r="G17" s="1" t="str">
        <f t="shared" si="1"/>
        <v>gongbing01_Lv1</v>
      </c>
      <c r="H17" s="3">
        <v>1000</v>
      </c>
      <c r="I17" s="3">
        <f t="shared" si="2"/>
        <v>1500</v>
      </c>
      <c r="J17" s="3">
        <v>250</v>
      </c>
      <c r="K17" s="6">
        <v>20</v>
      </c>
      <c r="L17" s="4">
        <v>45</v>
      </c>
      <c r="M17" s="4">
        <v>8</v>
      </c>
      <c r="N17" s="4">
        <v>3</v>
      </c>
      <c r="O17" s="4">
        <v>6</v>
      </c>
      <c r="P17" s="4">
        <v>6</v>
      </c>
      <c r="Q17" s="4">
        <v>10</v>
      </c>
      <c r="R17" s="1">
        <v>0.3</v>
      </c>
      <c r="S17" s="6">
        <v>0</v>
      </c>
      <c r="T17" s="1">
        <v>30</v>
      </c>
      <c r="U17" s="1">
        <f t="shared" si="3"/>
        <v>2</v>
      </c>
      <c r="V17" s="1">
        <v>1</v>
      </c>
      <c r="W17" s="1">
        <f t="shared" si="4"/>
        <v>1</v>
      </c>
    </row>
    <row r="18" s="1" customFormat="1" spans="1:23">
      <c r="A18" s="1">
        <v>10015</v>
      </c>
      <c r="B18" s="7" t="s">
        <v>95</v>
      </c>
      <c r="C18" s="1" t="str">
        <f t="shared" si="0"/>
        <v>1</v>
      </c>
      <c r="D18" s="7" t="s">
        <v>96</v>
      </c>
      <c r="E18" s="1">
        <v>2</v>
      </c>
      <c r="F18" s="7" t="s">
        <v>97</v>
      </c>
      <c r="G18" s="1" t="str">
        <f t="shared" si="1"/>
        <v>feibing01_Lv1</v>
      </c>
      <c r="H18" s="3">
        <v>250</v>
      </c>
      <c r="I18" s="3">
        <f t="shared" si="2"/>
        <v>1500</v>
      </c>
      <c r="J18" s="3">
        <v>400</v>
      </c>
      <c r="K18" s="6">
        <v>15</v>
      </c>
      <c r="L18" s="4">
        <v>47</v>
      </c>
      <c r="M18" s="4">
        <v>8</v>
      </c>
      <c r="N18" s="4">
        <v>5</v>
      </c>
      <c r="O18" s="4">
        <v>8</v>
      </c>
      <c r="P18" s="4">
        <v>6</v>
      </c>
      <c r="Q18" s="4">
        <v>10</v>
      </c>
      <c r="R18" s="1">
        <v>0.3</v>
      </c>
      <c r="S18" s="6">
        <v>0</v>
      </c>
      <c r="T18" s="1">
        <v>30</v>
      </c>
      <c r="U18" s="1">
        <f t="shared" si="3"/>
        <v>2</v>
      </c>
      <c r="V18" s="1">
        <v>1</v>
      </c>
      <c r="W18" s="1">
        <f t="shared" si="4"/>
        <v>1</v>
      </c>
    </row>
    <row r="19" s="1" customFormat="1" spans="1:23">
      <c r="A19" s="1">
        <v>10016</v>
      </c>
      <c r="B19" s="7" t="s">
        <v>98</v>
      </c>
      <c r="C19" s="1" t="str">
        <f t="shared" si="0"/>
        <v>1</v>
      </c>
      <c r="D19" s="7" t="s">
        <v>78</v>
      </c>
      <c r="E19" s="1">
        <v>1</v>
      </c>
      <c r="F19" s="7" t="s">
        <v>99</v>
      </c>
      <c r="G19" s="1" t="str">
        <f t="shared" si="1"/>
        <v>fashi01_Lv1</v>
      </c>
      <c r="H19" s="3">
        <v>1000</v>
      </c>
      <c r="I19" s="3">
        <f t="shared" si="2"/>
        <v>1500</v>
      </c>
      <c r="J19" s="3">
        <v>250</v>
      </c>
      <c r="K19" s="6">
        <v>20</v>
      </c>
      <c r="L19" s="4">
        <v>45</v>
      </c>
      <c r="M19" s="4">
        <v>5</v>
      </c>
      <c r="N19" s="4">
        <v>3</v>
      </c>
      <c r="O19" s="4">
        <v>9</v>
      </c>
      <c r="P19" s="4">
        <v>5</v>
      </c>
      <c r="Q19" s="4">
        <v>10</v>
      </c>
      <c r="R19" s="1">
        <v>0.3</v>
      </c>
      <c r="S19" s="6">
        <v>0</v>
      </c>
      <c r="T19" s="1">
        <v>30</v>
      </c>
      <c r="U19" s="1">
        <f t="shared" si="3"/>
        <v>2</v>
      </c>
      <c r="V19" s="1">
        <v>1</v>
      </c>
      <c r="W19" s="1">
        <f t="shared" si="4"/>
        <v>1</v>
      </c>
    </row>
    <row r="20" s="1" customFormat="1" spans="1:23">
      <c r="A20" s="1">
        <v>10017</v>
      </c>
      <c r="B20" s="7" t="s">
        <v>100</v>
      </c>
      <c r="C20" s="1" t="str">
        <f t="shared" si="0"/>
        <v>1</v>
      </c>
      <c r="D20" s="7" t="s">
        <v>74</v>
      </c>
      <c r="E20" s="1">
        <v>1</v>
      </c>
      <c r="F20" s="7" t="s">
        <v>101</v>
      </c>
      <c r="G20" s="1" t="str">
        <f t="shared" si="1"/>
        <v>mushi01_Lv1</v>
      </c>
      <c r="H20" s="3">
        <v>1000</v>
      </c>
      <c r="I20" s="3">
        <f t="shared" si="2"/>
        <v>1500</v>
      </c>
      <c r="J20" s="3">
        <v>250</v>
      </c>
      <c r="K20" s="6">
        <v>20</v>
      </c>
      <c r="L20" s="4">
        <v>46</v>
      </c>
      <c r="M20" s="4">
        <v>5</v>
      </c>
      <c r="N20" s="4">
        <v>7</v>
      </c>
      <c r="O20" s="4">
        <v>5</v>
      </c>
      <c r="P20" s="4">
        <v>10</v>
      </c>
      <c r="Q20" s="4">
        <v>10</v>
      </c>
      <c r="R20" s="1">
        <v>0.3</v>
      </c>
      <c r="S20" s="6">
        <v>0</v>
      </c>
      <c r="T20" s="1">
        <v>30</v>
      </c>
      <c r="U20" s="1">
        <f t="shared" si="3"/>
        <v>2</v>
      </c>
      <c r="V20" s="1">
        <v>1</v>
      </c>
      <c r="W20" s="1">
        <f t="shared" si="4"/>
        <v>1</v>
      </c>
    </row>
    <row r="21" s="1" customFormat="1" spans="1:23">
      <c r="A21" s="1">
        <v>10018</v>
      </c>
      <c r="B21" s="7" t="s">
        <v>102</v>
      </c>
      <c r="C21" s="1" t="str">
        <f t="shared" si="0"/>
        <v>1</v>
      </c>
      <c r="D21" s="7" t="s">
        <v>56</v>
      </c>
      <c r="E21" s="1">
        <v>2</v>
      </c>
      <c r="F21" s="7" t="s">
        <v>103</v>
      </c>
      <c r="G21" s="1" t="str">
        <f t="shared" si="1"/>
        <v>moshou01_Lv1</v>
      </c>
      <c r="H21" s="3">
        <v>250</v>
      </c>
      <c r="I21" s="3">
        <f t="shared" si="2"/>
        <v>1500</v>
      </c>
      <c r="J21" s="3">
        <v>250</v>
      </c>
      <c r="K21" s="6">
        <v>15</v>
      </c>
      <c r="L21" s="4">
        <v>48</v>
      </c>
      <c r="M21" s="4">
        <v>9</v>
      </c>
      <c r="N21" s="4">
        <v>5</v>
      </c>
      <c r="O21" s="4">
        <v>5</v>
      </c>
      <c r="P21" s="4">
        <v>5</v>
      </c>
      <c r="Q21" s="4">
        <v>10</v>
      </c>
      <c r="R21" s="1">
        <v>0.3</v>
      </c>
      <c r="S21" s="6">
        <v>0</v>
      </c>
      <c r="T21" s="1">
        <v>30</v>
      </c>
      <c r="U21" s="1">
        <f t="shared" si="3"/>
        <v>2</v>
      </c>
      <c r="V21" s="1">
        <v>1</v>
      </c>
      <c r="W21" s="1">
        <f t="shared" si="4"/>
        <v>1</v>
      </c>
    </row>
    <row r="22" s="1" customFormat="1" spans="1:23">
      <c r="A22" s="1">
        <v>10019</v>
      </c>
      <c r="B22" s="7" t="s">
        <v>104</v>
      </c>
      <c r="C22" s="1" t="str">
        <f t="shared" si="0"/>
        <v>1</v>
      </c>
      <c r="D22" s="7" t="s">
        <v>105</v>
      </c>
      <c r="E22" s="1">
        <v>1</v>
      </c>
      <c r="F22" s="7" t="s">
        <v>106</v>
      </c>
      <c r="G22" s="1" t="str">
        <f t="shared" si="1"/>
        <v>yeshou01_lv1</v>
      </c>
      <c r="H22" s="3">
        <v>250</v>
      </c>
      <c r="I22" s="3">
        <f t="shared" si="2"/>
        <v>1500</v>
      </c>
      <c r="J22" s="3">
        <v>250</v>
      </c>
      <c r="K22" s="6">
        <v>15</v>
      </c>
      <c r="L22" s="4">
        <v>47</v>
      </c>
      <c r="M22" s="4">
        <v>10</v>
      </c>
      <c r="N22" s="4">
        <v>4</v>
      </c>
      <c r="O22" s="4">
        <v>5</v>
      </c>
      <c r="P22" s="4">
        <v>5</v>
      </c>
      <c r="Q22" s="4">
        <v>10</v>
      </c>
      <c r="R22" s="1">
        <v>0.3</v>
      </c>
      <c r="S22" s="6">
        <v>0</v>
      </c>
      <c r="T22" s="1">
        <v>30</v>
      </c>
      <c r="U22" s="1">
        <f t="shared" si="3"/>
        <v>2</v>
      </c>
      <c r="V22" s="1">
        <v>1</v>
      </c>
      <c r="W22" s="1">
        <f t="shared" si="4"/>
        <v>1</v>
      </c>
    </row>
    <row r="23" s="1" customFormat="1" spans="1:24">
      <c r="A23" s="1">
        <v>20001</v>
      </c>
      <c r="B23" s="3" t="s">
        <v>132</v>
      </c>
      <c r="C23" s="1" t="str">
        <f t="shared" si="0"/>
        <v>2</v>
      </c>
      <c r="D23" s="1">
        <v>8</v>
      </c>
      <c r="E23" s="1">
        <v>1</v>
      </c>
      <c r="F23" s="1" t="s">
        <v>133</v>
      </c>
      <c r="G23" s="1" t="str">
        <f t="shared" si="1"/>
        <v>jymonster001</v>
      </c>
      <c r="H23" s="3">
        <v>250</v>
      </c>
      <c r="I23" s="3">
        <f t="shared" si="2"/>
        <v>1500</v>
      </c>
      <c r="J23" s="3">
        <v>300</v>
      </c>
      <c r="K23" s="3">
        <v>20</v>
      </c>
      <c r="L23" s="4">
        <v>55</v>
      </c>
      <c r="M23" s="4">
        <v>11</v>
      </c>
      <c r="N23" s="4">
        <v>5</v>
      </c>
      <c r="O23" s="4">
        <v>5</v>
      </c>
      <c r="P23" s="4">
        <v>5</v>
      </c>
      <c r="Q23" s="4">
        <v>10</v>
      </c>
      <c r="R23" s="1">
        <v>0.3</v>
      </c>
      <c r="S23" s="6">
        <v>0</v>
      </c>
      <c r="T23" s="1">
        <v>50</v>
      </c>
      <c r="U23" s="1">
        <f t="shared" si="3"/>
        <v>5</v>
      </c>
      <c r="V23" s="1">
        <v>1</v>
      </c>
      <c r="W23" s="1">
        <f t="shared" si="4"/>
        <v>1</v>
      </c>
      <c r="X23" s="1" t="s">
        <v>259</v>
      </c>
    </row>
    <row r="24" s="1" customFormat="1" spans="1:24">
      <c r="A24" s="1">
        <v>20002</v>
      </c>
      <c r="B24" s="3" t="s">
        <v>134</v>
      </c>
      <c r="C24" s="1" t="str">
        <f t="shared" si="0"/>
        <v>2</v>
      </c>
      <c r="D24" s="1">
        <v>7</v>
      </c>
      <c r="E24" s="1">
        <v>1</v>
      </c>
      <c r="F24" s="1" t="s">
        <v>135</v>
      </c>
      <c r="G24" s="1" t="str">
        <f t="shared" si="1"/>
        <v>jymonster002</v>
      </c>
      <c r="H24" s="3">
        <v>800</v>
      </c>
      <c r="I24" s="3">
        <f t="shared" si="2"/>
        <v>1500</v>
      </c>
      <c r="J24" s="3">
        <v>250</v>
      </c>
      <c r="K24" s="3">
        <v>25</v>
      </c>
      <c r="L24" s="4">
        <v>60</v>
      </c>
      <c r="M24" s="4">
        <v>7</v>
      </c>
      <c r="N24" s="4">
        <v>6</v>
      </c>
      <c r="O24" s="4">
        <v>6</v>
      </c>
      <c r="P24" s="4">
        <v>7</v>
      </c>
      <c r="Q24" s="4">
        <v>10</v>
      </c>
      <c r="R24" s="1">
        <v>0.3</v>
      </c>
      <c r="S24" s="6">
        <v>0</v>
      </c>
      <c r="T24" s="1">
        <v>50</v>
      </c>
      <c r="U24" s="1">
        <f t="shared" si="3"/>
        <v>5</v>
      </c>
      <c r="V24" s="1">
        <v>1</v>
      </c>
      <c r="W24" s="1">
        <f t="shared" si="4"/>
        <v>1</v>
      </c>
      <c r="X24" s="1" t="s">
        <v>259</v>
      </c>
    </row>
    <row r="25" s="1" customFormat="1" spans="1:24">
      <c r="A25" s="1">
        <v>20003</v>
      </c>
      <c r="B25" s="1" t="s">
        <v>136</v>
      </c>
      <c r="C25" s="1" t="str">
        <f t="shared" si="0"/>
        <v>2</v>
      </c>
      <c r="D25" s="1">
        <v>8</v>
      </c>
      <c r="E25" s="1">
        <v>1</v>
      </c>
      <c r="F25" s="1" t="s">
        <v>137</v>
      </c>
      <c r="G25" s="1" t="str">
        <f t="shared" si="1"/>
        <v>jymonster003</v>
      </c>
      <c r="H25" s="3">
        <v>250</v>
      </c>
      <c r="I25" s="3">
        <f t="shared" si="2"/>
        <v>1500</v>
      </c>
      <c r="J25" s="3">
        <v>300</v>
      </c>
      <c r="K25" s="3">
        <v>20</v>
      </c>
      <c r="L25" s="4">
        <v>60</v>
      </c>
      <c r="M25" s="4">
        <v>11</v>
      </c>
      <c r="N25" s="4">
        <v>6</v>
      </c>
      <c r="O25" s="4">
        <v>6</v>
      </c>
      <c r="P25" s="4">
        <v>6</v>
      </c>
      <c r="Q25" s="4">
        <v>10</v>
      </c>
      <c r="R25" s="1">
        <v>0.3</v>
      </c>
      <c r="S25" s="6">
        <v>0</v>
      </c>
      <c r="T25" s="1">
        <v>50</v>
      </c>
      <c r="U25" s="1">
        <f t="shared" si="3"/>
        <v>5</v>
      </c>
      <c r="V25" s="1">
        <v>1</v>
      </c>
      <c r="W25" s="1">
        <f t="shared" si="4"/>
        <v>1</v>
      </c>
      <c r="X25" s="1" t="s">
        <v>260</v>
      </c>
    </row>
    <row r="26" s="1" customFormat="1" spans="1:24">
      <c r="A26" s="1">
        <v>20004</v>
      </c>
      <c r="B26" s="1" t="s">
        <v>138</v>
      </c>
      <c r="C26" s="1" t="str">
        <f t="shared" si="0"/>
        <v>2</v>
      </c>
      <c r="D26" s="1">
        <v>7</v>
      </c>
      <c r="E26" s="1">
        <v>1</v>
      </c>
      <c r="F26" s="1" t="s">
        <v>139</v>
      </c>
      <c r="G26" s="1" t="str">
        <f t="shared" si="1"/>
        <v>jymonster004</v>
      </c>
      <c r="H26" s="3">
        <v>250</v>
      </c>
      <c r="I26" s="3">
        <f t="shared" si="2"/>
        <v>1500</v>
      </c>
      <c r="J26" s="3">
        <v>250</v>
      </c>
      <c r="K26" s="3">
        <v>20</v>
      </c>
      <c r="L26" s="4">
        <v>65</v>
      </c>
      <c r="M26" s="4">
        <v>12</v>
      </c>
      <c r="N26" s="4">
        <v>6</v>
      </c>
      <c r="O26" s="4">
        <v>6</v>
      </c>
      <c r="P26" s="4">
        <v>6</v>
      </c>
      <c r="Q26" s="4">
        <v>10</v>
      </c>
      <c r="R26" s="1">
        <v>0.3</v>
      </c>
      <c r="S26" s="6">
        <v>0</v>
      </c>
      <c r="T26" s="1">
        <v>50</v>
      </c>
      <c r="U26" s="1">
        <f t="shared" si="3"/>
        <v>5</v>
      </c>
      <c r="V26" s="1">
        <v>1</v>
      </c>
      <c r="W26" s="1">
        <f t="shared" si="4"/>
        <v>1</v>
      </c>
      <c r="X26" s="1" t="s">
        <v>260</v>
      </c>
    </row>
    <row r="27" s="1" customFormat="1" spans="1:23">
      <c r="A27" s="1">
        <v>20005</v>
      </c>
      <c r="B27" s="6" t="s">
        <v>140</v>
      </c>
      <c r="C27" s="1" t="str">
        <f t="shared" si="0"/>
        <v>2</v>
      </c>
      <c r="D27" s="6" t="s">
        <v>84</v>
      </c>
      <c r="E27" s="1">
        <v>1</v>
      </c>
      <c r="F27" s="6" t="s">
        <v>141</v>
      </c>
      <c r="G27" s="1" t="str">
        <f t="shared" si="1"/>
        <v>bubing01_Lv2</v>
      </c>
      <c r="H27" s="3">
        <v>250</v>
      </c>
      <c r="I27" s="3">
        <f t="shared" si="2"/>
        <v>1500</v>
      </c>
      <c r="J27" s="3">
        <v>250</v>
      </c>
      <c r="K27" s="3">
        <v>15</v>
      </c>
      <c r="L27" s="4">
        <v>76</v>
      </c>
      <c r="M27" s="4">
        <v>10</v>
      </c>
      <c r="N27" s="4">
        <v>7</v>
      </c>
      <c r="O27" s="4">
        <v>6</v>
      </c>
      <c r="P27" s="4">
        <v>5</v>
      </c>
      <c r="Q27" s="4">
        <v>15</v>
      </c>
      <c r="R27" s="1">
        <v>0.4</v>
      </c>
      <c r="S27" s="6">
        <v>0</v>
      </c>
      <c r="T27" s="1">
        <v>80</v>
      </c>
      <c r="U27" s="1">
        <f t="shared" si="3"/>
        <v>5</v>
      </c>
      <c r="V27" s="1">
        <v>1</v>
      </c>
      <c r="W27" s="1">
        <f t="shared" si="4"/>
        <v>1</v>
      </c>
    </row>
    <row r="28" s="1" customFormat="1" spans="1:23">
      <c r="A28" s="1">
        <v>20006</v>
      </c>
      <c r="B28" s="6" t="s">
        <v>142</v>
      </c>
      <c r="C28" s="1" t="str">
        <f t="shared" si="0"/>
        <v>2</v>
      </c>
      <c r="D28" s="6" t="s">
        <v>84</v>
      </c>
      <c r="E28" s="1">
        <v>1</v>
      </c>
      <c r="F28" s="6" t="s">
        <v>143</v>
      </c>
      <c r="G28" s="1" t="str">
        <f t="shared" si="1"/>
        <v>bubing02_Lv2</v>
      </c>
      <c r="H28" s="3">
        <v>250</v>
      </c>
      <c r="I28" s="3">
        <f t="shared" si="2"/>
        <v>1500</v>
      </c>
      <c r="J28" s="3">
        <v>250</v>
      </c>
      <c r="K28" s="3">
        <v>15</v>
      </c>
      <c r="L28" s="4">
        <v>80</v>
      </c>
      <c r="M28" s="4">
        <v>8</v>
      </c>
      <c r="N28" s="4">
        <v>8</v>
      </c>
      <c r="O28" s="4">
        <v>6</v>
      </c>
      <c r="P28" s="4">
        <v>5</v>
      </c>
      <c r="Q28" s="4">
        <v>15</v>
      </c>
      <c r="R28" s="1">
        <v>0.4</v>
      </c>
      <c r="S28" s="6">
        <v>0</v>
      </c>
      <c r="T28" s="1">
        <v>80</v>
      </c>
      <c r="U28" s="1">
        <f t="shared" si="3"/>
        <v>5</v>
      </c>
      <c r="V28" s="1">
        <v>1</v>
      </c>
      <c r="W28" s="1">
        <f t="shared" si="4"/>
        <v>1</v>
      </c>
    </row>
    <row r="29" s="1" customFormat="1" spans="1:23">
      <c r="A29" s="1">
        <v>20007</v>
      </c>
      <c r="B29" s="7" t="s">
        <v>144</v>
      </c>
      <c r="C29" s="1" t="str">
        <f t="shared" si="0"/>
        <v>2</v>
      </c>
      <c r="D29" s="7" t="s">
        <v>91</v>
      </c>
      <c r="E29" s="1">
        <v>2</v>
      </c>
      <c r="F29" s="7" t="s">
        <v>145</v>
      </c>
      <c r="G29" s="1" t="str">
        <f t="shared" si="1"/>
        <v>qibing01_Lv2</v>
      </c>
      <c r="H29" s="3">
        <v>250</v>
      </c>
      <c r="I29" s="3">
        <f t="shared" si="2"/>
        <v>1500</v>
      </c>
      <c r="J29" s="3">
        <v>400</v>
      </c>
      <c r="K29" s="3">
        <v>15</v>
      </c>
      <c r="L29" s="4">
        <v>76</v>
      </c>
      <c r="M29" s="4">
        <v>11</v>
      </c>
      <c r="N29" s="4">
        <v>6</v>
      </c>
      <c r="O29" s="4">
        <v>6</v>
      </c>
      <c r="P29" s="4">
        <v>5</v>
      </c>
      <c r="Q29" s="4">
        <v>15</v>
      </c>
      <c r="R29" s="1">
        <v>0.4</v>
      </c>
      <c r="S29" s="6">
        <v>0</v>
      </c>
      <c r="T29" s="1">
        <v>80</v>
      </c>
      <c r="U29" s="1">
        <f t="shared" si="3"/>
        <v>5</v>
      </c>
      <c r="V29" s="1">
        <v>1</v>
      </c>
      <c r="W29" s="1">
        <f t="shared" si="4"/>
        <v>1</v>
      </c>
    </row>
    <row r="30" s="1" customFormat="1" spans="1:23">
      <c r="A30" s="1">
        <v>20008</v>
      </c>
      <c r="B30" s="7" t="s">
        <v>146</v>
      </c>
      <c r="C30" s="1" t="str">
        <f t="shared" si="0"/>
        <v>2</v>
      </c>
      <c r="D30" s="7" t="s">
        <v>81</v>
      </c>
      <c r="E30" s="1">
        <v>1</v>
      </c>
      <c r="F30" s="7" t="s">
        <v>147</v>
      </c>
      <c r="G30" s="1" t="str">
        <f t="shared" si="1"/>
        <v>gongbing01_Lv2</v>
      </c>
      <c r="H30" s="3">
        <v>1100</v>
      </c>
      <c r="I30" s="3">
        <f t="shared" si="2"/>
        <v>1500</v>
      </c>
      <c r="J30" s="3">
        <v>250</v>
      </c>
      <c r="K30" s="3">
        <v>20</v>
      </c>
      <c r="L30" s="4">
        <v>72</v>
      </c>
      <c r="M30" s="4">
        <v>9</v>
      </c>
      <c r="N30" s="4">
        <v>5</v>
      </c>
      <c r="O30" s="4">
        <v>8</v>
      </c>
      <c r="P30" s="4">
        <v>5</v>
      </c>
      <c r="Q30" s="4">
        <v>15</v>
      </c>
      <c r="R30" s="1">
        <v>0.4</v>
      </c>
      <c r="S30" s="6">
        <v>0</v>
      </c>
      <c r="T30" s="1">
        <v>80</v>
      </c>
      <c r="U30" s="1">
        <f t="shared" si="3"/>
        <v>5</v>
      </c>
      <c r="V30" s="1">
        <v>1</v>
      </c>
      <c r="W30" s="1">
        <f t="shared" si="4"/>
        <v>1</v>
      </c>
    </row>
    <row r="31" s="1" customFormat="1" spans="1:23">
      <c r="A31" s="1">
        <v>20009</v>
      </c>
      <c r="B31" s="7" t="s">
        <v>149</v>
      </c>
      <c r="C31" s="1" t="str">
        <f t="shared" si="0"/>
        <v>2</v>
      </c>
      <c r="D31" s="7" t="s">
        <v>96</v>
      </c>
      <c r="E31" s="1">
        <v>2</v>
      </c>
      <c r="F31" s="7" t="s">
        <v>150</v>
      </c>
      <c r="G31" s="1" t="str">
        <f t="shared" si="1"/>
        <v>feibing01_Lv2</v>
      </c>
      <c r="H31" s="3">
        <v>250</v>
      </c>
      <c r="I31" s="3">
        <f t="shared" si="2"/>
        <v>1500</v>
      </c>
      <c r="J31" s="3">
        <v>400</v>
      </c>
      <c r="K31" s="3">
        <v>15</v>
      </c>
      <c r="L31" s="4">
        <v>74</v>
      </c>
      <c r="M31" s="4">
        <v>10</v>
      </c>
      <c r="N31" s="4">
        <v>6</v>
      </c>
      <c r="O31" s="4">
        <v>9</v>
      </c>
      <c r="P31" s="4">
        <v>6</v>
      </c>
      <c r="Q31" s="4">
        <v>15</v>
      </c>
      <c r="R31" s="1">
        <v>0.4</v>
      </c>
      <c r="S31" s="6">
        <v>0</v>
      </c>
      <c r="T31" s="1">
        <v>80</v>
      </c>
      <c r="U31" s="1">
        <f t="shared" si="3"/>
        <v>5</v>
      </c>
      <c r="V31" s="1">
        <v>1</v>
      </c>
      <c r="W31" s="1">
        <f t="shared" si="4"/>
        <v>1</v>
      </c>
    </row>
    <row r="32" s="1" customFormat="1" spans="1:23">
      <c r="A32" s="1">
        <v>20010</v>
      </c>
      <c r="B32" s="7" t="s">
        <v>151</v>
      </c>
      <c r="C32" s="1" t="str">
        <f t="shared" si="0"/>
        <v>2</v>
      </c>
      <c r="D32" s="7" t="s">
        <v>78</v>
      </c>
      <c r="E32" s="1">
        <v>1</v>
      </c>
      <c r="F32" s="7" t="s">
        <v>152</v>
      </c>
      <c r="G32" s="1" t="str">
        <f t="shared" si="1"/>
        <v>fashi01_Lv2</v>
      </c>
      <c r="H32" s="3">
        <v>1000</v>
      </c>
      <c r="I32" s="3">
        <f t="shared" si="2"/>
        <v>1500</v>
      </c>
      <c r="J32" s="3">
        <v>250</v>
      </c>
      <c r="K32" s="3">
        <v>20</v>
      </c>
      <c r="L32" s="4">
        <v>72</v>
      </c>
      <c r="M32" s="4">
        <v>8</v>
      </c>
      <c r="N32" s="4">
        <v>5</v>
      </c>
      <c r="O32" s="4">
        <v>12</v>
      </c>
      <c r="P32" s="4">
        <v>8</v>
      </c>
      <c r="Q32" s="4">
        <v>15</v>
      </c>
      <c r="R32" s="1">
        <v>0.4</v>
      </c>
      <c r="S32" s="6">
        <v>0</v>
      </c>
      <c r="T32" s="1">
        <v>80</v>
      </c>
      <c r="U32" s="1">
        <f t="shared" si="3"/>
        <v>5</v>
      </c>
      <c r="V32" s="1">
        <v>1</v>
      </c>
      <c r="W32" s="1">
        <f t="shared" si="4"/>
        <v>1</v>
      </c>
    </row>
    <row r="33" s="1" customFormat="1" spans="1:23">
      <c r="A33" s="1">
        <v>20011</v>
      </c>
      <c r="B33" s="7" t="s">
        <v>153</v>
      </c>
      <c r="C33" s="1" t="str">
        <f t="shared" si="0"/>
        <v>2</v>
      </c>
      <c r="D33" s="7" t="s">
        <v>74</v>
      </c>
      <c r="E33" s="1">
        <v>1</v>
      </c>
      <c r="F33" s="7" t="s">
        <v>154</v>
      </c>
      <c r="G33" s="1" t="str">
        <f t="shared" si="1"/>
        <v>mushi01_Lv2</v>
      </c>
      <c r="H33" s="3">
        <v>1000</v>
      </c>
      <c r="I33" s="3">
        <f t="shared" si="2"/>
        <v>1500</v>
      </c>
      <c r="J33" s="3">
        <v>250</v>
      </c>
      <c r="K33" s="3">
        <v>20</v>
      </c>
      <c r="L33" s="4">
        <v>70</v>
      </c>
      <c r="M33" s="4">
        <v>8</v>
      </c>
      <c r="N33" s="4">
        <v>5</v>
      </c>
      <c r="O33" s="4">
        <v>11</v>
      </c>
      <c r="P33" s="4">
        <v>7</v>
      </c>
      <c r="Q33" s="4">
        <v>15</v>
      </c>
      <c r="R33" s="1">
        <v>0.4</v>
      </c>
      <c r="S33" s="6">
        <v>0</v>
      </c>
      <c r="T33" s="1">
        <v>80</v>
      </c>
      <c r="U33" s="1">
        <f t="shared" si="3"/>
        <v>5</v>
      </c>
      <c r="V33" s="1">
        <v>1</v>
      </c>
      <c r="W33" s="1">
        <f t="shared" si="4"/>
        <v>1</v>
      </c>
    </row>
    <row r="34" s="1" customFormat="1" spans="1:23">
      <c r="A34" s="1">
        <v>20012</v>
      </c>
      <c r="B34" s="7" t="s">
        <v>155</v>
      </c>
      <c r="C34" s="1" t="str">
        <f t="shared" si="0"/>
        <v>2</v>
      </c>
      <c r="D34" s="7" t="s">
        <v>56</v>
      </c>
      <c r="E34" s="1">
        <v>2</v>
      </c>
      <c r="F34" s="7" t="s">
        <v>156</v>
      </c>
      <c r="G34" s="1" t="str">
        <f t="shared" si="1"/>
        <v>moshou01_Lv2</v>
      </c>
      <c r="H34" s="3">
        <v>250</v>
      </c>
      <c r="I34" s="3">
        <f t="shared" si="2"/>
        <v>1500</v>
      </c>
      <c r="J34" s="3">
        <v>250</v>
      </c>
      <c r="K34" s="3">
        <v>15</v>
      </c>
      <c r="L34" s="4">
        <v>76</v>
      </c>
      <c r="M34" s="4">
        <v>10</v>
      </c>
      <c r="N34" s="4">
        <v>6</v>
      </c>
      <c r="O34" s="4">
        <v>5</v>
      </c>
      <c r="P34" s="4">
        <v>4</v>
      </c>
      <c r="Q34" s="4">
        <v>15</v>
      </c>
      <c r="R34" s="1">
        <v>0.4</v>
      </c>
      <c r="S34" s="6">
        <v>0</v>
      </c>
      <c r="T34" s="1">
        <v>80</v>
      </c>
      <c r="U34" s="1">
        <f t="shared" si="3"/>
        <v>5</v>
      </c>
      <c r="V34" s="1">
        <v>1</v>
      </c>
      <c r="W34" s="1">
        <f t="shared" si="4"/>
        <v>1</v>
      </c>
    </row>
    <row r="35" s="1" customFormat="1" spans="1:23">
      <c r="A35" s="1">
        <v>20013</v>
      </c>
      <c r="B35" s="7" t="s">
        <v>157</v>
      </c>
      <c r="C35" s="1" t="str">
        <f t="shared" si="0"/>
        <v>2</v>
      </c>
      <c r="D35" s="7" t="s">
        <v>105</v>
      </c>
      <c r="E35" s="1">
        <v>1</v>
      </c>
      <c r="F35" s="7" t="s">
        <v>158</v>
      </c>
      <c r="G35" s="1" t="str">
        <f t="shared" si="1"/>
        <v>yeshou01_lv2</v>
      </c>
      <c r="H35" s="3">
        <v>250</v>
      </c>
      <c r="I35" s="3">
        <f t="shared" si="2"/>
        <v>1500</v>
      </c>
      <c r="J35" s="3">
        <v>250</v>
      </c>
      <c r="K35" s="3">
        <v>15</v>
      </c>
      <c r="L35" s="4">
        <v>80</v>
      </c>
      <c r="M35" s="4">
        <v>12</v>
      </c>
      <c r="N35" s="4">
        <v>5</v>
      </c>
      <c r="O35" s="4">
        <v>5</v>
      </c>
      <c r="P35" s="4">
        <v>4</v>
      </c>
      <c r="Q35" s="4">
        <v>15</v>
      </c>
      <c r="R35" s="1">
        <v>0.4</v>
      </c>
      <c r="S35" s="6">
        <v>0</v>
      </c>
      <c r="T35" s="1">
        <v>80</v>
      </c>
      <c r="U35" s="1">
        <f t="shared" si="3"/>
        <v>5</v>
      </c>
      <c r="V35" s="1">
        <v>1</v>
      </c>
      <c r="W35" s="1">
        <f t="shared" si="4"/>
        <v>1</v>
      </c>
    </row>
    <row r="36" s="1" customFormat="1" spans="1:24">
      <c r="A36" s="1">
        <v>30001</v>
      </c>
      <c r="B36" s="1" t="s">
        <v>171</v>
      </c>
      <c r="C36" s="1" t="str">
        <f t="shared" si="0"/>
        <v>3</v>
      </c>
      <c r="D36" s="1">
        <v>7</v>
      </c>
      <c r="E36" s="1">
        <v>1</v>
      </c>
      <c r="F36" s="1" t="s">
        <v>172</v>
      </c>
      <c r="G36" s="1" t="str">
        <f t="shared" si="1"/>
        <v>boss001</v>
      </c>
      <c r="H36" s="3">
        <v>800</v>
      </c>
      <c r="I36" s="3">
        <f t="shared" si="2"/>
        <v>1500</v>
      </c>
      <c r="J36" s="3">
        <v>250</v>
      </c>
      <c r="K36" s="3">
        <v>25</v>
      </c>
      <c r="L36" s="4">
        <v>80</v>
      </c>
      <c r="M36" s="4">
        <v>8</v>
      </c>
      <c r="N36" s="4">
        <v>5</v>
      </c>
      <c r="O36" s="4">
        <v>12</v>
      </c>
      <c r="P36" s="4">
        <v>8</v>
      </c>
      <c r="Q36" s="4">
        <v>15</v>
      </c>
      <c r="R36" s="1">
        <v>0.4</v>
      </c>
      <c r="S36" s="6">
        <v>0</v>
      </c>
      <c r="T36" s="1">
        <v>100</v>
      </c>
      <c r="U36" s="1">
        <f t="shared" si="3"/>
        <v>10</v>
      </c>
      <c r="V36" s="1">
        <v>1</v>
      </c>
      <c r="W36" s="1">
        <f t="shared" si="4"/>
        <v>1</v>
      </c>
      <c r="X36" s="1" t="s">
        <v>261</v>
      </c>
    </row>
    <row r="37" s="1" customFormat="1" spans="1:23">
      <c r="A37" s="1">
        <v>30002</v>
      </c>
      <c r="B37" s="1" t="s">
        <v>173</v>
      </c>
      <c r="C37" s="1" t="str">
        <f t="shared" si="0"/>
        <v>3</v>
      </c>
      <c r="D37" s="1">
        <v>1</v>
      </c>
      <c r="E37" s="1">
        <v>2</v>
      </c>
      <c r="F37" s="1" t="s">
        <v>174</v>
      </c>
      <c r="G37" s="1" t="str">
        <f t="shared" si="1"/>
        <v>boss002</v>
      </c>
      <c r="H37" s="3">
        <v>250</v>
      </c>
      <c r="I37" s="3">
        <f t="shared" si="2"/>
        <v>1500</v>
      </c>
      <c r="J37" s="3">
        <v>250</v>
      </c>
      <c r="K37" s="3">
        <v>20</v>
      </c>
      <c r="L37" s="4">
        <v>80</v>
      </c>
      <c r="M37" s="4">
        <v>8</v>
      </c>
      <c r="N37" s="4">
        <v>8</v>
      </c>
      <c r="O37" s="4">
        <v>6</v>
      </c>
      <c r="P37" s="4">
        <v>5</v>
      </c>
      <c r="Q37" s="4">
        <v>15</v>
      </c>
      <c r="R37" s="1">
        <v>0.4</v>
      </c>
      <c r="S37" s="6">
        <v>0</v>
      </c>
      <c r="T37" s="1">
        <v>100</v>
      </c>
      <c r="U37" s="1">
        <f t="shared" si="3"/>
        <v>10</v>
      </c>
      <c r="V37" s="1">
        <v>1</v>
      </c>
      <c r="W37" s="1">
        <f t="shared" si="4"/>
        <v>1</v>
      </c>
    </row>
    <row r="38" s="1" customFormat="1" spans="1:23">
      <c r="A38" s="1">
        <v>30003</v>
      </c>
      <c r="B38" s="3" t="s">
        <v>175</v>
      </c>
      <c r="C38" s="1" t="str">
        <f t="shared" si="0"/>
        <v>3</v>
      </c>
      <c r="D38" s="1">
        <v>1</v>
      </c>
      <c r="E38" s="1">
        <v>2</v>
      </c>
      <c r="F38" s="1" t="s">
        <v>176</v>
      </c>
      <c r="G38" s="1" t="str">
        <f t="shared" si="1"/>
        <v>boss003</v>
      </c>
      <c r="H38" s="3">
        <v>250</v>
      </c>
      <c r="I38" s="3">
        <f t="shared" si="2"/>
        <v>1500</v>
      </c>
      <c r="J38" s="3">
        <v>250</v>
      </c>
      <c r="K38" s="3">
        <v>20</v>
      </c>
      <c r="L38" s="4">
        <v>80</v>
      </c>
      <c r="M38" s="4">
        <v>10</v>
      </c>
      <c r="N38" s="4">
        <v>7</v>
      </c>
      <c r="O38" s="4">
        <v>6</v>
      </c>
      <c r="P38" s="4">
        <v>5</v>
      </c>
      <c r="Q38" s="4">
        <v>15</v>
      </c>
      <c r="R38" s="1">
        <v>0.4</v>
      </c>
      <c r="S38" s="6">
        <v>0</v>
      </c>
      <c r="T38" s="1">
        <v>100</v>
      </c>
      <c r="U38" s="1">
        <f t="shared" si="3"/>
        <v>10</v>
      </c>
      <c r="V38" s="1">
        <v>1</v>
      </c>
      <c r="W38" s="1">
        <f t="shared" si="4"/>
        <v>1</v>
      </c>
    </row>
    <row r="39" s="1" customFormat="1" spans="1:23">
      <c r="A39" s="1">
        <v>30004</v>
      </c>
      <c r="B39" s="6" t="s">
        <v>177</v>
      </c>
      <c r="C39" s="1" t="str">
        <f t="shared" si="0"/>
        <v>3</v>
      </c>
      <c r="D39" s="6" t="s">
        <v>84</v>
      </c>
      <c r="E39" s="1">
        <v>1</v>
      </c>
      <c r="F39" s="6" t="s">
        <v>178</v>
      </c>
      <c r="G39" s="1" t="str">
        <f t="shared" si="1"/>
        <v>bubing01_Lv3</v>
      </c>
      <c r="H39" s="3">
        <v>250</v>
      </c>
      <c r="I39" s="3">
        <f t="shared" si="2"/>
        <v>1500</v>
      </c>
      <c r="J39" s="3">
        <v>250</v>
      </c>
      <c r="K39" s="3">
        <v>15</v>
      </c>
      <c r="L39" s="4">
        <v>98</v>
      </c>
      <c r="M39" s="4">
        <v>13</v>
      </c>
      <c r="N39" s="4">
        <v>8</v>
      </c>
      <c r="O39" s="4">
        <v>7</v>
      </c>
      <c r="P39" s="4">
        <v>7</v>
      </c>
      <c r="Q39" s="4">
        <v>15</v>
      </c>
      <c r="R39" s="1">
        <v>0.5</v>
      </c>
      <c r="S39" s="6">
        <v>0</v>
      </c>
      <c r="T39" s="1">
        <v>120</v>
      </c>
      <c r="U39" s="1">
        <f t="shared" si="3"/>
        <v>10</v>
      </c>
      <c r="V39" s="1">
        <v>1</v>
      </c>
      <c r="W39" s="1">
        <f t="shared" si="4"/>
        <v>1</v>
      </c>
    </row>
    <row r="40" s="1" customFormat="1" spans="1:23">
      <c r="A40" s="1">
        <v>30005</v>
      </c>
      <c r="B40" s="6" t="s">
        <v>179</v>
      </c>
      <c r="C40" s="1" t="str">
        <f t="shared" si="0"/>
        <v>3</v>
      </c>
      <c r="D40" s="6" t="s">
        <v>84</v>
      </c>
      <c r="E40" s="1">
        <v>1</v>
      </c>
      <c r="F40" s="6" t="s">
        <v>180</v>
      </c>
      <c r="G40" s="1" t="str">
        <f t="shared" si="1"/>
        <v>bubing02_Lv3</v>
      </c>
      <c r="H40" s="3">
        <v>250</v>
      </c>
      <c r="I40" s="3">
        <f t="shared" si="2"/>
        <v>1500</v>
      </c>
      <c r="J40" s="3">
        <v>250</v>
      </c>
      <c r="K40" s="3">
        <v>15</v>
      </c>
      <c r="L40" s="4">
        <v>96</v>
      </c>
      <c r="M40" s="4">
        <v>14</v>
      </c>
      <c r="N40" s="4">
        <v>7</v>
      </c>
      <c r="O40" s="4">
        <v>6</v>
      </c>
      <c r="P40" s="4">
        <v>6</v>
      </c>
      <c r="Q40" s="4">
        <v>15</v>
      </c>
      <c r="R40" s="1">
        <v>0.5</v>
      </c>
      <c r="S40" s="6">
        <v>0</v>
      </c>
      <c r="T40" s="1">
        <v>120</v>
      </c>
      <c r="U40" s="1">
        <f t="shared" si="3"/>
        <v>10</v>
      </c>
      <c r="V40" s="1">
        <v>1</v>
      </c>
      <c r="W40" s="1">
        <f t="shared" si="4"/>
        <v>1</v>
      </c>
    </row>
    <row r="41" s="1" customFormat="1" spans="1:23">
      <c r="A41" s="1">
        <v>30006</v>
      </c>
      <c r="B41" s="6" t="s">
        <v>181</v>
      </c>
      <c r="C41" s="1" t="str">
        <f t="shared" si="0"/>
        <v>3</v>
      </c>
      <c r="D41" s="6" t="s">
        <v>84</v>
      </c>
      <c r="E41" s="1">
        <v>1</v>
      </c>
      <c r="F41" s="6" t="s">
        <v>182</v>
      </c>
      <c r="G41" s="1" t="str">
        <f t="shared" si="1"/>
        <v>bubing03_Lv3</v>
      </c>
      <c r="H41" s="3">
        <v>250</v>
      </c>
      <c r="I41" s="3">
        <f t="shared" si="2"/>
        <v>1500</v>
      </c>
      <c r="J41" s="3">
        <v>250</v>
      </c>
      <c r="K41" s="3">
        <v>15</v>
      </c>
      <c r="L41" s="4">
        <v>94</v>
      </c>
      <c r="M41" s="4">
        <v>12</v>
      </c>
      <c r="N41" s="4">
        <v>7</v>
      </c>
      <c r="O41" s="4">
        <v>6</v>
      </c>
      <c r="P41" s="4">
        <v>6</v>
      </c>
      <c r="Q41" s="4">
        <v>15</v>
      </c>
      <c r="R41" s="1">
        <v>0.5</v>
      </c>
      <c r="S41" s="6">
        <v>0</v>
      </c>
      <c r="T41" s="1">
        <v>120</v>
      </c>
      <c r="U41" s="1">
        <f t="shared" si="3"/>
        <v>10</v>
      </c>
      <c r="V41" s="1">
        <v>1</v>
      </c>
      <c r="W41" s="1">
        <f t="shared" si="4"/>
        <v>1</v>
      </c>
    </row>
    <row r="42" s="1" customFormat="1" spans="1:23">
      <c r="A42" s="1">
        <v>30007</v>
      </c>
      <c r="B42" s="6" t="s">
        <v>183</v>
      </c>
      <c r="C42" s="1" t="str">
        <f t="shared" si="0"/>
        <v>3</v>
      </c>
      <c r="D42" s="6" t="s">
        <v>84</v>
      </c>
      <c r="E42" s="1">
        <v>1</v>
      </c>
      <c r="F42" s="6" t="s">
        <v>184</v>
      </c>
      <c r="G42" s="1" t="str">
        <f t="shared" si="1"/>
        <v>bubing04_Lv3</v>
      </c>
      <c r="H42" s="3">
        <v>250</v>
      </c>
      <c r="I42" s="3">
        <f t="shared" si="2"/>
        <v>1500</v>
      </c>
      <c r="J42" s="3">
        <v>250</v>
      </c>
      <c r="K42" s="3">
        <v>15</v>
      </c>
      <c r="L42" s="4">
        <v>100</v>
      </c>
      <c r="M42" s="4">
        <v>10</v>
      </c>
      <c r="N42" s="4">
        <v>10</v>
      </c>
      <c r="O42" s="4">
        <v>5</v>
      </c>
      <c r="P42" s="4">
        <v>5</v>
      </c>
      <c r="Q42" s="4">
        <v>15</v>
      </c>
      <c r="R42" s="1">
        <v>0.5</v>
      </c>
      <c r="S42" s="6">
        <v>0</v>
      </c>
      <c r="T42" s="1">
        <v>120</v>
      </c>
      <c r="U42" s="1">
        <f t="shared" si="3"/>
        <v>10</v>
      </c>
      <c r="V42" s="1">
        <v>1</v>
      </c>
      <c r="W42" s="1">
        <f t="shared" si="4"/>
        <v>1</v>
      </c>
    </row>
    <row r="43" s="1" customFormat="1" spans="1:23">
      <c r="A43" s="1">
        <v>30008</v>
      </c>
      <c r="B43" s="7" t="s">
        <v>185</v>
      </c>
      <c r="C43" s="1" t="str">
        <f t="shared" si="0"/>
        <v>3</v>
      </c>
      <c r="D43" s="7" t="s">
        <v>91</v>
      </c>
      <c r="E43" s="1">
        <v>1</v>
      </c>
      <c r="F43" s="7" t="s">
        <v>186</v>
      </c>
      <c r="G43" s="1" t="str">
        <f t="shared" si="1"/>
        <v>qibing01_Lv3</v>
      </c>
      <c r="H43" s="3">
        <v>250</v>
      </c>
      <c r="I43" s="3">
        <f t="shared" si="2"/>
        <v>1500</v>
      </c>
      <c r="J43" s="3">
        <v>400</v>
      </c>
      <c r="K43" s="3">
        <v>15</v>
      </c>
      <c r="L43" s="4">
        <v>96</v>
      </c>
      <c r="M43" s="4">
        <v>13</v>
      </c>
      <c r="N43" s="4">
        <v>8</v>
      </c>
      <c r="O43" s="4">
        <v>6</v>
      </c>
      <c r="P43" s="4">
        <v>8</v>
      </c>
      <c r="Q43" s="4">
        <v>15</v>
      </c>
      <c r="R43" s="1">
        <v>0.5</v>
      </c>
      <c r="S43" s="6">
        <v>0</v>
      </c>
      <c r="T43" s="1">
        <v>120</v>
      </c>
      <c r="U43" s="1">
        <f t="shared" si="3"/>
        <v>10</v>
      </c>
      <c r="V43" s="1">
        <v>1</v>
      </c>
      <c r="W43" s="1">
        <f t="shared" si="4"/>
        <v>1</v>
      </c>
    </row>
    <row r="44" s="1" customFormat="1" spans="1:23">
      <c r="A44" s="1">
        <v>30009</v>
      </c>
      <c r="B44" s="7" t="s">
        <v>187</v>
      </c>
      <c r="C44" s="1" t="str">
        <f t="shared" si="0"/>
        <v>3</v>
      </c>
      <c r="D44" s="7" t="s">
        <v>91</v>
      </c>
      <c r="E44" s="1">
        <v>1</v>
      </c>
      <c r="F44" s="7" t="s">
        <v>188</v>
      </c>
      <c r="G44" s="1" t="str">
        <f t="shared" si="1"/>
        <v>qibing02_Lv3</v>
      </c>
      <c r="H44" s="3">
        <v>250</v>
      </c>
      <c r="I44" s="3">
        <f t="shared" si="2"/>
        <v>1500</v>
      </c>
      <c r="J44" s="3">
        <v>400</v>
      </c>
      <c r="K44" s="3">
        <v>15</v>
      </c>
      <c r="L44" s="4">
        <v>95</v>
      </c>
      <c r="M44" s="4">
        <v>14</v>
      </c>
      <c r="N44" s="4">
        <v>7</v>
      </c>
      <c r="O44" s="4">
        <v>6</v>
      </c>
      <c r="P44" s="4">
        <v>7</v>
      </c>
      <c r="Q44" s="4">
        <v>15</v>
      </c>
      <c r="R44" s="1">
        <v>0.5</v>
      </c>
      <c r="S44" s="6">
        <v>0</v>
      </c>
      <c r="T44" s="1">
        <v>120</v>
      </c>
      <c r="U44" s="1">
        <f t="shared" si="3"/>
        <v>10</v>
      </c>
      <c r="V44" s="1">
        <v>1</v>
      </c>
      <c r="W44" s="1">
        <f t="shared" si="4"/>
        <v>1</v>
      </c>
    </row>
    <row r="45" s="1" customFormat="1" spans="1:23">
      <c r="A45" s="1">
        <v>30010</v>
      </c>
      <c r="B45" s="7" t="s">
        <v>189</v>
      </c>
      <c r="C45" s="1" t="str">
        <f t="shared" si="0"/>
        <v>3</v>
      </c>
      <c r="D45" s="7" t="s">
        <v>91</v>
      </c>
      <c r="E45" s="1">
        <v>1</v>
      </c>
      <c r="F45" s="7" t="s">
        <v>190</v>
      </c>
      <c r="G45" s="1" t="str">
        <f t="shared" si="1"/>
        <v>qibing03_Lv3</v>
      </c>
      <c r="H45" s="3">
        <v>250</v>
      </c>
      <c r="I45" s="3">
        <f t="shared" si="2"/>
        <v>1500</v>
      </c>
      <c r="J45" s="3">
        <v>400</v>
      </c>
      <c r="K45" s="3">
        <v>15</v>
      </c>
      <c r="L45" s="4">
        <v>98</v>
      </c>
      <c r="M45" s="4">
        <v>12</v>
      </c>
      <c r="N45" s="4">
        <v>9</v>
      </c>
      <c r="O45" s="4">
        <v>7</v>
      </c>
      <c r="P45" s="4">
        <v>7</v>
      </c>
      <c r="Q45" s="4">
        <v>15</v>
      </c>
      <c r="R45" s="1">
        <v>0.5</v>
      </c>
      <c r="S45" s="6">
        <v>0</v>
      </c>
      <c r="T45" s="1">
        <v>120</v>
      </c>
      <c r="U45" s="1">
        <f t="shared" si="3"/>
        <v>10</v>
      </c>
      <c r="V45" s="1">
        <v>1</v>
      </c>
      <c r="W45" s="1">
        <f t="shared" si="4"/>
        <v>1</v>
      </c>
    </row>
    <row r="46" s="1" customFormat="1" spans="1:23">
      <c r="A46" s="1">
        <v>30011</v>
      </c>
      <c r="B46" s="7" t="s">
        <v>191</v>
      </c>
      <c r="C46" s="1" t="str">
        <f t="shared" si="0"/>
        <v>3</v>
      </c>
      <c r="D46" s="7" t="s">
        <v>81</v>
      </c>
      <c r="E46" s="1">
        <v>1</v>
      </c>
      <c r="F46" s="7" t="s">
        <v>192</v>
      </c>
      <c r="G46" s="1" t="str">
        <f t="shared" si="1"/>
        <v>gongbing01_Lv3</v>
      </c>
      <c r="H46" s="3">
        <v>1150</v>
      </c>
      <c r="I46" s="3">
        <f t="shared" si="2"/>
        <v>1500</v>
      </c>
      <c r="J46" s="3">
        <v>250</v>
      </c>
      <c r="K46" s="3">
        <v>20</v>
      </c>
      <c r="L46" s="4">
        <v>84</v>
      </c>
      <c r="M46" s="4">
        <v>13</v>
      </c>
      <c r="N46" s="4">
        <v>7</v>
      </c>
      <c r="O46" s="4">
        <v>6</v>
      </c>
      <c r="P46" s="4">
        <v>7</v>
      </c>
      <c r="Q46" s="4">
        <v>50</v>
      </c>
      <c r="R46" s="1">
        <v>0.5</v>
      </c>
      <c r="S46" s="6">
        <v>0</v>
      </c>
      <c r="T46" s="1">
        <v>120</v>
      </c>
      <c r="U46" s="1">
        <f t="shared" si="3"/>
        <v>10</v>
      </c>
      <c r="V46" s="1">
        <v>1</v>
      </c>
      <c r="W46" s="1">
        <f t="shared" si="4"/>
        <v>1</v>
      </c>
    </row>
    <row r="47" s="1" customFormat="1" spans="1:23">
      <c r="A47" s="1">
        <v>30012</v>
      </c>
      <c r="B47" s="7" t="s">
        <v>194</v>
      </c>
      <c r="C47" s="1" t="str">
        <f t="shared" si="0"/>
        <v>3</v>
      </c>
      <c r="D47" s="7" t="s">
        <v>81</v>
      </c>
      <c r="E47" s="1">
        <v>1</v>
      </c>
      <c r="F47" s="7" t="s">
        <v>195</v>
      </c>
      <c r="G47" s="1" t="str">
        <f t="shared" si="1"/>
        <v>gongbing02_Lv3</v>
      </c>
      <c r="H47" s="3">
        <v>1000</v>
      </c>
      <c r="I47" s="3">
        <f t="shared" si="2"/>
        <v>1500</v>
      </c>
      <c r="J47" s="3">
        <v>400</v>
      </c>
      <c r="K47" s="3">
        <v>20</v>
      </c>
      <c r="L47" s="4">
        <v>82</v>
      </c>
      <c r="M47" s="4">
        <v>14</v>
      </c>
      <c r="N47" s="4">
        <v>7</v>
      </c>
      <c r="O47" s="4">
        <v>6</v>
      </c>
      <c r="P47" s="4">
        <v>7</v>
      </c>
      <c r="Q47" s="4">
        <v>50</v>
      </c>
      <c r="R47" s="1">
        <v>0.5</v>
      </c>
      <c r="S47" s="6">
        <v>0</v>
      </c>
      <c r="T47" s="1">
        <v>120</v>
      </c>
      <c r="U47" s="1">
        <f t="shared" si="3"/>
        <v>10</v>
      </c>
      <c r="V47" s="1">
        <v>1</v>
      </c>
      <c r="W47" s="1">
        <f t="shared" si="4"/>
        <v>1</v>
      </c>
    </row>
    <row r="48" s="1" customFormat="1" spans="1:23">
      <c r="A48" s="1">
        <v>30013</v>
      </c>
      <c r="B48" s="7" t="s">
        <v>196</v>
      </c>
      <c r="C48" s="1" t="str">
        <f t="shared" si="0"/>
        <v>3</v>
      </c>
      <c r="D48" s="7" t="s">
        <v>81</v>
      </c>
      <c r="E48" s="1">
        <v>1</v>
      </c>
      <c r="F48" s="7" t="s">
        <v>197</v>
      </c>
      <c r="G48" s="1" t="str">
        <f t="shared" si="1"/>
        <v>gongbing03_Lv3</v>
      </c>
      <c r="H48" s="3">
        <v>1000</v>
      </c>
      <c r="I48" s="3">
        <f t="shared" si="2"/>
        <v>1500</v>
      </c>
      <c r="J48" s="3">
        <v>250</v>
      </c>
      <c r="K48" s="3">
        <v>20</v>
      </c>
      <c r="L48" s="4">
        <v>80</v>
      </c>
      <c r="M48" s="4">
        <v>15</v>
      </c>
      <c r="N48" s="4">
        <v>7</v>
      </c>
      <c r="O48" s="4">
        <v>6</v>
      </c>
      <c r="P48" s="4">
        <v>7</v>
      </c>
      <c r="Q48" s="4">
        <v>50</v>
      </c>
      <c r="R48" s="1">
        <v>0.5</v>
      </c>
      <c r="S48" s="6">
        <v>0</v>
      </c>
      <c r="T48" s="1">
        <v>120</v>
      </c>
      <c r="U48" s="1">
        <f t="shared" si="3"/>
        <v>10</v>
      </c>
      <c r="V48" s="1">
        <v>1</v>
      </c>
      <c r="W48" s="1">
        <f t="shared" si="4"/>
        <v>1</v>
      </c>
    </row>
    <row r="49" s="1" customFormat="1" spans="1:23">
      <c r="A49" s="1">
        <v>30014</v>
      </c>
      <c r="B49" s="7" t="s">
        <v>198</v>
      </c>
      <c r="C49" s="1" t="str">
        <f t="shared" si="0"/>
        <v>3</v>
      </c>
      <c r="D49" s="7" t="s">
        <v>96</v>
      </c>
      <c r="E49" s="1">
        <v>1</v>
      </c>
      <c r="F49" s="7" t="s">
        <v>199</v>
      </c>
      <c r="G49" s="1" t="str">
        <f t="shared" si="1"/>
        <v>feibing01_Lv3</v>
      </c>
      <c r="H49" s="3">
        <v>250</v>
      </c>
      <c r="I49" s="3">
        <f t="shared" si="2"/>
        <v>1500</v>
      </c>
      <c r="J49" s="3">
        <v>400</v>
      </c>
      <c r="K49" s="3">
        <v>15</v>
      </c>
      <c r="L49" s="4">
        <v>95</v>
      </c>
      <c r="M49" s="4">
        <v>13</v>
      </c>
      <c r="N49" s="4">
        <v>8</v>
      </c>
      <c r="O49" s="4">
        <v>8</v>
      </c>
      <c r="P49" s="4">
        <v>10</v>
      </c>
      <c r="Q49" s="4">
        <v>15</v>
      </c>
      <c r="R49" s="1">
        <v>0.5</v>
      </c>
      <c r="S49" s="6">
        <v>0</v>
      </c>
      <c r="T49" s="1">
        <v>120</v>
      </c>
      <c r="U49" s="1">
        <f t="shared" si="3"/>
        <v>10</v>
      </c>
      <c r="V49" s="1">
        <v>1</v>
      </c>
      <c r="W49" s="1">
        <f t="shared" si="4"/>
        <v>1</v>
      </c>
    </row>
    <row r="50" s="1" customFormat="1" spans="1:23">
      <c r="A50" s="1">
        <v>30015</v>
      </c>
      <c r="B50" s="7" t="s">
        <v>200</v>
      </c>
      <c r="C50" s="1" t="str">
        <f t="shared" si="0"/>
        <v>3</v>
      </c>
      <c r="D50" s="7" t="s">
        <v>96</v>
      </c>
      <c r="E50" s="1">
        <v>1</v>
      </c>
      <c r="F50" s="7" t="s">
        <v>201</v>
      </c>
      <c r="G50" s="1" t="str">
        <f t="shared" si="1"/>
        <v>feibing02_Lv3</v>
      </c>
      <c r="H50" s="3">
        <v>250</v>
      </c>
      <c r="I50" s="3">
        <f t="shared" si="2"/>
        <v>1500</v>
      </c>
      <c r="J50" s="3">
        <v>400</v>
      </c>
      <c r="K50" s="3">
        <v>15</v>
      </c>
      <c r="L50" s="4">
        <v>96</v>
      </c>
      <c r="M50" s="4">
        <v>14</v>
      </c>
      <c r="N50" s="4">
        <v>8</v>
      </c>
      <c r="O50" s="4">
        <v>6</v>
      </c>
      <c r="P50" s="4">
        <v>6</v>
      </c>
      <c r="Q50" s="4">
        <v>15</v>
      </c>
      <c r="R50" s="1">
        <v>0.5</v>
      </c>
      <c r="S50" s="6">
        <v>0</v>
      </c>
      <c r="T50" s="1">
        <v>120</v>
      </c>
      <c r="U50" s="1">
        <f t="shared" si="3"/>
        <v>10</v>
      </c>
      <c r="V50" s="1">
        <v>1</v>
      </c>
      <c r="W50" s="1">
        <f t="shared" si="4"/>
        <v>1</v>
      </c>
    </row>
    <row r="51" s="1" customFormat="1" spans="1:23">
      <c r="A51" s="1">
        <v>30016</v>
      </c>
      <c r="B51" s="7" t="s">
        <v>202</v>
      </c>
      <c r="C51" s="1" t="str">
        <f t="shared" si="0"/>
        <v>3</v>
      </c>
      <c r="D51" s="7" t="s">
        <v>96</v>
      </c>
      <c r="E51" s="1">
        <v>1</v>
      </c>
      <c r="F51" s="7" t="s">
        <v>203</v>
      </c>
      <c r="G51" s="1" t="str">
        <f t="shared" si="1"/>
        <v>feibing03_Lv3</v>
      </c>
      <c r="H51" s="3">
        <v>250</v>
      </c>
      <c r="I51" s="3">
        <f t="shared" si="2"/>
        <v>1500</v>
      </c>
      <c r="J51" s="3">
        <v>400</v>
      </c>
      <c r="K51" s="3">
        <v>15</v>
      </c>
      <c r="L51" s="4">
        <v>98</v>
      </c>
      <c r="M51" s="4">
        <v>13</v>
      </c>
      <c r="N51" s="4">
        <v>9</v>
      </c>
      <c r="O51" s="4">
        <v>7</v>
      </c>
      <c r="P51" s="4">
        <v>7</v>
      </c>
      <c r="Q51" s="4">
        <v>15</v>
      </c>
      <c r="R51" s="1">
        <v>0.5</v>
      </c>
      <c r="S51" s="6">
        <v>0</v>
      </c>
      <c r="T51" s="1">
        <v>120</v>
      </c>
      <c r="U51" s="1">
        <f t="shared" si="3"/>
        <v>10</v>
      </c>
      <c r="V51" s="1">
        <v>1</v>
      </c>
      <c r="W51" s="1">
        <f t="shared" si="4"/>
        <v>1</v>
      </c>
    </row>
    <row r="52" s="1" customFormat="1" spans="1:23">
      <c r="A52" s="1">
        <v>30017</v>
      </c>
      <c r="B52" s="7" t="s">
        <v>204</v>
      </c>
      <c r="C52" s="1" t="str">
        <f t="shared" si="0"/>
        <v>3</v>
      </c>
      <c r="D52" s="7" t="s">
        <v>78</v>
      </c>
      <c r="E52" s="1">
        <v>1</v>
      </c>
      <c r="F52" s="7" t="s">
        <v>205</v>
      </c>
      <c r="G52" s="1" t="str">
        <f t="shared" si="1"/>
        <v>fashi01_Lv3</v>
      </c>
      <c r="H52" s="3">
        <v>1000</v>
      </c>
      <c r="I52" s="3">
        <f t="shared" si="2"/>
        <v>1500</v>
      </c>
      <c r="J52" s="3">
        <v>250</v>
      </c>
      <c r="K52" s="3">
        <v>20</v>
      </c>
      <c r="L52" s="4">
        <v>84</v>
      </c>
      <c r="M52" s="4">
        <v>6</v>
      </c>
      <c r="N52" s="4">
        <v>6</v>
      </c>
      <c r="O52" s="4">
        <v>15</v>
      </c>
      <c r="P52" s="4">
        <v>8</v>
      </c>
      <c r="Q52" s="4">
        <v>15</v>
      </c>
      <c r="R52" s="1">
        <v>0.5</v>
      </c>
      <c r="S52" s="6">
        <v>0</v>
      </c>
      <c r="T52" s="1">
        <v>120</v>
      </c>
      <c r="U52" s="1">
        <f t="shared" si="3"/>
        <v>10</v>
      </c>
      <c r="V52" s="1">
        <v>1</v>
      </c>
      <c r="W52" s="1">
        <f t="shared" si="4"/>
        <v>1</v>
      </c>
    </row>
    <row r="53" s="1" customFormat="1" spans="1:23">
      <c r="A53" s="1">
        <v>30018</v>
      </c>
      <c r="B53" s="7" t="s">
        <v>206</v>
      </c>
      <c r="C53" s="1" t="str">
        <f t="shared" si="0"/>
        <v>3</v>
      </c>
      <c r="D53" s="7" t="s">
        <v>78</v>
      </c>
      <c r="E53" s="1">
        <v>1</v>
      </c>
      <c r="F53" s="7" t="s">
        <v>207</v>
      </c>
      <c r="G53" s="1" t="str">
        <f t="shared" si="1"/>
        <v>fashi02_Lv3</v>
      </c>
      <c r="H53" s="3">
        <v>1000</v>
      </c>
      <c r="I53" s="3">
        <f t="shared" si="2"/>
        <v>1500</v>
      </c>
      <c r="J53" s="3">
        <v>250</v>
      </c>
      <c r="K53" s="3">
        <v>20</v>
      </c>
      <c r="L53" s="4">
        <v>85</v>
      </c>
      <c r="M53" s="4">
        <v>7</v>
      </c>
      <c r="N53" s="4">
        <v>6</v>
      </c>
      <c r="O53" s="4">
        <v>14</v>
      </c>
      <c r="P53" s="4">
        <v>8</v>
      </c>
      <c r="Q53" s="4">
        <v>15</v>
      </c>
      <c r="R53" s="1">
        <v>0.5</v>
      </c>
      <c r="S53" s="6">
        <v>0</v>
      </c>
      <c r="T53" s="1">
        <v>120</v>
      </c>
      <c r="U53" s="1">
        <f t="shared" si="3"/>
        <v>10</v>
      </c>
      <c r="V53" s="1">
        <v>1</v>
      </c>
      <c r="W53" s="1">
        <f t="shared" si="4"/>
        <v>1</v>
      </c>
    </row>
    <row r="54" s="1" customFormat="1" spans="1:23">
      <c r="A54" s="1">
        <v>30019</v>
      </c>
      <c r="B54" s="7" t="s">
        <v>208</v>
      </c>
      <c r="C54" s="1" t="str">
        <f t="shared" si="0"/>
        <v>3</v>
      </c>
      <c r="D54" s="7" t="s">
        <v>78</v>
      </c>
      <c r="E54" s="1">
        <v>1</v>
      </c>
      <c r="F54" s="7" t="s">
        <v>209</v>
      </c>
      <c r="G54" s="1" t="str">
        <f t="shared" si="1"/>
        <v>fashi03_Lv3</v>
      </c>
      <c r="H54" s="3">
        <v>1000</v>
      </c>
      <c r="I54" s="3">
        <f t="shared" si="2"/>
        <v>1500</v>
      </c>
      <c r="J54" s="3">
        <v>250</v>
      </c>
      <c r="K54" s="3">
        <v>20</v>
      </c>
      <c r="L54" s="4">
        <v>88</v>
      </c>
      <c r="M54" s="4">
        <v>8</v>
      </c>
      <c r="N54" s="4">
        <v>7</v>
      </c>
      <c r="O54" s="4">
        <v>13</v>
      </c>
      <c r="P54" s="4">
        <v>9</v>
      </c>
      <c r="Q54" s="4">
        <v>15</v>
      </c>
      <c r="R54" s="1">
        <v>0.5</v>
      </c>
      <c r="S54" s="6">
        <v>0</v>
      </c>
      <c r="T54" s="1">
        <v>120</v>
      </c>
      <c r="U54" s="1">
        <f t="shared" si="3"/>
        <v>10</v>
      </c>
      <c r="V54" s="1">
        <v>1</v>
      </c>
      <c r="W54" s="1">
        <f t="shared" si="4"/>
        <v>1</v>
      </c>
    </row>
    <row r="55" s="1" customFormat="1" spans="1:23">
      <c r="A55" s="1">
        <v>30020</v>
      </c>
      <c r="B55" s="7" t="s">
        <v>210</v>
      </c>
      <c r="C55" s="1" t="str">
        <f t="shared" si="0"/>
        <v>3</v>
      </c>
      <c r="D55" s="7" t="s">
        <v>74</v>
      </c>
      <c r="E55" s="1">
        <v>1</v>
      </c>
      <c r="F55" s="7" t="s">
        <v>211</v>
      </c>
      <c r="G55" s="1" t="str">
        <f t="shared" si="1"/>
        <v>mushi01_Lv3</v>
      </c>
      <c r="H55" s="3">
        <v>1000</v>
      </c>
      <c r="I55" s="3">
        <f t="shared" si="2"/>
        <v>1500</v>
      </c>
      <c r="J55" s="3">
        <v>250</v>
      </c>
      <c r="K55" s="3">
        <v>20</v>
      </c>
      <c r="L55" s="4">
        <v>90</v>
      </c>
      <c r="M55" s="4">
        <v>8</v>
      </c>
      <c r="N55" s="4">
        <v>7</v>
      </c>
      <c r="O55" s="4">
        <v>13</v>
      </c>
      <c r="P55" s="4">
        <v>10</v>
      </c>
      <c r="Q55" s="4">
        <v>15</v>
      </c>
      <c r="R55" s="1">
        <v>0.5</v>
      </c>
      <c r="S55" s="6">
        <v>0</v>
      </c>
      <c r="T55" s="1">
        <v>120</v>
      </c>
      <c r="U55" s="1">
        <f t="shared" si="3"/>
        <v>10</v>
      </c>
      <c r="V55" s="1">
        <v>1</v>
      </c>
      <c r="W55" s="1">
        <f t="shared" si="4"/>
        <v>1</v>
      </c>
    </row>
    <row r="56" s="1" customFormat="1" spans="1:23">
      <c r="A56" s="1">
        <v>30021</v>
      </c>
      <c r="B56" s="7" t="s">
        <v>212</v>
      </c>
      <c r="C56" s="1" t="str">
        <f t="shared" si="0"/>
        <v>3</v>
      </c>
      <c r="D56" s="7" t="s">
        <v>74</v>
      </c>
      <c r="E56" s="1">
        <v>1</v>
      </c>
      <c r="F56" s="7" t="s">
        <v>213</v>
      </c>
      <c r="G56" s="1" t="str">
        <f t="shared" si="1"/>
        <v>mushi02_Lv3</v>
      </c>
      <c r="H56" s="3">
        <v>1000</v>
      </c>
      <c r="I56" s="3">
        <f t="shared" si="2"/>
        <v>1500</v>
      </c>
      <c r="J56" s="3">
        <v>250</v>
      </c>
      <c r="K56" s="3">
        <v>20</v>
      </c>
      <c r="L56" s="4">
        <v>87</v>
      </c>
      <c r="M56" s="4">
        <v>8</v>
      </c>
      <c r="N56" s="4">
        <v>7</v>
      </c>
      <c r="O56" s="4">
        <v>12</v>
      </c>
      <c r="P56" s="4">
        <v>9</v>
      </c>
      <c r="Q56" s="4">
        <v>15</v>
      </c>
      <c r="R56" s="1">
        <v>0.5</v>
      </c>
      <c r="S56" s="6">
        <v>0</v>
      </c>
      <c r="T56" s="1">
        <v>120</v>
      </c>
      <c r="U56" s="1">
        <f t="shared" si="3"/>
        <v>10</v>
      </c>
      <c r="V56" s="1">
        <v>1</v>
      </c>
      <c r="W56" s="1">
        <f t="shared" si="4"/>
        <v>1</v>
      </c>
    </row>
    <row r="57" s="1" customFormat="1" spans="1:23">
      <c r="A57" s="1">
        <v>30022</v>
      </c>
      <c r="B57" s="7" t="s">
        <v>214</v>
      </c>
      <c r="C57" s="1" t="str">
        <f t="shared" si="0"/>
        <v>3</v>
      </c>
      <c r="D57" s="7" t="s">
        <v>74</v>
      </c>
      <c r="E57" s="1">
        <v>1</v>
      </c>
      <c r="F57" s="7" t="s">
        <v>215</v>
      </c>
      <c r="G57" s="1" t="str">
        <f t="shared" si="1"/>
        <v>mushi03_Lv3</v>
      </c>
      <c r="H57" s="3">
        <v>1000</v>
      </c>
      <c r="I57" s="3">
        <f t="shared" si="2"/>
        <v>1500</v>
      </c>
      <c r="J57" s="3">
        <v>250</v>
      </c>
      <c r="K57" s="3">
        <v>20</v>
      </c>
      <c r="L57" s="4">
        <v>88</v>
      </c>
      <c r="M57" s="4">
        <v>7</v>
      </c>
      <c r="N57" s="4">
        <v>9</v>
      </c>
      <c r="O57" s="4">
        <v>12</v>
      </c>
      <c r="P57" s="4">
        <v>10</v>
      </c>
      <c r="Q57" s="4">
        <v>15</v>
      </c>
      <c r="R57" s="1">
        <v>0.5</v>
      </c>
      <c r="S57" s="6">
        <v>0</v>
      </c>
      <c r="T57" s="1">
        <v>120</v>
      </c>
      <c r="U57" s="1">
        <f t="shared" si="3"/>
        <v>10</v>
      </c>
      <c r="V57" s="1">
        <v>1</v>
      </c>
      <c r="W57" s="1">
        <f t="shared" si="4"/>
        <v>1</v>
      </c>
    </row>
    <row r="58" s="1" customFormat="1" spans="1:23">
      <c r="A58" s="1">
        <v>30023</v>
      </c>
      <c r="B58" s="7" t="s">
        <v>216</v>
      </c>
      <c r="C58" s="1" t="str">
        <f t="shared" si="0"/>
        <v>3</v>
      </c>
      <c r="D58" s="7" t="s">
        <v>56</v>
      </c>
      <c r="E58" s="1">
        <v>1</v>
      </c>
      <c r="F58" s="7" t="s">
        <v>217</v>
      </c>
      <c r="G58" s="1" t="str">
        <f t="shared" si="1"/>
        <v>moshou01_Lv3</v>
      </c>
      <c r="H58" s="3">
        <v>250</v>
      </c>
      <c r="I58" s="3">
        <f t="shared" si="2"/>
        <v>1500</v>
      </c>
      <c r="J58" s="3">
        <v>400</v>
      </c>
      <c r="K58" s="3">
        <v>15</v>
      </c>
      <c r="L58" s="4">
        <v>92</v>
      </c>
      <c r="M58" s="4">
        <v>15</v>
      </c>
      <c r="N58" s="4">
        <v>8</v>
      </c>
      <c r="O58" s="4">
        <v>7</v>
      </c>
      <c r="P58" s="4">
        <v>5</v>
      </c>
      <c r="Q58" s="4">
        <v>15</v>
      </c>
      <c r="R58" s="1">
        <v>0.5</v>
      </c>
      <c r="S58" s="6">
        <v>0</v>
      </c>
      <c r="T58" s="1">
        <v>120</v>
      </c>
      <c r="U58" s="1">
        <f t="shared" si="3"/>
        <v>10</v>
      </c>
      <c r="V58" s="1">
        <v>1</v>
      </c>
      <c r="W58" s="1">
        <f t="shared" si="4"/>
        <v>1</v>
      </c>
    </row>
    <row r="59" s="1" customFormat="1" spans="1:23">
      <c r="A59" s="1">
        <v>30024</v>
      </c>
      <c r="B59" s="7" t="s">
        <v>218</v>
      </c>
      <c r="C59" s="1" t="str">
        <f t="shared" si="0"/>
        <v>3</v>
      </c>
      <c r="D59" s="7" t="s">
        <v>56</v>
      </c>
      <c r="E59" s="1">
        <v>1</v>
      </c>
      <c r="F59" s="7" t="s">
        <v>219</v>
      </c>
      <c r="G59" s="1" t="str">
        <f t="shared" si="1"/>
        <v>moshou02_Lv3</v>
      </c>
      <c r="H59" s="3">
        <v>250</v>
      </c>
      <c r="I59" s="3">
        <f t="shared" si="2"/>
        <v>1500</v>
      </c>
      <c r="J59" s="3">
        <v>250</v>
      </c>
      <c r="K59" s="3">
        <v>15</v>
      </c>
      <c r="L59" s="4">
        <v>90</v>
      </c>
      <c r="M59" s="4">
        <v>13</v>
      </c>
      <c r="N59" s="4">
        <v>7</v>
      </c>
      <c r="O59" s="4">
        <v>7</v>
      </c>
      <c r="P59" s="4">
        <v>6</v>
      </c>
      <c r="Q59" s="4">
        <v>15</v>
      </c>
      <c r="R59" s="1">
        <v>0.5</v>
      </c>
      <c r="S59" s="6">
        <v>0</v>
      </c>
      <c r="T59" s="1">
        <v>120</v>
      </c>
      <c r="U59" s="1">
        <f t="shared" si="3"/>
        <v>10</v>
      </c>
      <c r="V59" s="1">
        <v>1</v>
      </c>
      <c r="W59" s="1">
        <f t="shared" si="4"/>
        <v>1</v>
      </c>
    </row>
    <row r="60" s="1" customFormat="1" spans="1:23">
      <c r="A60" s="1">
        <v>30025</v>
      </c>
      <c r="B60" s="7" t="s">
        <v>220</v>
      </c>
      <c r="C60" s="1" t="str">
        <f t="shared" si="0"/>
        <v>3</v>
      </c>
      <c r="D60" s="7" t="s">
        <v>56</v>
      </c>
      <c r="E60" s="1">
        <v>1</v>
      </c>
      <c r="F60" s="7" t="s">
        <v>221</v>
      </c>
      <c r="G60" s="1" t="str">
        <f t="shared" si="1"/>
        <v>moshou03_Lv3</v>
      </c>
      <c r="H60" s="3">
        <v>1000</v>
      </c>
      <c r="I60" s="3">
        <f t="shared" si="2"/>
        <v>1500</v>
      </c>
      <c r="J60" s="3">
        <v>250</v>
      </c>
      <c r="K60" s="3">
        <v>20</v>
      </c>
      <c r="L60" s="4">
        <v>86</v>
      </c>
      <c r="M60" s="4">
        <v>7</v>
      </c>
      <c r="N60" s="4">
        <v>6</v>
      </c>
      <c r="O60" s="4">
        <v>13</v>
      </c>
      <c r="P60" s="4">
        <v>8</v>
      </c>
      <c r="Q60" s="4">
        <v>15</v>
      </c>
      <c r="R60" s="1">
        <v>0.5</v>
      </c>
      <c r="S60" s="6">
        <v>0</v>
      </c>
      <c r="T60" s="1">
        <v>120</v>
      </c>
      <c r="U60" s="1">
        <f t="shared" si="3"/>
        <v>10</v>
      </c>
      <c r="V60" s="1">
        <v>1</v>
      </c>
      <c r="W60" s="1">
        <f t="shared" si="4"/>
        <v>1</v>
      </c>
    </row>
    <row r="61" s="1" customFormat="1" spans="1:23">
      <c r="A61" s="1">
        <v>30026</v>
      </c>
      <c r="B61" s="7" t="s">
        <v>222</v>
      </c>
      <c r="C61" s="1" t="str">
        <f t="shared" si="0"/>
        <v>3</v>
      </c>
      <c r="D61" s="7" t="s">
        <v>105</v>
      </c>
      <c r="E61" s="1">
        <v>1</v>
      </c>
      <c r="F61" s="7" t="s">
        <v>217</v>
      </c>
      <c r="G61" s="1" t="str">
        <f t="shared" si="1"/>
        <v>moshou01_Lv3</v>
      </c>
      <c r="H61" s="3">
        <v>250</v>
      </c>
      <c r="I61" s="3">
        <f t="shared" si="2"/>
        <v>1500</v>
      </c>
      <c r="J61" s="3">
        <v>250</v>
      </c>
      <c r="K61" s="3">
        <v>15</v>
      </c>
      <c r="L61" s="4">
        <v>96</v>
      </c>
      <c r="M61" s="4">
        <v>15</v>
      </c>
      <c r="N61" s="4">
        <v>8</v>
      </c>
      <c r="O61" s="4">
        <v>6</v>
      </c>
      <c r="P61" s="4">
        <v>5</v>
      </c>
      <c r="Q61" s="4">
        <v>15</v>
      </c>
      <c r="R61" s="1">
        <v>0.5</v>
      </c>
      <c r="S61" s="6">
        <v>0</v>
      </c>
      <c r="T61" s="1">
        <v>120</v>
      </c>
      <c r="U61" s="1">
        <f t="shared" si="3"/>
        <v>10</v>
      </c>
      <c r="V61" s="1">
        <v>1</v>
      </c>
      <c r="W61" s="1">
        <f t="shared" si="4"/>
        <v>1</v>
      </c>
    </row>
    <row r="62" s="1" customFormat="1" spans="1:23">
      <c r="A62" s="1">
        <v>30027</v>
      </c>
      <c r="B62" s="7" t="s">
        <v>224</v>
      </c>
      <c r="C62" s="1" t="str">
        <f t="shared" si="0"/>
        <v>3</v>
      </c>
      <c r="D62" s="7" t="s">
        <v>105</v>
      </c>
      <c r="E62" s="1">
        <v>1</v>
      </c>
      <c r="F62" s="7" t="s">
        <v>217</v>
      </c>
      <c r="G62" s="1" t="str">
        <f t="shared" si="1"/>
        <v>moshou01_Lv3</v>
      </c>
      <c r="H62" s="3">
        <v>1000</v>
      </c>
      <c r="I62" s="3">
        <f t="shared" si="2"/>
        <v>1500</v>
      </c>
      <c r="J62" s="3">
        <v>400</v>
      </c>
      <c r="K62" s="3">
        <v>20</v>
      </c>
      <c r="L62" s="4">
        <v>90</v>
      </c>
      <c r="M62" s="4">
        <v>14</v>
      </c>
      <c r="N62" s="4">
        <v>8</v>
      </c>
      <c r="O62" s="4">
        <v>6</v>
      </c>
      <c r="P62" s="4">
        <v>5</v>
      </c>
      <c r="Q62" s="4">
        <v>15</v>
      </c>
      <c r="R62" s="1">
        <v>0.5</v>
      </c>
      <c r="S62" s="6">
        <v>0</v>
      </c>
      <c r="T62" s="1">
        <v>120</v>
      </c>
      <c r="U62" s="1">
        <f t="shared" si="3"/>
        <v>10</v>
      </c>
      <c r="V62" s="1">
        <v>1</v>
      </c>
      <c r="W62" s="1">
        <f t="shared" si="4"/>
        <v>1</v>
      </c>
    </row>
    <row r="63" s="1" customFormat="1" spans="1:23">
      <c r="A63" s="1">
        <v>30028</v>
      </c>
      <c r="B63" s="7" t="s">
        <v>226</v>
      </c>
      <c r="C63" s="1" t="str">
        <f t="shared" si="0"/>
        <v>3</v>
      </c>
      <c r="D63" s="7" t="s">
        <v>105</v>
      </c>
      <c r="E63" s="1">
        <v>1</v>
      </c>
      <c r="F63" s="7" t="s">
        <v>217</v>
      </c>
      <c r="G63" s="1" t="str">
        <f t="shared" si="1"/>
        <v>moshou01_Lv3</v>
      </c>
      <c r="H63" s="3">
        <v>250</v>
      </c>
      <c r="I63" s="3">
        <f t="shared" si="2"/>
        <v>1500</v>
      </c>
      <c r="J63" s="3">
        <v>250</v>
      </c>
      <c r="K63" s="3">
        <v>15</v>
      </c>
      <c r="L63" s="4">
        <v>100</v>
      </c>
      <c r="M63" s="4">
        <v>12</v>
      </c>
      <c r="N63" s="4">
        <v>9</v>
      </c>
      <c r="O63" s="4">
        <v>6</v>
      </c>
      <c r="P63" s="4">
        <v>5</v>
      </c>
      <c r="Q63" s="4">
        <v>15</v>
      </c>
      <c r="R63" s="1">
        <v>0.5</v>
      </c>
      <c r="S63" s="6">
        <v>0</v>
      </c>
      <c r="T63" s="1">
        <v>120</v>
      </c>
      <c r="U63" s="1">
        <f t="shared" si="3"/>
        <v>10</v>
      </c>
      <c r="V63" s="1">
        <v>1</v>
      </c>
      <c r="W63" s="1">
        <f t="shared" si="4"/>
        <v>1</v>
      </c>
    </row>
    <row r="64" s="1" customFormat="1" spans="1:23">
      <c r="A64" s="1">
        <v>40001</v>
      </c>
      <c r="B64" s="7" t="s">
        <v>218</v>
      </c>
      <c r="C64" s="1" t="str">
        <f t="shared" si="0"/>
        <v>4</v>
      </c>
      <c r="D64" s="7" t="s">
        <v>105</v>
      </c>
      <c r="E64" s="1">
        <v>1</v>
      </c>
      <c r="F64" s="7" t="s">
        <v>219</v>
      </c>
      <c r="G64" s="7" t="s">
        <v>219</v>
      </c>
      <c r="H64" s="3">
        <v>250</v>
      </c>
      <c r="I64" s="3">
        <f t="shared" si="2"/>
        <v>1500</v>
      </c>
      <c r="J64" s="3">
        <v>250</v>
      </c>
      <c r="K64" s="3">
        <v>15</v>
      </c>
      <c r="L64" s="4">
        <v>2000</v>
      </c>
      <c r="M64" s="4">
        <v>15</v>
      </c>
      <c r="N64" s="4">
        <v>8</v>
      </c>
      <c r="O64" s="4">
        <v>6</v>
      </c>
      <c r="P64" s="4">
        <v>5</v>
      </c>
      <c r="Q64" s="4">
        <v>15</v>
      </c>
      <c r="R64" s="1">
        <v>0.5</v>
      </c>
      <c r="S64" s="6">
        <v>0</v>
      </c>
      <c r="T64" s="1">
        <v>120</v>
      </c>
      <c r="U64" s="1">
        <f t="shared" si="3"/>
        <v>20</v>
      </c>
      <c r="V64" s="1">
        <v>2</v>
      </c>
      <c r="W64" s="1">
        <f t="shared" si="4"/>
        <v>2</v>
      </c>
    </row>
    <row r="65" s="1" customFormat="1" spans="1:23">
      <c r="A65" s="1">
        <v>40002</v>
      </c>
      <c r="B65" s="7" t="s">
        <v>220</v>
      </c>
      <c r="C65" s="1" t="str">
        <f t="shared" si="0"/>
        <v>4</v>
      </c>
      <c r="D65" s="7" t="s">
        <v>105</v>
      </c>
      <c r="E65" s="1">
        <v>1</v>
      </c>
      <c r="F65" s="7" t="s">
        <v>221</v>
      </c>
      <c r="G65" s="7" t="s">
        <v>221</v>
      </c>
      <c r="H65" s="3">
        <v>1200</v>
      </c>
      <c r="I65" s="3">
        <f t="shared" si="2"/>
        <v>1500</v>
      </c>
      <c r="J65" s="3">
        <v>250</v>
      </c>
      <c r="K65" s="3">
        <v>20</v>
      </c>
      <c r="L65" s="4">
        <v>2000</v>
      </c>
      <c r="M65" s="4">
        <v>15</v>
      </c>
      <c r="N65" s="4">
        <v>8</v>
      </c>
      <c r="O65" s="4">
        <v>6</v>
      </c>
      <c r="P65" s="4">
        <v>5</v>
      </c>
      <c r="Q65" s="4">
        <v>15</v>
      </c>
      <c r="R65" s="1">
        <v>0.5</v>
      </c>
      <c r="S65" s="6">
        <v>0</v>
      </c>
      <c r="T65" s="1">
        <v>120</v>
      </c>
      <c r="U65" s="1">
        <f t="shared" si="3"/>
        <v>20</v>
      </c>
      <c r="V65" s="1">
        <v>1.8</v>
      </c>
      <c r="W65" s="1">
        <f t="shared" si="4"/>
        <v>1.8</v>
      </c>
    </row>
    <row r="66" s="1" customFormat="1" spans="1:23">
      <c r="A66" s="1">
        <v>40003</v>
      </c>
      <c r="B66" s="7" t="s">
        <v>222</v>
      </c>
      <c r="C66" s="1" t="str">
        <f t="shared" si="0"/>
        <v>4</v>
      </c>
      <c r="D66" s="7" t="s">
        <v>105</v>
      </c>
      <c r="E66" s="1">
        <v>1</v>
      </c>
      <c r="F66" s="7" t="s">
        <v>223</v>
      </c>
      <c r="G66" s="7" t="s">
        <v>223</v>
      </c>
      <c r="H66" s="3">
        <v>250</v>
      </c>
      <c r="I66" s="3">
        <f t="shared" si="2"/>
        <v>1500</v>
      </c>
      <c r="J66" s="3">
        <v>250</v>
      </c>
      <c r="K66" s="3">
        <v>15</v>
      </c>
      <c r="L66" s="4">
        <v>2000</v>
      </c>
      <c r="M66" s="4">
        <v>15</v>
      </c>
      <c r="N66" s="4">
        <v>8</v>
      </c>
      <c r="O66" s="4">
        <v>6</v>
      </c>
      <c r="P66" s="4">
        <v>5</v>
      </c>
      <c r="Q66" s="4">
        <v>15</v>
      </c>
      <c r="R66" s="1">
        <v>0.5</v>
      </c>
      <c r="S66" s="6">
        <v>0</v>
      </c>
      <c r="T66" s="1">
        <v>120</v>
      </c>
      <c r="U66" s="1">
        <f t="shared" si="3"/>
        <v>20</v>
      </c>
      <c r="V66" s="1">
        <v>1.5</v>
      </c>
      <c r="W66" s="1">
        <f t="shared" si="4"/>
        <v>1.5</v>
      </c>
    </row>
    <row r="67" s="1" customFormat="1" spans="1:23">
      <c r="A67" s="1">
        <v>40004</v>
      </c>
      <c r="B67" s="7" t="s">
        <v>224</v>
      </c>
      <c r="C67" s="1" t="str">
        <f t="shared" si="0"/>
        <v>4</v>
      </c>
      <c r="D67" s="7" t="s">
        <v>105</v>
      </c>
      <c r="E67" s="1">
        <v>1</v>
      </c>
      <c r="F67" s="7" t="s">
        <v>225</v>
      </c>
      <c r="G67" s="7" t="s">
        <v>225</v>
      </c>
      <c r="H67" s="3">
        <v>1200</v>
      </c>
      <c r="I67" s="3">
        <f t="shared" si="2"/>
        <v>1500</v>
      </c>
      <c r="J67" s="3">
        <v>250</v>
      </c>
      <c r="K67" s="3">
        <v>20</v>
      </c>
      <c r="L67" s="4">
        <v>2000</v>
      </c>
      <c r="M67" s="4">
        <v>15</v>
      </c>
      <c r="N67" s="4">
        <v>8</v>
      </c>
      <c r="O67" s="4">
        <v>6</v>
      </c>
      <c r="P67" s="4">
        <v>5</v>
      </c>
      <c r="Q67" s="4">
        <v>15</v>
      </c>
      <c r="R67" s="1">
        <v>0.5</v>
      </c>
      <c r="S67" s="6">
        <v>0</v>
      </c>
      <c r="T67" s="1">
        <v>120</v>
      </c>
      <c r="U67" s="1">
        <f t="shared" si="3"/>
        <v>20</v>
      </c>
      <c r="V67" s="1">
        <v>1</v>
      </c>
      <c r="W67" s="1">
        <f t="shared" si="4"/>
        <v>1</v>
      </c>
    </row>
    <row r="68" s="1" customFormat="1" spans="1:23">
      <c r="A68" s="1">
        <v>90001</v>
      </c>
      <c r="B68" s="1" t="s">
        <v>240</v>
      </c>
      <c r="C68" s="1" t="str">
        <f t="shared" ref="C68:C70" si="5">LEFT(A68,1)</f>
        <v>9</v>
      </c>
      <c r="D68" s="7">
        <v>0</v>
      </c>
      <c r="E68" s="1">
        <v>0</v>
      </c>
      <c r="F68" s="7" t="s">
        <v>241</v>
      </c>
      <c r="G68" s="7" t="s">
        <v>241</v>
      </c>
      <c r="H68" s="3">
        <v>0</v>
      </c>
      <c r="I68" s="3">
        <v>500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1">
        <f t="shared" ref="U68:U70" si="6">_xlfn.IFS(C68="1",2,C68="2",5,C68="3",10,C68="4",20,TRUE,0)</f>
        <v>0</v>
      </c>
      <c r="V68" s="1">
        <v>1</v>
      </c>
      <c r="W68" s="1">
        <f t="shared" ref="W68:W70" si="7">V68</f>
        <v>1</v>
      </c>
    </row>
    <row r="69" s="1" customFormat="1" spans="1:23">
      <c r="A69" s="1">
        <v>90002</v>
      </c>
      <c r="B69" s="1" t="s">
        <v>242</v>
      </c>
      <c r="C69" s="1" t="str">
        <f t="shared" si="5"/>
        <v>9</v>
      </c>
      <c r="D69" s="7">
        <v>0</v>
      </c>
      <c r="E69" s="1">
        <v>0</v>
      </c>
      <c r="F69" s="7" t="s">
        <v>243</v>
      </c>
      <c r="G69" s="7" t="s">
        <v>243</v>
      </c>
      <c r="H69" s="3">
        <v>0</v>
      </c>
      <c r="I69" s="3">
        <v>500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1">
        <f t="shared" si="6"/>
        <v>0</v>
      </c>
      <c r="V69" s="1">
        <v>1</v>
      </c>
      <c r="W69" s="1">
        <f t="shared" si="7"/>
        <v>1</v>
      </c>
    </row>
    <row r="70" s="1" customFormat="1" spans="1:23">
      <c r="A70" s="1">
        <v>90003</v>
      </c>
      <c r="B70" s="1" t="s">
        <v>244</v>
      </c>
      <c r="C70" s="1" t="str">
        <f t="shared" si="5"/>
        <v>9</v>
      </c>
      <c r="D70" s="7">
        <v>0</v>
      </c>
      <c r="E70" s="1">
        <v>0</v>
      </c>
      <c r="F70" s="7" t="s">
        <v>245</v>
      </c>
      <c r="G70" s="7" t="s">
        <v>246</v>
      </c>
      <c r="H70" s="3">
        <v>0</v>
      </c>
      <c r="I70" s="3">
        <v>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1">
        <f t="shared" si="6"/>
        <v>0</v>
      </c>
      <c r="V70" s="1">
        <v>1</v>
      </c>
      <c r="W70" s="1">
        <f t="shared" si="7"/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4"/>
  <sheetViews>
    <sheetView workbookViewId="0">
      <pane ySplit="1" topLeftCell="A2" activePane="bottomLeft" state="frozen"/>
      <selection/>
      <selection pane="bottomLeft" activeCell="F5" sqref="F5"/>
    </sheetView>
  </sheetViews>
  <sheetFormatPr defaultColWidth="9" defaultRowHeight="16.5"/>
  <cols>
    <col min="1" max="1" width="9" style="1"/>
    <col min="2" max="2" width="11.75" style="1" customWidth="1"/>
    <col min="3" max="4" width="8.875" style="1" customWidth="1"/>
    <col min="5" max="5" width="8.375" style="1" customWidth="1"/>
    <col min="6" max="6" width="8.125" style="1" customWidth="1"/>
    <col min="7" max="8" width="10.375" style="2"/>
    <col min="9" max="18" width="8.375" style="2" customWidth="1"/>
    <col min="19" max="16384" width="9" style="1"/>
  </cols>
  <sheetData>
    <row r="1" spans="5:19">
      <c r="E1" s="1">
        <v>0.2</v>
      </c>
      <c r="F1" s="1">
        <v>3</v>
      </c>
      <c r="G1" s="1">
        <v>300</v>
      </c>
      <c r="H1" s="1">
        <v>0.15</v>
      </c>
      <c r="I1" s="1">
        <v>1.5</v>
      </c>
      <c r="J1" s="1">
        <v>10</v>
      </c>
      <c r="K1" s="1">
        <v>0.1</v>
      </c>
      <c r="L1" s="1">
        <v>0.5</v>
      </c>
      <c r="M1" s="1">
        <v>3</v>
      </c>
      <c r="N1" s="1">
        <f>H1</f>
        <v>0.15</v>
      </c>
      <c r="O1" s="1">
        <f>I1</f>
        <v>1.5</v>
      </c>
      <c r="P1" s="1">
        <f>J1</f>
        <v>10</v>
      </c>
      <c r="Q1" s="1">
        <v>0.1</v>
      </c>
      <c r="R1" s="1">
        <v>0.5</v>
      </c>
      <c r="S1" s="1">
        <v>3</v>
      </c>
    </row>
    <row r="2" s="1" customFormat="1" spans="1:1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13</v>
      </c>
      <c r="G2" s="4" t="s">
        <v>13</v>
      </c>
      <c r="H2" s="4"/>
      <c r="I2" s="4" t="s">
        <v>14</v>
      </c>
      <c r="J2" s="4"/>
      <c r="K2" s="4"/>
      <c r="L2" s="4" t="s">
        <v>15</v>
      </c>
      <c r="M2" s="4"/>
      <c r="N2" s="4"/>
      <c r="O2" s="4" t="s">
        <v>16</v>
      </c>
      <c r="P2" s="4"/>
      <c r="Q2" s="4"/>
      <c r="R2" s="4" t="s">
        <v>17</v>
      </c>
    </row>
    <row r="3" s="1" customFormat="1" spans="1:18">
      <c r="A3" s="3" t="s">
        <v>26</v>
      </c>
      <c r="B3" s="3" t="s">
        <v>27</v>
      </c>
      <c r="C3" s="3" t="s">
        <v>26</v>
      </c>
      <c r="D3" s="3" t="s">
        <v>26</v>
      </c>
      <c r="E3" s="3" t="s">
        <v>26</v>
      </c>
      <c r="F3" s="3" t="s">
        <v>28</v>
      </c>
      <c r="G3" s="3" t="s">
        <v>28</v>
      </c>
      <c r="H3" s="3"/>
      <c r="I3" s="3" t="s">
        <v>28</v>
      </c>
      <c r="J3" s="3"/>
      <c r="K3" s="3"/>
      <c r="L3" s="3" t="s">
        <v>28</v>
      </c>
      <c r="M3" s="3"/>
      <c r="N3" s="3"/>
      <c r="O3" s="3" t="s">
        <v>28</v>
      </c>
      <c r="P3" s="3"/>
      <c r="Q3" s="3"/>
      <c r="R3" s="3" t="s">
        <v>28</v>
      </c>
    </row>
    <row r="4" s="1" customFormat="1" spans="1:18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4" t="s">
        <v>42</v>
      </c>
      <c r="G4" s="4" t="s">
        <v>262</v>
      </c>
      <c r="H4" s="4" t="s">
        <v>43</v>
      </c>
      <c r="I4" s="4" t="s">
        <v>263</v>
      </c>
      <c r="J4" s="4"/>
      <c r="K4" s="4" t="s">
        <v>44</v>
      </c>
      <c r="L4" s="4" t="s">
        <v>264</v>
      </c>
      <c r="M4" s="4"/>
      <c r="N4" s="4" t="s">
        <v>45</v>
      </c>
      <c r="O4" s="4" t="s">
        <v>265</v>
      </c>
      <c r="P4" s="4"/>
      <c r="Q4" s="4" t="s">
        <v>46</v>
      </c>
      <c r="R4" s="4" t="s">
        <v>266</v>
      </c>
    </row>
    <row r="5" s="1" customFormat="1" spans="1:18">
      <c r="A5" s="1">
        <v>10001</v>
      </c>
      <c r="B5" s="3" t="s">
        <v>55</v>
      </c>
      <c r="C5" s="1" t="str">
        <f t="shared" ref="C5:C68" si="0">LEFT(A5,1)</f>
        <v>1</v>
      </c>
      <c r="D5" s="1" t="s">
        <v>56</v>
      </c>
      <c r="E5" s="1">
        <v>1</v>
      </c>
      <c r="F5" s="5">
        <f>INT(G5*$F$1+(C5*$E$1*G5)+$G$1)</f>
        <v>415</v>
      </c>
      <c r="G5" s="4">
        <v>36</v>
      </c>
      <c r="H5" s="5">
        <f>INT(I5*$I$1+(C5*$H$1*I5)+$J$1)</f>
        <v>36</v>
      </c>
      <c r="I5" s="4">
        <v>16</v>
      </c>
      <c r="J5" s="4"/>
      <c r="K5" s="5">
        <f>INT(L5*$L$1+(C5*$K$1*L5)+$M$1)</f>
        <v>4</v>
      </c>
      <c r="L5" s="4">
        <v>3</v>
      </c>
      <c r="M5" s="4"/>
      <c r="N5" s="5">
        <f>INT(O5*$O$1+(C5*$N$1*O5)+$P$1)</f>
        <v>23</v>
      </c>
      <c r="O5" s="4">
        <v>8</v>
      </c>
      <c r="P5" s="4"/>
      <c r="Q5" s="5">
        <f>INT(R5*$R$1+(C5*$Q$1*R5)+$S$1)</f>
        <v>4</v>
      </c>
      <c r="R5" s="4">
        <f t="shared" ref="R5:R14" si="1">L5</f>
        <v>3</v>
      </c>
    </row>
    <row r="6" s="1" customFormat="1" spans="1:18">
      <c r="A6" s="1">
        <v>10002</v>
      </c>
      <c r="B6" s="3" t="s">
        <v>59</v>
      </c>
      <c r="C6" s="1" t="str">
        <f t="shared" si="0"/>
        <v>1</v>
      </c>
      <c r="D6" s="1" t="s">
        <v>56</v>
      </c>
      <c r="E6" s="1">
        <v>1</v>
      </c>
      <c r="F6" s="5">
        <f t="shared" ref="F6:F37" si="2">INT(G6*$F$1+(C6*$E$1*G6)+$G$1)</f>
        <v>419</v>
      </c>
      <c r="G6" s="4">
        <v>37.2</v>
      </c>
      <c r="H6" s="5">
        <f t="shared" ref="H6:H37" si="3">INT(I6*$I$1+(C6*$H$1*I6)+$J$1)</f>
        <v>36</v>
      </c>
      <c r="I6" s="4">
        <v>16</v>
      </c>
      <c r="J6" s="4"/>
      <c r="K6" s="5">
        <f t="shared" ref="K6:K37" si="4">INT(L6*$L$1+(C6*$K$1*L6)+$M$1)</f>
        <v>4</v>
      </c>
      <c r="L6" s="4">
        <v>3</v>
      </c>
      <c r="M6" s="4"/>
      <c r="N6" s="5">
        <f t="shared" ref="N6:N37" si="5">INT(O6*$O$1+(C6*$N$1*O6)+$P$1)</f>
        <v>23</v>
      </c>
      <c r="O6" s="4">
        <v>8</v>
      </c>
      <c r="P6" s="4"/>
      <c r="Q6" s="5">
        <f t="shared" ref="Q6:Q37" si="6">INT(R6*$R$1+(C6*$Q$1*R6)+$S$1)</f>
        <v>4</v>
      </c>
      <c r="R6" s="4">
        <f t="shared" si="1"/>
        <v>3</v>
      </c>
    </row>
    <row r="7" s="1" customFormat="1" spans="1:18">
      <c r="A7" s="1">
        <v>10003</v>
      </c>
      <c r="B7" s="3" t="s">
        <v>62</v>
      </c>
      <c r="C7" s="1" t="str">
        <f t="shared" si="0"/>
        <v>1</v>
      </c>
      <c r="D7" s="1" t="s">
        <v>56</v>
      </c>
      <c r="E7" s="1">
        <v>1</v>
      </c>
      <c r="F7" s="5">
        <f t="shared" si="2"/>
        <v>422</v>
      </c>
      <c r="G7" s="4">
        <v>38.4</v>
      </c>
      <c r="H7" s="5">
        <f t="shared" si="3"/>
        <v>26</v>
      </c>
      <c r="I7" s="4">
        <v>10</v>
      </c>
      <c r="J7" s="4"/>
      <c r="K7" s="5">
        <f t="shared" si="4"/>
        <v>4</v>
      </c>
      <c r="L7" s="4">
        <v>3</v>
      </c>
      <c r="M7" s="4"/>
      <c r="N7" s="5">
        <f t="shared" si="5"/>
        <v>28</v>
      </c>
      <c r="O7" s="4">
        <v>11</v>
      </c>
      <c r="P7" s="4"/>
      <c r="Q7" s="5">
        <f t="shared" si="6"/>
        <v>4</v>
      </c>
      <c r="R7" s="4">
        <f t="shared" si="1"/>
        <v>3</v>
      </c>
    </row>
    <row r="8" s="1" customFormat="1" spans="1:18">
      <c r="A8" s="1">
        <v>10004</v>
      </c>
      <c r="B8" s="1" t="s">
        <v>65</v>
      </c>
      <c r="C8" s="1" t="str">
        <f t="shared" si="0"/>
        <v>1</v>
      </c>
      <c r="D8" s="1" t="s">
        <v>56</v>
      </c>
      <c r="E8" s="1">
        <v>1</v>
      </c>
      <c r="F8" s="5">
        <f t="shared" si="2"/>
        <v>426</v>
      </c>
      <c r="G8" s="4">
        <v>39.6</v>
      </c>
      <c r="H8" s="5">
        <f t="shared" si="3"/>
        <v>38</v>
      </c>
      <c r="I8" s="4">
        <v>17</v>
      </c>
      <c r="J8" s="4"/>
      <c r="K8" s="5">
        <f t="shared" si="4"/>
        <v>5</v>
      </c>
      <c r="L8" s="4">
        <v>4</v>
      </c>
      <c r="M8" s="4"/>
      <c r="N8" s="5">
        <f t="shared" si="5"/>
        <v>24</v>
      </c>
      <c r="O8" s="4">
        <v>9</v>
      </c>
      <c r="P8" s="4"/>
      <c r="Q8" s="5">
        <f t="shared" si="6"/>
        <v>5</v>
      </c>
      <c r="R8" s="4">
        <f t="shared" si="1"/>
        <v>4</v>
      </c>
    </row>
    <row r="9" s="1" customFormat="1" spans="1:18">
      <c r="A9" s="1">
        <v>10005</v>
      </c>
      <c r="B9" s="1" t="s">
        <v>68</v>
      </c>
      <c r="C9" s="1" t="str">
        <f t="shared" si="0"/>
        <v>1</v>
      </c>
      <c r="D9" s="1" t="s">
        <v>56</v>
      </c>
      <c r="E9" s="1">
        <v>1</v>
      </c>
      <c r="F9" s="5">
        <f t="shared" si="2"/>
        <v>430</v>
      </c>
      <c r="G9" s="4">
        <v>40.8</v>
      </c>
      <c r="H9" s="5">
        <f t="shared" si="3"/>
        <v>39</v>
      </c>
      <c r="I9" s="4">
        <v>18</v>
      </c>
      <c r="J9" s="4"/>
      <c r="K9" s="5">
        <f t="shared" si="4"/>
        <v>5</v>
      </c>
      <c r="L9" s="4">
        <v>4</v>
      </c>
      <c r="M9" s="4"/>
      <c r="N9" s="5">
        <f t="shared" si="5"/>
        <v>24</v>
      </c>
      <c r="O9" s="4">
        <v>9</v>
      </c>
      <c r="P9" s="4"/>
      <c r="Q9" s="5">
        <f t="shared" si="6"/>
        <v>5</v>
      </c>
      <c r="R9" s="4">
        <f t="shared" si="1"/>
        <v>4</v>
      </c>
    </row>
    <row r="10" s="1" customFormat="1" spans="1:18">
      <c r="A10" s="1">
        <v>10006</v>
      </c>
      <c r="B10" s="1" t="s">
        <v>71</v>
      </c>
      <c r="C10" s="1" t="str">
        <f t="shared" si="0"/>
        <v>1</v>
      </c>
      <c r="D10" s="1" t="s">
        <v>56</v>
      </c>
      <c r="E10" s="1">
        <v>1</v>
      </c>
      <c r="F10" s="5">
        <f t="shared" si="2"/>
        <v>434</v>
      </c>
      <c r="G10" s="4">
        <v>42</v>
      </c>
      <c r="H10" s="5">
        <f t="shared" ref="H10:H25" si="7">INT(I10*$I$1+(C10*$H$1*I10)+$J$1)</f>
        <v>41</v>
      </c>
      <c r="I10" s="4">
        <v>19</v>
      </c>
      <c r="J10" s="4"/>
      <c r="K10" s="5">
        <f t="shared" si="4"/>
        <v>6</v>
      </c>
      <c r="L10" s="4">
        <v>5</v>
      </c>
      <c r="M10" s="4"/>
      <c r="N10" s="5">
        <f t="shared" si="5"/>
        <v>26</v>
      </c>
      <c r="O10" s="4">
        <v>10</v>
      </c>
      <c r="P10" s="4"/>
      <c r="Q10" s="5">
        <f t="shared" si="6"/>
        <v>6</v>
      </c>
      <c r="R10" s="4">
        <f t="shared" si="1"/>
        <v>5</v>
      </c>
    </row>
    <row r="11" s="1" customFormat="1" spans="1:18">
      <c r="A11" s="1">
        <v>10007</v>
      </c>
      <c r="B11" s="1" t="s">
        <v>73</v>
      </c>
      <c r="C11" s="1" t="str">
        <f t="shared" si="0"/>
        <v>1</v>
      </c>
      <c r="D11" s="1" t="s">
        <v>74</v>
      </c>
      <c r="E11" s="1">
        <v>1</v>
      </c>
      <c r="F11" s="5">
        <f t="shared" si="2"/>
        <v>419</v>
      </c>
      <c r="G11" s="4">
        <v>37.2</v>
      </c>
      <c r="H11" s="5">
        <f t="shared" si="7"/>
        <v>24</v>
      </c>
      <c r="I11" s="4">
        <v>9</v>
      </c>
      <c r="J11" s="4"/>
      <c r="K11" s="5">
        <f t="shared" si="4"/>
        <v>6</v>
      </c>
      <c r="L11" s="4">
        <v>5</v>
      </c>
      <c r="M11" s="4"/>
      <c r="N11" s="5">
        <f t="shared" si="5"/>
        <v>39</v>
      </c>
      <c r="O11" s="4">
        <v>18</v>
      </c>
      <c r="P11" s="4"/>
      <c r="Q11" s="5">
        <f t="shared" si="6"/>
        <v>6</v>
      </c>
      <c r="R11" s="4">
        <f t="shared" si="1"/>
        <v>5</v>
      </c>
    </row>
    <row r="12" s="1" customFormat="1" spans="1:18">
      <c r="A12" s="1">
        <v>10008</v>
      </c>
      <c r="B12" s="1" t="s">
        <v>77</v>
      </c>
      <c r="C12" s="1" t="str">
        <f t="shared" si="0"/>
        <v>1</v>
      </c>
      <c r="D12" s="1" t="s">
        <v>78</v>
      </c>
      <c r="E12" s="1">
        <v>1</v>
      </c>
      <c r="F12" s="5">
        <f t="shared" si="2"/>
        <v>422</v>
      </c>
      <c r="G12" s="4">
        <v>38.4</v>
      </c>
      <c r="H12" s="5">
        <f t="shared" si="7"/>
        <v>26</v>
      </c>
      <c r="I12" s="4">
        <v>10</v>
      </c>
      <c r="J12" s="4"/>
      <c r="K12" s="5">
        <f t="shared" si="4"/>
        <v>6</v>
      </c>
      <c r="L12" s="4">
        <v>5</v>
      </c>
      <c r="M12" s="4"/>
      <c r="N12" s="5">
        <f t="shared" si="5"/>
        <v>39</v>
      </c>
      <c r="O12" s="4">
        <v>18</v>
      </c>
      <c r="P12" s="4"/>
      <c r="Q12" s="5">
        <f t="shared" si="6"/>
        <v>6</v>
      </c>
      <c r="R12" s="4">
        <f t="shared" si="1"/>
        <v>5</v>
      </c>
    </row>
    <row r="13" s="1" customFormat="1" spans="1:18">
      <c r="A13" s="1">
        <v>10009</v>
      </c>
      <c r="B13" s="1" t="s">
        <v>80</v>
      </c>
      <c r="C13" s="1" t="str">
        <f t="shared" si="0"/>
        <v>1</v>
      </c>
      <c r="D13" s="1" t="s">
        <v>81</v>
      </c>
      <c r="E13" s="1">
        <v>1</v>
      </c>
      <c r="F13" s="5">
        <f t="shared" si="2"/>
        <v>426</v>
      </c>
      <c r="G13" s="4">
        <v>39.6</v>
      </c>
      <c r="H13" s="5">
        <f t="shared" si="7"/>
        <v>38</v>
      </c>
      <c r="I13" s="4">
        <v>17</v>
      </c>
      <c r="J13" s="4"/>
      <c r="K13" s="5">
        <f t="shared" si="4"/>
        <v>6</v>
      </c>
      <c r="L13" s="4">
        <v>6</v>
      </c>
      <c r="M13" s="4"/>
      <c r="N13" s="5">
        <f t="shared" si="5"/>
        <v>28</v>
      </c>
      <c r="O13" s="4">
        <v>11</v>
      </c>
      <c r="P13" s="4"/>
      <c r="Q13" s="5">
        <f t="shared" si="6"/>
        <v>6</v>
      </c>
      <c r="R13" s="4">
        <f t="shared" si="1"/>
        <v>6</v>
      </c>
    </row>
    <row r="14" s="1" customFormat="1" spans="1:18">
      <c r="A14" s="1">
        <v>10010</v>
      </c>
      <c r="B14" s="1" t="s">
        <v>83</v>
      </c>
      <c r="C14" s="1" t="str">
        <f t="shared" si="0"/>
        <v>1</v>
      </c>
      <c r="D14" s="1" t="s">
        <v>84</v>
      </c>
      <c r="E14" s="1">
        <v>1</v>
      </c>
      <c r="F14" s="5">
        <f t="shared" si="2"/>
        <v>453</v>
      </c>
      <c r="G14" s="4">
        <v>48</v>
      </c>
      <c r="H14" s="5">
        <f t="shared" si="7"/>
        <v>47</v>
      </c>
      <c r="I14" s="4">
        <v>23</v>
      </c>
      <c r="J14" s="4"/>
      <c r="K14" s="5">
        <f t="shared" si="4"/>
        <v>7</v>
      </c>
      <c r="L14" s="4">
        <v>7</v>
      </c>
      <c r="M14" s="4"/>
      <c r="N14" s="5">
        <f t="shared" si="5"/>
        <v>29</v>
      </c>
      <c r="O14" s="4">
        <v>12</v>
      </c>
      <c r="P14" s="4"/>
      <c r="Q14" s="5">
        <f t="shared" si="6"/>
        <v>7</v>
      </c>
      <c r="R14" s="4">
        <f t="shared" si="1"/>
        <v>7</v>
      </c>
    </row>
    <row r="15" s="1" customFormat="1" spans="1:18">
      <c r="A15" s="1">
        <v>10011</v>
      </c>
      <c r="B15" s="6" t="s">
        <v>86</v>
      </c>
      <c r="C15" s="1" t="str">
        <f t="shared" si="0"/>
        <v>1</v>
      </c>
      <c r="D15" s="1" t="s">
        <v>84</v>
      </c>
      <c r="E15" s="1">
        <v>1</v>
      </c>
      <c r="F15" s="5">
        <f t="shared" si="2"/>
        <v>472</v>
      </c>
      <c r="G15" s="4">
        <v>54</v>
      </c>
      <c r="H15" s="5">
        <f t="shared" si="7"/>
        <v>51</v>
      </c>
      <c r="I15" s="4">
        <v>25</v>
      </c>
      <c r="J15" s="4"/>
      <c r="K15" s="5">
        <f t="shared" si="4"/>
        <v>9</v>
      </c>
      <c r="L15" s="4">
        <v>10</v>
      </c>
      <c r="M15" s="4"/>
      <c r="N15" s="5">
        <f t="shared" si="5"/>
        <v>26</v>
      </c>
      <c r="O15" s="4">
        <v>10</v>
      </c>
      <c r="P15" s="4"/>
      <c r="Q15" s="5">
        <f t="shared" si="6"/>
        <v>4</v>
      </c>
      <c r="R15" s="4">
        <v>3</v>
      </c>
    </row>
    <row r="16" s="1" customFormat="1" spans="1:18">
      <c r="A16" s="1">
        <v>10012</v>
      </c>
      <c r="B16" s="6" t="s">
        <v>88</v>
      </c>
      <c r="C16" s="1" t="str">
        <f t="shared" si="0"/>
        <v>1</v>
      </c>
      <c r="D16" s="1" t="s">
        <v>84</v>
      </c>
      <c r="E16" s="1">
        <v>1</v>
      </c>
      <c r="F16" s="5">
        <f t="shared" si="2"/>
        <v>492</v>
      </c>
      <c r="G16" s="4">
        <v>60</v>
      </c>
      <c r="H16" s="5">
        <f t="shared" si="7"/>
        <v>44</v>
      </c>
      <c r="I16" s="4">
        <v>21</v>
      </c>
      <c r="J16" s="4"/>
      <c r="K16" s="5">
        <f t="shared" si="4"/>
        <v>9</v>
      </c>
      <c r="L16" s="4">
        <v>11</v>
      </c>
      <c r="M16" s="4"/>
      <c r="N16" s="5">
        <f t="shared" si="5"/>
        <v>26</v>
      </c>
      <c r="O16" s="4">
        <v>10</v>
      </c>
      <c r="P16" s="4"/>
      <c r="Q16" s="5">
        <f t="shared" si="6"/>
        <v>5</v>
      </c>
      <c r="R16" s="4">
        <v>4</v>
      </c>
    </row>
    <row r="17" s="1" customFormat="1" spans="1:18">
      <c r="A17" s="1">
        <v>10013</v>
      </c>
      <c r="B17" s="7" t="s">
        <v>90</v>
      </c>
      <c r="C17" s="1" t="str">
        <f t="shared" si="0"/>
        <v>1</v>
      </c>
      <c r="D17" s="1" t="s">
        <v>91</v>
      </c>
      <c r="E17" s="1">
        <v>1</v>
      </c>
      <c r="F17" s="5">
        <f t="shared" si="2"/>
        <v>480</v>
      </c>
      <c r="G17" s="4">
        <v>56.4</v>
      </c>
      <c r="H17" s="5">
        <f t="shared" si="7"/>
        <v>51</v>
      </c>
      <c r="I17" s="4">
        <v>25</v>
      </c>
      <c r="J17" s="4"/>
      <c r="K17" s="5">
        <f t="shared" si="4"/>
        <v>8</v>
      </c>
      <c r="L17" s="4">
        <v>9</v>
      </c>
      <c r="M17" s="4"/>
      <c r="N17" s="5">
        <f t="shared" si="5"/>
        <v>24</v>
      </c>
      <c r="O17" s="4">
        <v>9</v>
      </c>
      <c r="P17" s="4"/>
      <c r="Q17" s="5">
        <f t="shared" si="6"/>
        <v>5</v>
      </c>
      <c r="R17" s="4">
        <v>4</v>
      </c>
    </row>
    <row r="18" s="1" customFormat="1" spans="1:18">
      <c r="A18" s="1">
        <v>10014</v>
      </c>
      <c r="B18" s="7" t="s">
        <v>93</v>
      </c>
      <c r="C18" s="1" t="str">
        <f t="shared" si="0"/>
        <v>1</v>
      </c>
      <c r="D18" s="1" t="s">
        <v>81</v>
      </c>
      <c r="E18" s="1">
        <v>1</v>
      </c>
      <c r="F18" s="5">
        <f t="shared" si="2"/>
        <v>434</v>
      </c>
      <c r="G18" s="4">
        <v>42</v>
      </c>
      <c r="H18" s="5">
        <f t="shared" si="7"/>
        <v>41</v>
      </c>
      <c r="I18" s="4">
        <v>19</v>
      </c>
      <c r="J18" s="4"/>
      <c r="K18" s="5">
        <f t="shared" si="4"/>
        <v>7</v>
      </c>
      <c r="L18" s="4">
        <v>8</v>
      </c>
      <c r="M18" s="4"/>
      <c r="N18" s="5">
        <f t="shared" si="5"/>
        <v>28</v>
      </c>
      <c r="O18" s="4">
        <v>11</v>
      </c>
      <c r="P18" s="4"/>
      <c r="Q18" s="5">
        <f t="shared" si="6"/>
        <v>6</v>
      </c>
      <c r="R18" s="4">
        <v>6</v>
      </c>
    </row>
    <row r="19" s="1" customFormat="1" spans="1:18">
      <c r="A19" s="1">
        <v>10015</v>
      </c>
      <c r="B19" s="7" t="s">
        <v>95</v>
      </c>
      <c r="C19" s="1" t="str">
        <f t="shared" si="0"/>
        <v>1</v>
      </c>
      <c r="D19" s="1" t="s">
        <v>96</v>
      </c>
      <c r="E19" s="1">
        <v>1</v>
      </c>
      <c r="F19" s="5">
        <f t="shared" si="2"/>
        <v>480</v>
      </c>
      <c r="G19" s="4">
        <v>56.4</v>
      </c>
      <c r="H19" s="5">
        <f t="shared" si="7"/>
        <v>49</v>
      </c>
      <c r="I19" s="4">
        <v>24</v>
      </c>
      <c r="J19" s="4"/>
      <c r="K19" s="5">
        <f t="shared" si="4"/>
        <v>9</v>
      </c>
      <c r="L19" s="4">
        <v>10</v>
      </c>
      <c r="M19" s="4"/>
      <c r="N19" s="5">
        <f t="shared" si="5"/>
        <v>31</v>
      </c>
      <c r="O19" s="4">
        <v>13</v>
      </c>
      <c r="P19" s="4"/>
      <c r="Q19" s="5">
        <f t="shared" si="6"/>
        <v>6</v>
      </c>
      <c r="R19" s="4">
        <v>6</v>
      </c>
    </row>
    <row r="20" s="1" customFormat="1" spans="1:18">
      <c r="A20" s="1">
        <v>10016</v>
      </c>
      <c r="B20" s="7" t="s">
        <v>98</v>
      </c>
      <c r="C20" s="1" t="str">
        <f t="shared" si="0"/>
        <v>1</v>
      </c>
      <c r="D20" s="1" t="s">
        <v>78</v>
      </c>
      <c r="E20" s="1">
        <v>1</v>
      </c>
      <c r="F20" s="5">
        <f t="shared" si="2"/>
        <v>434</v>
      </c>
      <c r="G20" s="4">
        <v>42</v>
      </c>
      <c r="H20" s="5">
        <f t="shared" si="7"/>
        <v>26</v>
      </c>
      <c r="I20" s="4">
        <v>10</v>
      </c>
      <c r="J20" s="4"/>
      <c r="K20" s="5">
        <f t="shared" si="4"/>
        <v>7</v>
      </c>
      <c r="L20" s="4">
        <v>8</v>
      </c>
      <c r="M20" s="4"/>
      <c r="N20" s="5">
        <f t="shared" si="5"/>
        <v>43</v>
      </c>
      <c r="O20" s="4">
        <v>20</v>
      </c>
      <c r="P20" s="4"/>
      <c r="Q20" s="5">
        <f t="shared" si="6"/>
        <v>6</v>
      </c>
      <c r="R20" s="4">
        <v>5</v>
      </c>
    </row>
    <row r="21" s="1" customFormat="1" spans="1:18">
      <c r="A21" s="1">
        <v>10017</v>
      </c>
      <c r="B21" s="7" t="s">
        <v>100</v>
      </c>
      <c r="C21" s="1" t="str">
        <f t="shared" si="0"/>
        <v>1</v>
      </c>
      <c r="D21" s="1" t="s">
        <v>74</v>
      </c>
      <c r="E21" s="1">
        <v>1</v>
      </c>
      <c r="F21" s="5">
        <f t="shared" si="2"/>
        <v>438</v>
      </c>
      <c r="G21" s="4">
        <v>43.2</v>
      </c>
      <c r="H21" s="5">
        <f t="shared" si="7"/>
        <v>26</v>
      </c>
      <c r="I21" s="4">
        <v>10</v>
      </c>
      <c r="J21" s="4"/>
      <c r="K21" s="5">
        <f t="shared" si="4"/>
        <v>10</v>
      </c>
      <c r="L21" s="4">
        <v>12</v>
      </c>
      <c r="M21" s="4"/>
      <c r="N21" s="5">
        <f t="shared" si="5"/>
        <v>39</v>
      </c>
      <c r="O21" s="4">
        <v>18</v>
      </c>
      <c r="P21" s="4"/>
      <c r="Q21" s="5">
        <f t="shared" si="6"/>
        <v>9</v>
      </c>
      <c r="R21" s="4">
        <v>10</v>
      </c>
    </row>
    <row r="22" s="1" customFormat="1" spans="1:18">
      <c r="A22" s="1">
        <v>10018</v>
      </c>
      <c r="B22" s="7" t="s">
        <v>102</v>
      </c>
      <c r="C22" s="1" t="str">
        <f t="shared" si="0"/>
        <v>1</v>
      </c>
      <c r="D22" s="1" t="s">
        <v>56</v>
      </c>
      <c r="E22" s="1">
        <v>1</v>
      </c>
      <c r="F22" s="5">
        <f t="shared" si="2"/>
        <v>484</v>
      </c>
      <c r="G22" s="4">
        <v>57.6</v>
      </c>
      <c r="H22" s="5">
        <f t="shared" si="7"/>
        <v>43</v>
      </c>
      <c r="I22" s="4">
        <v>20</v>
      </c>
      <c r="J22" s="4"/>
      <c r="K22" s="5">
        <f t="shared" si="4"/>
        <v>9</v>
      </c>
      <c r="L22" s="4">
        <v>10</v>
      </c>
      <c r="M22" s="4"/>
      <c r="N22" s="5">
        <f t="shared" si="5"/>
        <v>26</v>
      </c>
      <c r="O22" s="4">
        <v>10</v>
      </c>
      <c r="P22" s="4"/>
      <c r="Q22" s="5">
        <f t="shared" si="6"/>
        <v>6</v>
      </c>
      <c r="R22" s="4">
        <v>5</v>
      </c>
    </row>
    <row r="23" s="1" customFormat="1" spans="1:18">
      <c r="A23" s="1">
        <v>10019</v>
      </c>
      <c r="B23" s="7" t="s">
        <v>104</v>
      </c>
      <c r="C23" s="1" t="str">
        <f t="shared" si="0"/>
        <v>1</v>
      </c>
      <c r="D23" s="1" t="s">
        <v>105</v>
      </c>
      <c r="E23" s="1">
        <v>1</v>
      </c>
      <c r="F23" s="5">
        <f t="shared" si="2"/>
        <v>461</v>
      </c>
      <c r="G23" s="4">
        <v>50.4</v>
      </c>
      <c r="H23" s="5">
        <f t="shared" si="7"/>
        <v>52</v>
      </c>
      <c r="I23" s="4">
        <v>26</v>
      </c>
      <c r="J23" s="4"/>
      <c r="K23" s="5">
        <f t="shared" si="4"/>
        <v>8</v>
      </c>
      <c r="L23" s="4">
        <v>9</v>
      </c>
      <c r="M23" s="4"/>
      <c r="N23" s="5">
        <f t="shared" si="5"/>
        <v>26</v>
      </c>
      <c r="O23" s="4">
        <v>10</v>
      </c>
      <c r="P23" s="4"/>
      <c r="Q23" s="5">
        <f t="shared" si="6"/>
        <v>6</v>
      </c>
      <c r="R23" s="4">
        <v>5</v>
      </c>
    </row>
    <row r="24" s="1" customFormat="1" spans="1:18">
      <c r="A24" s="1">
        <v>10020</v>
      </c>
      <c r="B24" s="7" t="s">
        <v>102</v>
      </c>
      <c r="C24" s="1" t="str">
        <f t="shared" si="0"/>
        <v>1</v>
      </c>
      <c r="D24" s="1" t="s">
        <v>56</v>
      </c>
      <c r="E24" s="1">
        <v>1</v>
      </c>
      <c r="F24" s="5">
        <f t="shared" si="2"/>
        <v>434</v>
      </c>
      <c r="G24" s="4">
        <v>42</v>
      </c>
      <c r="H24" s="5">
        <f t="shared" si="7"/>
        <v>43</v>
      </c>
      <c r="I24" s="4">
        <v>20</v>
      </c>
      <c r="J24" s="4"/>
      <c r="K24" s="5">
        <f t="shared" si="4"/>
        <v>8</v>
      </c>
      <c r="L24" s="4">
        <v>9</v>
      </c>
      <c r="M24" s="4"/>
      <c r="N24" s="5">
        <f t="shared" si="5"/>
        <v>26</v>
      </c>
      <c r="O24" s="4">
        <v>10</v>
      </c>
      <c r="P24" s="4"/>
      <c r="Q24" s="5">
        <f t="shared" si="6"/>
        <v>6</v>
      </c>
      <c r="R24" s="4">
        <v>5</v>
      </c>
    </row>
    <row r="25" s="1" customFormat="1" spans="1:18">
      <c r="A25" s="1">
        <v>10021</v>
      </c>
      <c r="B25" s="7" t="s">
        <v>107</v>
      </c>
      <c r="C25" s="1" t="str">
        <f t="shared" si="0"/>
        <v>1</v>
      </c>
      <c r="D25" s="1" t="s">
        <v>56</v>
      </c>
      <c r="E25" s="1">
        <v>1</v>
      </c>
      <c r="F25" s="5">
        <f t="shared" si="2"/>
        <v>438</v>
      </c>
      <c r="G25" s="4">
        <v>43.2</v>
      </c>
      <c r="H25" s="5">
        <f t="shared" si="7"/>
        <v>39</v>
      </c>
      <c r="I25" s="4">
        <v>18</v>
      </c>
      <c r="J25" s="4"/>
      <c r="K25" s="5">
        <f t="shared" si="4"/>
        <v>9</v>
      </c>
      <c r="L25" s="4">
        <v>11</v>
      </c>
      <c r="M25" s="4"/>
      <c r="N25" s="5">
        <f t="shared" si="5"/>
        <v>26</v>
      </c>
      <c r="O25" s="4">
        <v>10</v>
      </c>
      <c r="P25" s="4"/>
      <c r="Q25" s="5">
        <f t="shared" si="6"/>
        <v>6</v>
      </c>
      <c r="R25" s="4">
        <v>5</v>
      </c>
    </row>
    <row r="26" s="1" customFormat="1" spans="1:18">
      <c r="A26" s="1">
        <v>10022</v>
      </c>
      <c r="B26" s="7" t="s">
        <v>108</v>
      </c>
      <c r="C26" s="1" t="str">
        <f t="shared" si="0"/>
        <v>1</v>
      </c>
      <c r="D26" s="1" t="s">
        <v>56</v>
      </c>
      <c r="E26" s="1">
        <v>1</v>
      </c>
      <c r="F26" s="5">
        <f t="shared" si="2"/>
        <v>399</v>
      </c>
      <c r="G26" s="4">
        <v>31.2</v>
      </c>
      <c r="H26" s="5">
        <f t="shared" si="3"/>
        <v>44</v>
      </c>
      <c r="I26" s="4">
        <v>21</v>
      </c>
      <c r="J26" s="4"/>
      <c r="K26" s="5">
        <f t="shared" si="4"/>
        <v>8</v>
      </c>
      <c r="L26" s="4">
        <v>9</v>
      </c>
      <c r="M26" s="4"/>
      <c r="N26" s="5">
        <f t="shared" si="5"/>
        <v>26</v>
      </c>
      <c r="O26" s="4">
        <v>10</v>
      </c>
      <c r="P26" s="4"/>
      <c r="Q26" s="5">
        <f t="shared" si="6"/>
        <v>6</v>
      </c>
      <c r="R26" s="4">
        <v>5</v>
      </c>
    </row>
    <row r="27" s="1" customFormat="1" spans="1:18">
      <c r="A27" s="1">
        <v>10023</v>
      </c>
      <c r="B27" s="7" t="s">
        <v>109</v>
      </c>
      <c r="C27" s="1" t="str">
        <f t="shared" si="0"/>
        <v>1</v>
      </c>
      <c r="D27" s="1" t="s">
        <v>56</v>
      </c>
      <c r="E27" s="1">
        <v>1</v>
      </c>
      <c r="F27" s="5">
        <f t="shared" si="2"/>
        <v>442</v>
      </c>
      <c r="G27" s="4">
        <v>44.4</v>
      </c>
      <c r="H27" s="5">
        <f t="shared" si="3"/>
        <v>52</v>
      </c>
      <c r="I27" s="4">
        <v>26</v>
      </c>
      <c r="J27" s="4"/>
      <c r="K27" s="5">
        <f t="shared" si="4"/>
        <v>8</v>
      </c>
      <c r="L27" s="4">
        <v>9</v>
      </c>
      <c r="M27" s="4"/>
      <c r="N27" s="5">
        <f t="shared" si="5"/>
        <v>26</v>
      </c>
      <c r="O27" s="4">
        <v>10</v>
      </c>
      <c r="P27" s="4"/>
      <c r="Q27" s="5">
        <f t="shared" si="6"/>
        <v>6</v>
      </c>
      <c r="R27" s="4">
        <v>5</v>
      </c>
    </row>
    <row r="28" s="1" customFormat="1" spans="1:18">
      <c r="A28" s="1">
        <v>10024</v>
      </c>
      <c r="B28" s="7" t="s">
        <v>110</v>
      </c>
      <c r="C28" s="1" t="str">
        <f t="shared" si="0"/>
        <v>1</v>
      </c>
      <c r="D28" s="1" t="s">
        <v>56</v>
      </c>
      <c r="E28" s="1">
        <v>1</v>
      </c>
      <c r="F28" s="5">
        <f t="shared" si="2"/>
        <v>442</v>
      </c>
      <c r="G28" s="4">
        <v>44.4</v>
      </c>
      <c r="H28" s="5">
        <f t="shared" si="3"/>
        <v>26</v>
      </c>
      <c r="I28" s="4">
        <v>10</v>
      </c>
      <c r="J28" s="4"/>
      <c r="K28" s="5">
        <f t="shared" si="4"/>
        <v>8</v>
      </c>
      <c r="L28" s="4">
        <v>9</v>
      </c>
      <c r="M28" s="4"/>
      <c r="N28" s="5">
        <f t="shared" si="5"/>
        <v>39</v>
      </c>
      <c r="O28" s="4">
        <v>18</v>
      </c>
      <c r="P28" s="4"/>
      <c r="Q28" s="5">
        <f t="shared" si="6"/>
        <v>6</v>
      </c>
      <c r="R28" s="4">
        <v>5</v>
      </c>
    </row>
    <row r="29" s="1" customFormat="1" spans="1:18">
      <c r="A29" s="1">
        <v>10025</v>
      </c>
      <c r="B29" s="7" t="s">
        <v>111</v>
      </c>
      <c r="C29" s="1" t="str">
        <f t="shared" si="0"/>
        <v>1</v>
      </c>
      <c r="D29" s="1" t="s">
        <v>105</v>
      </c>
      <c r="E29" s="1">
        <v>1</v>
      </c>
      <c r="F29" s="5">
        <f t="shared" si="2"/>
        <v>445</v>
      </c>
      <c r="G29" s="4">
        <v>45.6</v>
      </c>
      <c r="H29" s="5">
        <f t="shared" si="3"/>
        <v>52</v>
      </c>
      <c r="I29" s="4">
        <v>26</v>
      </c>
      <c r="J29" s="4"/>
      <c r="K29" s="5">
        <f t="shared" si="4"/>
        <v>8</v>
      </c>
      <c r="L29" s="4">
        <v>9</v>
      </c>
      <c r="M29" s="4"/>
      <c r="N29" s="5">
        <f t="shared" si="5"/>
        <v>39</v>
      </c>
      <c r="O29" s="4">
        <v>18</v>
      </c>
      <c r="P29" s="4"/>
      <c r="Q29" s="5">
        <f t="shared" si="6"/>
        <v>6</v>
      </c>
      <c r="R29" s="4">
        <v>5</v>
      </c>
    </row>
    <row r="30" s="1" customFormat="1" spans="1:18">
      <c r="A30" s="1">
        <v>10026</v>
      </c>
      <c r="B30" s="7" t="s">
        <v>112</v>
      </c>
      <c r="C30" s="1" t="str">
        <f t="shared" si="0"/>
        <v>1</v>
      </c>
      <c r="D30" s="1" t="s">
        <v>105</v>
      </c>
      <c r="E30" s="1">
        <v>1</v>
      </c>
      <c r="F30" s="5">
        <f t="shared" si="2"/>
        <v>445</v>
      </c>
      <c r="G30" s="4">
        <v>45.6</v>
      </c>
      <c r="H30" s="5">
        <f t="shared" si="3"/>
        <v>52</v>
      </c>
      <c r="I30" s="4">
        <v>26</v>
      </c>
      <c r="J30" s="4"/>
      <c r="K30" s="5">
        <f t="shared" si="4"/>
        <v>8</v>
      </c>
      <c r="L30" s="4">
        <v>9</v>
      </c>
      <c r="M30" s="4"/>
      <c r="N30" s="5">
        <f t="shared" si="5"/>
        <v>39</v>
      </c>
      <c r="O30" s="4">
        <v>18</v>
      </c>
      <c r="P30" s="4"/>
      <c r="Q30" s="5">
        <f t="shared" si="6"/>
        <v>6</v>
      </c>
      <c r="R30" s="4">
        <v>5</v>
      </c>
    </row>
    <row r="31" s="1" customFormat="1" spans="1:18">
      <c r="A31" s="1">
        <v>10027</v>
      </c>
      <c r="B31" s="7" t="s">
        <v>113</v>
      </c>
      <c r="C31" s="1" t="str">
        <f t="shared" si="0"/>
        <v>1</v>
      </c>
      <c r="D31" s="1" t="s">
        <v>96</v>
      </c>
      <c r="E31" s="1">
        <v>1</v>
      </c>
      <c r="F31" s="5">
        <f t="shared" si="2"/>
        <v>434</v>
      </c>
      <c r="G31" s="4">
        <v>42</v>
      </c>
      <c r="H31" s="5">
        <f t="shared" si="3"/>
        <v>34</v>
      </c>
      <c r="I31" s="4">
        <v>15</v>
      </c>
      <c r="J31" s="4"/>
      <c r="K31" s="5">
        <f t="shared" si="4"/>
        <v>8</v>
      </c>
      <c r="L31" s="4">
        <v>9</v>
      </c>
      <c r="M31" s="4"/>
      <c r="N31" s="5">
        <f t="shared" si="5"/>
        <v>43</v>
      </c>
      <c r="O31" s="4">
        <v>20</v>
      </c>
      <c r="P31" s="4"/>
      <c r="Q31" s="5">
        <f t="shared" si="6"/>
        <v>6</v>
      </c>
      <c r="R31" s="4">
        <v>5</v>
      </c>
    </row>
    <row r="32" s="1" customFormat="1" spans="1:18">
      <c r="A32" s="1">
        <v>10028</v>
      </c>
      <c r="B32" s="7" t="s">
        <v>114</v>
      </c>
      <c r="C32" s="1" t="str">
        <f t="shared" si="0"/>
        <v>1</v>
      </c>
      <c r="D32" s="1" t="s">
        <v>91</v>
      </c>
      <c r="E32" s="1">
        <v>1</v>
      </c>
      <c r="F32" s="5">
        <f t="shared" si="2"/>
        <v>445</v>
      </c>
      <c r="G32" s="4">
        <v>45.6</v>
      </c>
      <c r="H32" s="5">
        <f t="shared" si="3"/>
        <v>52</v>
      </c>
      <c r="I32" s="4">
        <v>26</v>
      </c>
      <c r="J32" s="4"/>
      <c r="K32" s="5">
        <f t="shared" si="4"/>
        <v>8</v>
      </c>
      <c r="L32" s="4">
        <v>9</v>
      </c>
      <c r="M32" s="4"/>
      <c r="N32" s="5">
        <f t="shared" si="5"/>
        <v>39</v>
      </c>
      <c r="O32" s="4">
        <v>18</v>
      </c>
      <c r="P32" s="4"/>
      <c r="Q32" s="5">
        <f t="shared" si="6"/>
        <v>6</v>
      </c>
      <c r="R32" s="4">
        <v>5</v>
      </c>
    </row>
    <row r="33" s="1" customFormat="1" spans="1:18">
      <c r="A33" s="1">
        <v>10029</v>
      </c>
      <c r="B33" s="7" t="s">
        <v>115</v>
      </c>
      <c r="C33" s="1" t="str">
        <f t="shared" si="0"/>
        <v>1</v>
      </c>
      <c r="D33" s="1" t="s">
        <v>96</v>
      </c>
      <c r="E33" s="1">
        <v>1</v>
      </c>
      <c r="F33" s="5">
        <f t="shared" si="2"/>
        <v>415</v>
      </c>
      <c r="G33" s="4">
        <v>36</v>
      </c>
      <c r="H33" s="5">
        <f t="shared" si="3"/>
        <v>39</v>
      </c>
      <c r="I33" s="4">
        <v>18</v>
      </c>
      <c r="J33" s="4"/>
      <c r="K33" s="5">
        <f t="shared" si="4"/>
        <v>8</v>
      </c>
      <c r="L33" s="4">
        <v>9</v>
      </c>
      <c r="M33" s="4"/>
      <c r="N33" s="5">
        <f t="shared" si="5"/>
        <v>44</v>
      </c>
      <c r="O33" s="4">
        <v>21</v>
      </c>
      <c r="P33" s="4"/>
      <c r="Q33" s="5">
        <f t="shared" si="6"/>
        <v>6</v>
      </c>
      <c r="R33" s="4">
        <v>5</v>
      </c>
    </row>
    <row r="34" s="1" customFormat="1" spans="1:18">
      <c r="A34" s="1">
        <v>10030</v>
      </c>
      <c r="B34" s="7" t="s">
        <v>116</v>
      </c>
      <c r="C34" s="1" t="str">
        <f t="shared" si="0"/>
        <v>1</v>
      </c>
      <c r="D34" s="1" t="s">
        <v>105</v>
      </c>
      <c r="E34" s="1">
        <v>1</v>
      </c>
      <c r="F34" s="5">
        <f t="shared" si="2"/>
        <v>445</v>
      </c>
      <c r="G34" s="4">
        <v>45.6</v>
      </c>
      <c r="H34" s="5">
        <f t="shared" si="3"/>
        <v>52</v>
      </c>
      <c r="I34" s="4">
        <v>26</v>
      </c>
      <c r="J34" s="4"/>
      <c r="K34" s="5">
        <f t="shared" si="4"/>
        <v>8</v>
      </c>
      <c r="L34" s="4">
        <v>9</v>
      </c>
      <c r="M34" s="4"/>
      <c r="N34" s="5">
        <f t="shared" si="5"/>
        <v>43</v>
      </c>
      <c r="O34" s="4">
        <v>20</v>
      </c>
      <c r="P34" s="4"/>
      <c r="Q34" s="5">
        <f t="shared" si="6"/>
        <v>6</v>
      </c>
      <c r="R34" s="4">
        <v>5</v>
      </c>
    </row>
    <row r="35" s="1" customFormat="1" spans="1:18">
      <c r="A35" s="1">
        <v>10031</v>
      </c>
      <c r="B35" s="7" t="s">
        <v>117</v>
      </c>
      <c r="C35" s="1" t="str">
        <f t="shared" si="0"/>
        <v>1</v>
      </c>
      <c r="D35" s="1" t="s">
        <v>84</v>
      </c>
      <c r="E35" s="1">
        <v>1</v>
      </c>
      <c r="F35" s="5">
        <f t="shared" si="2"/>
        <v>449</v>
      </c>
      <c r="G35" s="4">
        <v>46.8</v>
      </c>
      <c r="H35" s="5">
        <f t="shared" si="3"/>
        <v>44</v>
      </c>
      <c r="I35" s="4">
        <v>21</v>
      </c>
      <c r="J35" s="4"/>
      <c r="K35" s="5">
        <f t="shared" si="4"/>
        <v>8</v>
      </c>
      <c r="L35" s="4">
        <v>9</v>
      </c>
      <c r="M35" s="4"/>
      <c r="N35" s="5">
        <f t="shared" si="5"/>
        <v>43</v>
      </c>
      <c r="O35" s="4">
        <v>20</v>
      </c>
      <c r="P35" s="4"/>
      <c r="Q35" s="5">
        <f t="shared" si="6"/>
        <v>6</v>
      </c>
      <c r="R35" s="4">
        <v>6</v>
      </c>
    </row>
    <row r="36" s="1" customFormat="1" spans="1:18">
      <c r="A36" s="1">
        <v>10032</v>
      </c>
      <c r="B36" s="7" t="s">
        <v>118</v>
      </c>
      <c r="C36" s="1" t="str">
        <f t="shared" si="0"/>
        <v>1</v>
      </c>
      <c r="D36" s="1" t="s">
        <v>84</v>
      </c>
      <c r="E36" s="1">
        <v>1</v>
      </c>
      <c r="F36" s="5">
        <f t="shared" si="2"/>
        <v>449</v>
      </c>
      <c r="G36" s="4">
        <v>46.8</v>
      </c>
      <c r="H36" s="5">
        <f t="shared" si="3"/>
        <v>46</v>
      </c>
      <c r="I36" s="4">
        <v>22</v>
      </c>
      <c r="J36" s="4"/>
      <c r="K36" s="5">
        <f t="shared" si="4"/>
        <v>8</v>
      </c>
      <c r="L36" s="4">
        <v>9</v>
      </c>
      <c r="M36" s="4"/>
      <c r="N36" s="5">
        <f t="shared" si="5"/>
        <v>43</v>
      </c>
      <c r="O36" s="4">
        <v>20</v>
      </c>
      <c r="P36" s="4"/>
      <c r="Q36" s="5">
        <f t="shared" si="6"/>
        <v>6</v>
      </c>
      <c r="R36" s="4">
        <v>6</v>
      </c>
    </row>
    <row r="37" s="1" customFormat="1" spans="1:18">
      <c r="A37" s="1">
        <v>10033</v>
      </c>
      <c r="B37" s="7" t="s">
        <v>119</v>
      </c>
      <c r="C37" s="1" t="str">
        <f t="shared" si="0"/>
        <v>1</v>
      </c>
      <c r="D37" s="1" t="s">
        <v>78</v>
      </c>
      <c r="E37" s="1">
        <v>1</v>
      </c>
      <c r="F37" s="5">
        <f t="shared" si="2"/>
        <v>415</v>
      </c>
      <c r="G37" s="4">
        <v>36</v>
      </c>
      <c r="H37" s="5">
        <f t="shared" si="3"/>
        <v>44</v>
      </c>
      <c r="I37" s="4">
        <v>21</v>
      </c>
      <c r="J37" s="4"/>
      <c r="K37" s="5">
        <f t="shared" si="4"/>
        <v>8</v>
      </c>
      <c r="L37" s="4">
        <v>9</v>
      </c>
      <c r="M37" s="4"/>
      <c r="N37" s="5">
        <f t="shared" si="5"/>
        <v>43</v>
      </c>
      <c r="O37" s="4">
        <v>20</v>
      </c>
      <c r="P37" s="4"/>
      <c r="Q37" s="5">
        <f t="shared" si="6"/>
        <v>6</v>
      </c>
      <c r="R37" s="4">
        <v>5</v>
      </c>
    </row>
    <row r="38" s="1" customFormat="1" spans="1:18">
      <c r="A38" s="1">
        <v>10034</v>
      </c>
      <c r="B38" s="7" t="s">
        <v>120</v>
      </c>
      <c r="C38" s="1" t="str">
        <f t="shared" si="0"/>
        <v>1</v>
      </c>
      <c r="D38" s="1" t="s">
        <v>91</v>
      </c>
      <c r="E38" s="1">
        <v>1</v>
      </c>
      <c r="F38" s="5">
        <f t="shared" ref="F38:F69" si="8">INT(G38*$F$1+(C38*$E$1*G38)+$G$1)</f>
        <v>453</v>
      </c>
      <c r="G38" s="4">
        <v>48</v>
      </c>
      <c r="H38" s="5">
        <f t="shared" ref="H38:H69" si="9">INT(I38*$I$1+(C38*$H$1*I38)+$J$1)</f>
        <v>52</v>
      </c>
      <c r="I38" s="4">
        <v>26</v>
      </c>
      <c r="J38" s="4"/>
      <c r="K38" s="5">
        <f t="shared" ref="K38:K69" si="10">INT(L38*$L$1+(C38*$K$1*L38)+$M$1)</f>
        <v>8</v>
      </c>
      <c r="L38" s="4">
        <v>9</v>
      </c>
      <c r="M38" s="4"/>
      <c r="N38" s="5">
        <f t="shared" ref="N38:N69" si="11">INT(O38*$O$1+(C38*$N$1*O38)+$P$1)</f>
        <v>43</v>
      </c>
      <c r="O38" s="4">
        <v>20</v>
      </c>
      <c r="P38" s="4"/>
      <c r="Q38" s="5">
        <f t="shared" ref="Q38:Q69" si="12">INT(R38*$R$1+(C38*$Q$1*R38)+$S$1)</f>
        <v>6</v>
      </c>
      <c r="R38" s="4">
        <v>5</v>
      </c>
    </row>
    <row r="39" s="1" customFormat="1" spans="1:18">
      <c r="A39" s="1">
        <v>10035</v>
      </c>
      <c r="B39" s="7" t="s">
        <v>121</v>
      </c>
      <c r="C39" s="1" t="str">
        <f t="shared" si="0"/>
        <v>1</v>
      </c>
      <c r="D39" s="1" t="s">
        <v>96</v>
      </c>
      <c r="E39" s="1">
        <v>1</v>
      </c>
      <c r="F39" s="5">
        <f t="shared" si="8"/>
        <v>422</v>
      </c>
      <c r="G39" s="4">
        <v>38.4</v>
      </c>
      <c r="H39" s="5">
        <f t="shared" si="9"/>
        <v>52</v>
      </c>
      <c r="I39" s="4">
        <v>26</v>
      </c>
      <c r="J39" s="4"/>
      <c r="K39" s="5">
        <f t="shared" si="10"/>
        <v>8</v>
      </c>
      <c r="L39" s="4">
        <v>9</v>
      </c>
      <c r="M39" s="4"/>
      <c r="N39" s="5">
        <f t="shared" si="11"/>
        <v>43</v>
      </c>
      <c r="O39" s="4">
        <v>20</v>
      </c>
      <c r="P39" s="4"/>
      <c r="Q39" s="5">
        <f t="shared" si="12"/>
        <v>6</v>
      </c>
      <c r="R39" s="4">
        <v>5</v>
      </c>
    </row>
    <row r="40" s="1" customFormat="1" spans="1:18">
      <c r="A40" s="1">
        <v>10036</v>
      </c>
      <c r="B40" s="7" t="s">
        <v>122</v>
      </c>
      <c r="C40" s="1" t="str">
        <f t="shared" si="0"/>
        <v>1</v>
      </c>
      <c r="D40" s="1" t="s">
        <v>96</v>
      </c>
      <c r="E40" s="1">
        <v>1</v>
      </c>
      <c r="F40" s="5">
        <f t="shared" si="8"/>
        <v>426</v>
      </c>
      <c r="G40" s="4">
        <v>39.6</v>
      </c>
      <c r="H40" s="5">
        <f t="shared" si="9"/>
        <v>52</v>
      </c>
      <c r="I40" s="4">
        <v>26</v>
      </c>
      <c r="J40" s="4"/>
      <c r="K40" s="5">
        <f t="shared" si="10"/>
        <v>8</v>
      </c>
      <c r="L40" s="4">
        <v>9</v>
      </c>
      <c r="M40" s="4"/>
      <c r="N40" s="5">
        <f t="shared" si="11"/>
        <v>52</v>
      </c>
      <c r="O40" s="4">
        <v>26</v>
      </c>
      <c r="P40" s="4"/>
      <c r="Q40" s="5">
        <f t="shared" si="12"/>
        <v>6</v>
      </c>
      <c r="R40" s="4">
        <v>5</v>
      </c>
    </row>
    <row r="41" s="1" customFormat="1" spans="1:18">
      <c r="A41" s="1">
        <v>10037</v>
      </c>
      <c r="B41" s="7" t="s">
        <v>123</v>
      </c>
      <c r="C41" s="1" t="str">
        <f t="shared" si="0"/>
        <v>1</v>
      </c>
      <c r="D41" s="1" t="s">
        <v>84</v>
      </c>
      <c r="E41" s="1">
        <v>1</v>
      </c>
      <c r="F41" s="5">
        <f t="shared" si="8"/>
        <v>445</v>
      </c>
      <c r="G41" s="4">
        <v>45.6</v>
      </c>
      <c r="H41" s="5">
        <f t="shared" si="9"/>
        <v>47</v>
      </c>
      <c r="I41" s="4">
        <v>23</v>
      </c>
      <c r="J41" s="4"/>
      <c r="K41" s="5">
        <f t="shared" si="10"/>
        <v>8</v>
      </c>
      <c r="L41" s="4">
        <v>9</v>
      </c>
      <c r="M41" s="4"/>
      <c r="N41" s="5">
        <f t="shared" si="11"/>
        <v>54</v>
      </c>
      <c r="O41" s="4">
        <v>27</v>
      </c>
      <c r="P41" s="4"/>
      <c r="Q41" s="5">
        <f t="shared" si="12"/>
        <v>7</v>
      </c>
      <c r="R41" s="4">
        <v>7</v>
      </c>
    </row>
    <row r="42" s="1" customFormat="1" spans="1:18">
      <c r="A42" s="1">
        <v>10038</v>
      </c>
      <c r="B42" s="7" t="s">
        <v>124</v>
      </c>
      <c r="C42" s="1" t="str">
        <f t="shared" si="0"/>
        <v>1</v>
      </c>
      <c r="D42" s="1" t="s">
        <v>84</v>
      </c>
      <c r="E42" s="1">
        <v>1</v>
      </c>
      <c r="F42" s="5">
        <f t="shared" si="8"/>
        <v>445</v>
      </c>
      <c r="G42" s="4">
        <v>45.6</v>
      </c>
      <c r="H42" s="5">
        <f t="shared" si="9"/>
        <v>51</v>
      </c>
      <c r="I42" s="4">
        <v>25</v>
      </c>
      <c r="J42" s="4"/>
      <c r="K42" s="5">
        <f t="shared" si="10"/>
        <v>8</v>
      </c>
      <c r="L42" s="4">
        <v>9</v>
      </c>
      <c r="M42" s="4"/>
      <c r="N42" s="5">
        <f t="shared" si="11"/>
        <v>56</v>
      </c>
      <c r="O42" s="4">
        <v>28</v>
      </c>
      <c r="P42" s="4"/>
      <c r="Q42" s="5">
        <f t="shared" si="12"/>
        <v>7</v>
      </c>
      <c r="R42" s="4">
        <v>7</v>
      </c>
    </row>
    <row r="43" s="1" customFormat="1" spans="1:18">
      <c r="A43" s="1">
        <v>10039</v>
      </c>
      <c r="B43" s="7" t="s">
        <v>125</v>
      </c>
      <c r="C43" s="1" t="str">
        <f t="shared" si="0"/>
        <v>1</v>
      </c>
      <c r="D43" s="1" t="s">
        <v>84</v>
      </c>
      <c r="E43" s="1">
        <v>1</v>
      </c>
      <c r="F43" s="5">
        <f t="shared" si="8"/>
        <v>453</v>
      </c>
      <c r="G43" s="4">
        <v>48</v>
      </c>
      <c r="H43" s="5">
        <f t="shared" si="9"/>
        <v>44</v>
      </c>
      <c r="I43" s="4">
        <v>21</v>
      </c>
      <c r="J43" s="4"/>
      <c r="K43" s="5">
        <f t="shared" si="10"/>
        <v>9</v>
      </c>
      <c r="L43" s="4">
        <v>10</v>
      </c>
      <c r="M43" s="4"/>
      <c r="N43" s="5">
        <f t="shared" si="11"/>
        <v>43</v>
      </c>
      <c r="O43" s="4">
        <v>20</v>
      </c>
      <c r="P43" s="4"/>
      <c r="Q43" s="5">
        <f t="shared" si="12"/>
        <v>6</v>
      </c>
      <c r="R43" s="4">
        <v>5</v>
      </c>
    </row>
    <row r="44" s="1" customFormat="1" spans="1:18">
      <c r="A44" s="1">
        <v>10040</v>
      </c>
      <c r="B44" s="7" t="s">
        <v>126</v>
      </c>
      <c r="C44" s="1" t="str">
        <f t="shared" si="0"/>
        <v>1</v>
      </c>
      <c r="D44" s="1" t="s">
        <v>78</v>
      </c>
      <c r="E44" s="1">
        <v>1</v>
      </c>
      <c r="F44" s="5">
        <f t="shared" si="8"/>
        <v>415</v>
      </c>
      <c r="G44" s="4">
        <v>36</v>
      </c>
      <c r="H44" s="5">
        <f t="shared" si="9"/>
        <v>44</v>
      </c>
      <c r="I44" s="4">
        <v>21</v>
      </c>
      <c r="J44" s="4"/>
      <c r="K44" s="5">
        <f t="shared" si="10"/>
        <v>8</v>
      </c>
      <c r="L44" s="4">
        <v>9</v>
      </c>
      <c r="M44" s="4"/>
      <c r="N44" s="5">
        <f t="shared" si="11"/>
        <v>43</v>
      </c>
      <c r="O44" s="4">
        <v>20</v>
      </c>
      <c r="P44" s="4"/>
      <c r="Q44" s="5">
        <f t="shared" si="12"/>
        <v>6</v>
      </c>
      <c r="R44" s="4">
        <v>5</v>
      </c>
    </row>
    <row r="45" s="1" customFormat="1" spans="1:18">
      <c r="A45" s="1">
        <v>10041</v>
      </c>
      <c r="B45" s="7" t="s">
        <v>127</v>
      </c>
      <c r="C45" s="1" t="str">
        <f t="shared" si="0"/>
        <v>1</v>
      </c>
      <c r="D45" s="1" t="s">
        <v>84</v>
      </c>
      <c r="E45" s="1">
        <v>1</v>
      </c>
      <c r="F45" s="5">
        <f t="shared" si="8"/>
        <v>453</v>
      </c>
      <c r="G45" s="4">
        <v>48</v>
      </c>
      <c r="H45" s="5">
        <f t="shared" si="9"/>
        <v>43</v>
      </c>
      <c r="I45" s="4">
        <v>20</v>
      </c>
      <c r="J45" s="4"/>
      <c r="K45" s="5">
        <f t="shared" si="10"/>
        <v>9</v>
      </c>
      <c r="L45" s="4">
        <v>11</v>
      </c>
      <c r="M45" s="4"/>
      <c r="N45" s="5">
        <f t="shared" si="11"/>
        <v>43</v>
      </c>
      <c r="O45" s="4">
        <v>20</v>
      </c>
      <c r="P45" s="4"/>
      <c r="Q45" s="5">
        <f t="shared" si="12"/>
        <v>6</v>
      </c>
      <c r="R45" s="4">
        <v>5</v>
      </c>
    </row>
    <row r="46" s="1" customFormat="1" spans="1:18">
      <c r="A46" s="1">
        <v>10042</v>
      </c>
      <c r="B46" s="7" t="s">
        <v>128</v>
      </c>
      <c r="C46" s="1" t="str">
        <f t="shared" si="0"/>
        <v>1</v>
      </c>
      <c r="D46" s="1" t="s">
        <v>84</v>
      </c>
      <c r="E46" s="1">
        <v>1</v>
      </c>
      <c r="F46" s="5">
        <f t="shared" si="8"/>
        <v>442</v>
      </c>
      <c r="G46" s="4">
        <v>44.4</v>
      </c>
      <c r="H46" s="5">
        <f t="shared" si="9"/>
        <v>43</v>
      </c>
      <c r="I46" s="4">
        <v>20</v>
      </c>
      <c r="J46" s="4"/>
      <c r="K46" s="5">
        <f t="shared" si="10"/>
        <v>9</v>
      </c>
      <c r="L46" s="4">
        <v>10</v>
      </c>
      <c r="M46" s="4"/>
      <c r="N46" s="5">
        <f t="shared" si="11"/>
        <v>43</v>
      </c>
      <c r="O46" s="4">
        <v>20</v>
      </c>
      <c r="P46" s="4"/>
      <c r="Q46" s="5">
        <f t="shared" si="12"/>
        <v>6</v>
      </c>
      <c r="R46" s="4">
        <v>5</v>
      </c>
    </row>
    <row r="47" s="1" customFormat="1" spans="1:18">
      <c r="A47" s="1">
        <v>10043</v>
      </c>
      <c r="B47" s="7" t="s">
        <v>129</v>
      </c>
      <c r="C47" s="1" t="str">
        <f t="shared" si="0"/>
        <v>1</v>
      </c>
      <c r="D47" s="1" t="s">
        <v>84</v>
      </c>
      <c r="E47" s="1">
        <v>1</v>
      </c>
      <c r="F47" s="5">
        <f t="shared" si="8"/>
        <v>445</v>
      </c>
      <c r="G47" s="4">
        <v>45.6</v>
      </c>
      <c r="H47" s="5">
        <f t="shared" si="9"/>
        <v>46</v>
      </c>
      <c r="I47" s="4">
        <v>22</v>
      </c>
      <c r="J47" s="4"/>
      <c r="K47" s="5">
        <f t="shared" si="10"/>
        <v>8</v>
      </c>
      <c r="L47" s="4">
        <v>9</v>
      </c>
      <c r="M47" s="4"/>
      <c r="N47" s="5">
        <f t="shared" si="11"/>
        <v>43</v>
      </c>
      <c r="O47" s="4">
        <v>20</v>
      </c>
      <c r="P47" s="4"/>
      <c r="Q47" s="5">
        <f t="shared" si="12"/>
        <v>6</v>
      </c>
      <c r="R47" s="4">
        <v>5</v>
      </c>
    </row>
    <row r="48" s="1" customFormat="1" spans="1:18">
      <c r="A48" s="1">
        <v>10044</v>
      </c>
      <c r="B48" s="7" t="s">
        <v>130</v>
      </c>
      <c r="C48" s="1" t="str">
        <f t="shared" si="0"/>
        <v>1</v>
      </c>
      <c r="D48" s="1" t="s">
        <v>84</v>
      </c>
      <c r="E48" s="1">
        <v>1</v>
      </c>
      <c r="F48" s="5">
        <f t="shared" si="8"/>
        <v>434</v>
      </c>
      <c r="G48" s="4">
        <v>42</v>
      </c>
      <c r="H48" s="5">
        <f t="shared" si="9"/>
        <v>51</v>
      </c>
      <c r="I48" s="4">
        <v>25</v>
      </c>
      <c r="J48" s="4"/>
      <c r="K48" s="5">
        <f t="shared" si="10"/>
        <v>7</v>
      </c>
      <c r="L48" s="4">
        <v>8</v>
      </c>
      <c r="M48" s="4"/>
      <c r="N48" s="5">
        <f t="shared" si="11"/>
        <v>43</v>
      </c>
      <c r="O48" s="4">
        <v>20</v>
      </c>
      <c r="P48" s="4"/>
      <c r="Q48" s="5">
        <f t="shared" si="12"/>
        <v>6</v>
      </c>
      <c r="R48" s="4">
        <v>5</v>
      </c>
    </row>
    <row r="49" s="1" customFormat="1" spans="1:18">
      <c r="A49" s="1">
        <v>10045</v>
      </c>
      <c r="B49" s="7" t="s">
        <v>131</v>
      </c>
      <c r="C49" s="1" t="str">
        <f t="shared" si="0"/>
        <v>1</v>
      </c>
      <c r="D49" s="1" t="s">
        <v>84</v>
      </c>
      <c r="E49" s="1">
        <v>1</v>
      </c>
      <c r="F49" s="5">
        <f t="shared" si="8"/>
        <v>445</v>
      </c>
      <c r="G49" s="4">
        <v>45.6</v>
      </c>
      <c r="H49" s="5">
        <f t="shared" si="9"/>
        <v>47</v>
      </c>
      <c r="I49" s="4">
        <v>23</v>
      </c>
      <c r="J49" s="4"/>
      <c r="K49" s="5">
        <f t="shared" si="10"/>
        <v>7</v>
      </c>
      <c r="L49" s="4">
        <v>8</v>
      </c>
      <c r="M49" s="4"/>
      <c r="N49" s="5">
        <f t="shared" si="11"/>
        <v>43</v>
      </c>
      <c r="O49" s="4">
        <v>20</v>
      </c>
      <c r="P49" s="4"/>
      <c r="Q49" s="5">
        <f t="shared" si="12"/>
        <v>6</v>
      </c>
      <c r="R49" s="4">
        <v>5</v>
      </c>
    </row>
    <row r="50" s="1" customFormat="1" spans="1:18">
      <c r="A50" s="1">
        <v>20001</v>
      </c>
      <c r="B50" s="3" t="s">
        <v>132</v>
      </c>
      <c r="C50" s="1" t="str">
        <f t="shared" si="0"/>
        <v>2</v>
      </c>
      <c r="D50" s="1" t="s">
        <v>105</v>
      </c>
      <c r="E50" s="1">
        <v>1</v>
      </c>
      <c r="F50" s="5">
        <f t="shared" si="8"/>
        <v>980</v>
      </c>
      <c r="G50" s="4">
        <v>200</v>
      </c>
      <c r="H50" s="5">
        <f t="shared" si="9"/>
        <v>52</v>
      </c>
      <c r="I50" s="4">
        <v>23.7</v>
      </c>
      <c r="J50" s="4"/>
      <c r="K50" s="5">
        <f t="shared" si="10"/>
        <v>13</v>
      </c>
      <c r="L50" s="4">
        <v>15</v>
      </c>
      <c r="M50" s="4"/>
      <c r="N50" s="5">
        <f t="shared" si="11"/>
        <v>46</v>
      </c>
      <c r="O50" s="4">
        <v>20</v>
      </c>
      <c r="P50" s="4"/>
      <c r="Q50" s="5">
        <f t="shared" si="12"/>
        <v>10</v>
      </c>
      <c r="R50" s="4">
        <v>10</v>
      </c>
    </row>
    <row r="51" s="1" customFormat="1" spans="1:18">
      <c r="A51" s="1">
        <v>20002</v>
      </c>
      <c r="B51" s="3" t="s">
        <v>134</v>
      </c>
      <c r="C51" s="1" t="str">
        <f t="shared" si="0"/>
        <v>2</v>
      </c>
      <c r="D51" s="1" t="s">
        <v>56</v>
      </c>
      <c r="E51" s="1">
        <v>1</v>
      </c>
      <c r="F51" s="5">
        <f t="shared" si="8"/>
        <v>1014</v>
      </c>
      <c r="G51" s="4">
        <v>210</v>
      </c>
      <c r="H51" s="5">
        <f t="shared" si="9"/>
        <v>44</v>
      </c>
      <c r="I51" s="4">
        <v>19.3</v>
      </c>
      <c r="J51" s="4"/>
      <c r="K51" s="5">
        <f t="shared" si="10"/>
        <v>14</v>
      </c>
      <c r="L51" s="4">
        <v>16.2</v>
      </c>
      <c r="M51" s="4"/>
      <c r="N51" s="5">
        <f t="shared" si="11"/>
        <v>38</v>
      </c>
      <c r="O51" s="4">
        <v>16</v>
      </c>
      <c r="P51" s="4"/>
      <c r="Q51" s="5">
        <f t="shared" si="12"/>
        <v>11</v>
      </c>
      <c r="R51" s="4">
        <v>12</v>
      </c>
    </row>
    <row r="52" s="1" customFormat="1" spans="1:18">
      <c r="A52" s="1">
        <v>20003</v>
      </c>
      <c r="B52" s="1" t="s">
        <v>136</v>
      </c>
      <c r="C52" s="1" t="str">
        <f t="shared" si="0"/>
        <v>2</v>
      </c>
      <c r="D52" s="1" t="s">
        <v>105</v>
      </c>
      <c r="E52" s="1">
        <v>1</v>
      </c>
      <c r="F52" s="5">
        <f t="shared" si="8"/>
        <v>1048</v>
      </c>
      <c r="G52" s="4">
        <v>220</v>
      </c>
      <c r="H52" s="5">
        <f t="shared" si="9"/>
        <v>52</v>
      </c>
      <c r="I52" s="4">
        <v>23.7</v>
      </c>
      <c r="J52" s="4"/>
      <c r="K52" s="5">
        <f t="shared" si="10"/>
        <v>14</v>
      </c>
      <c r="L52" s="4">
        <v>16.2</v>
      </c>
      <c r="M52" s="4"/>
      <c r="N52" s="5">
        <f t="shared" si="11"/>
        <v>47</v>
      </c>
      <c r="O52" s="4">
        <v>21</v>
      </c>
      <c r="P52" s="4"/>
      <c r="Q52" s="5">
        <f t="shared" si="12"/>
        <v>10</v>
      </c>
      <c r="R52" s="4">
        <v>11</v>
      </c>
    </row>
    <row r="53" s="1" customFormat="1" spans="1:18">
      <c r="A53" s="1">
        <v>20004</v>
      </c>
      <c r="B53" s="1" t="s">
        <v>138</v>
      </c>
      <c r="C53" s="1" t="str">
        <f t="shared" si="0"/>
        <v>2</v>
      </c>
      <c r="D53" s="1" t="s">
        <v>56</v>
      </c>
      <c r="E53" s="1">
        <v>1</v>
      </c>
      <c r="F53" s="5">
        <f t="shared" si="8"/>
        <v>1082</v>
      </c>
      <c r="G53" s="4">
        <v>230</v>
      </c>
      <c r="H53" s="5">
        <f t="shared" si="9"/>
        <v>54</v>
      </c>
      <c r="I53" s="4">
        <v>24.8</v>
      </c>
      <c r="J53" s="4"/>
      <c r="K53" s="5">
        <f t="shared" si="10"/>
        <v>14</v>
      </c>
      <c r="L53" s="4">
        <v>16.2</v>
      </c>
      <c r="M53" s="4"/>
      <c r="N53" s="5">
        <f t="shared" si="11"/>
        <v>47</v>
      </c>
      <c r="O53" s="4">
        <v>21</v>
      </c>
      <c r="P53" s="4"/>
      <c r="Q53" s="5">
        <f t="shared" si="12"/>
        <v>10</v>
      </c>
      <c r="R53" s="4">
        <v>11</v>
      </c>
    </row>
    <row r="54" s="1" customFormat="1" spans="1:18">
      <c r="A54" s="1">
        <v>20005</v>
      </c>
      <c r="B54" s="6" t="s">
        <v>140</v>
      </c>
      <c r="C54" s="1" t="str">
        <f t="shared" si="0"/>
        <v>2</v>
      </c>
      <c r="D54" s="1" t="s">
        <v>84</v>
      </c>
      <c r="E54" s="1">
        <v>1</v>
      </c>
      <c r="F54" s="5">
        <f t="shared" si="8"/>
        <v>1116</v>
      </c>
      <c r="G54" s="4">
        <v>240</v>
      </c>
      <c r="H54" s="5">
        <f t="shared" si="9"/>
        <v>50</v>
      </c>
      <c r="I54" s="4">
        <v>22.6</v>
      </c>
      <c r="J54" s="4"/>
      <c r="K54" s="5">
        <f t="shared" si="10"/>
        <v>15</v>
      </c>
      <c r="L54" s="4">
        <v>17.4</v>
      </c>
      <c r="M54" s="4"/>
      <c r="N54" s="5">
        <f t="shared" si="11"/>
        <v>29</v>
      </c>
      <c r="O54" s="4">
        <v>11</v>
      </c>
      <c r="P54" s="4"/>
      <c r="Q54" s="5">
        <f t="shared" si="12"/>
        <v>10</v>
      </c>
      <c r="R54" s="4">
        <v>10</v>
      </c>
    </row>
    <row r="55" s="1" customFormat="1" spans="1:18">
      <c r="A55" s="1">
        <v>20006</v>
      </c>
      <c r="B55" s="6" t="s">
        <v>142</v>
      </c>
      <c r="C55" s="1" t="str">
        <f t="shared" si="0"/>
        <v>2</v>
      </c>
      <c r="D55" s="1" t="s">
        <v>84</v>
      </c>
      <c r="E55" s="1">
        <v>1</v>
      </c>
      <c r="F55" s="5">
        <f t="shared" si="8"/>
        <v>1150</v>
      </c>
      <c r="G55" s="4">
        <v>250</v>
      </c>
      <c r="H55" s="5">
        <f t="shared" si="9"/>
        <v>46</v>
      </c>
      <c r="I55" s="4">
        <v>20.4</v>
      </c>
      <c r="J55" s="4"/>
      <c r="K55" s="5">
        <f t="shared" si="10"/>
        <v>16</v>
      </c>
      <c r="L55" s="4">
        <v>18.6</v>
      </c>
      <c r="M55" s="4"/>
      <c r="N55" s="5">
        <f t="shared" si="11"/>
        <v>29</v>
      </c>
      <c r="O55" s="4">
        <v>11</v>
      </c>
      <c r="P55" s="4"/>
      <c r="Q55" s="5">
        <f t="shared" si="12"/>
        <v>10</v>
      </c>
      <c r="R55" s="4">
        <v>10</v>
      </c>
    </row>
    <row r="56" s="1" customFormat="1" spans="1:18">
      <c r="A56" s="1">
        <v>20007</v>
      </c>
      <c r="B56" s="7" t="s">
        <v>144</v>
      </c>
      <c r="C56" s="1" t="str">
        <f t="shared" si="0"/>
        <v>2</v>
      </c>
      <c r="D56" s="1" t="s">
        <v>91</v>
      </c>
      <c r="E56" s="1">
        <v>1</v>
      </c>
      <c r="F56" s="5">
        <f t="shared" si="8"/>
        <v>1184</v>
      </c>
      <c r="G56" s="4">
        <v>260</v>
      </c>
      <c r="H56" s="5">
        <f t="shared" si="9"/>
        <v>52</v>
      </c>
      <c r="I56" s="4">
        <v>23.7</v>
      </c>
      <c r="J56" s="4"/>
      <c r="K56" s="5">
        <f t="shared" si="10"/>
        <v>14</v>
      </c>
      <c r="L56" s="4">
        <v>16.2</v>
      </c>
      <c r="M56" s="4"/>
      <c r="N56" s="5">
        <f t="shared" si="11"/>
        <v>29</v>
      </c>
      <c r="O56" s="4">
        <v>11</v>
      </c>
      <c r="P56" s="4"/>
      <c r="Q56" s="5">
        <f t="shared" si="12"/>
        <v>10</v>
      </c>
      <c r="R56" s="4">
        <v>10</v>
      </c>
    </row>
    <row r="57" s="1" customFormat="1" spans="1:18">
      <c r="A57" s="1">
        <v>20008</v>
      </c>
      <c r="B57" s="7" t="s">
        <v>146</v>
      </c>
      <c r="C57" s="1" t="str">
        <f t="shared" si="0"/>
        <v>2</v>
      </c>
      <c r="D57" s="1" t="s">
        <v>81</v>
      </c>
      <c r="E57" s="1">
        <v>1</v>
      </c>
      <c r="F57" s="5">
        <f t="shared" si="8"/>
        <v>1218</v>
      </c>
      <c r="G57" s="4">
        <v>270</v>
      </c>
      <c r="H57" s="5">
        <f t="shared" si="9"/>
        <v>38</v>
      </c>
      <c r="I57" s="4">
        <v>16</v>
      </c>
      <c r="J57" s="4"/>
      <c r="K57" s="5">
        <f t="shared" si="10"/>
        <v>13</v>
      </c>
      <c r="L57" s="4">
        <v>15</v>
      </c>
      <c r="M57" s="4"/>
      <c r="N57" s="5">
        <f t="shared" si="11"/>
        <v>33</v>
      </c>
      <c r="O57" s="4">
        <v>13</v>
      </c>
      <c r="P57" s="4"/>
      <c r="Q57" s="5">
        <f t="shared" si="12"/>
        <v>10</v>
      </c>
      <c r="R57" s="4">
        <v>10</v>
      </c>
    </row>
    <row r="58" s="1" customFormat="1" spans="1:18">
      <c r="A58" s="1">
        <v>20009</v>
      </c>
      <c r="B58" s="7" t="s">
        <v>149</v>
      </c>
      <c r="C58" s="1" t="str">
        <f t="shared" si="0"/>
        <v>2</v>
      </c>
      <c r="D58" s="7" t="s">
        <v>96</v>
      </c>
      <c r="E58" s="1">
        <v>1</v>
      </c>
      <c r="F58" s="5">
        <f t="shared" si="8"/>
        <v>1252</v>
      </c>
      <c r="G58" s="4">
        <v>280</v>
      </c>
      <c r="H58" s="5">
        <f t="shared" si="9"/>
        <v>50</v>
      </c>
      <c r="I58" s="4">
        <v>22.6</v>
      </c>
      <c r="J58" s="4"/>
      <c r="K58" s="5">
        <f t="shared" si="10"/>
        <v>14</v>
      </c>
      <c r="L58" s="4">
        <v>16.2</v>
      </c>
      <c r="M58" s="4"/>
      <c r="N58" s="5">
        <f t="shared" si="11"/>
        <v>35</v>
      </c>
      <c r="O58" s="4">
        <v>14</v>
      </c>
      <c r="P58" s="4"/>
      <c r="Q58" s="5">
        <f t="shared" si="12"/>
        <v>10</v>
      </c>
      <c r="R58" s="4">
        <v>11</v>
      </c>
    </row>
    <row r="59" s="1" customFormat="1" spans="1:18">
      <c r="A59" s="1">
        <v>20010</v>
      </c>
      <c r="B59" s="7" t="s">
        <v>151</v>
      </c>
      <c r="C59" s="1" t="str">
        <f t="shared" si="0"/>
        <v>2</v>
      </c>
      <c r="D59" s="7" t="s">
        <v>78</v>
      </c>
      <c r="E59" s="1">
        <v>1</v>
      </c>
      <c r="F59" s="5">
        <f t="shared" si="8"/>
        <v>1286</v>
      </c>
      <c r="G59" s="4">
        <v>290</v>
      </c>
      <c r="H59" s="5">
        <f t="shared" si="9"/>
        <v>36</v>
      </c>
      <c r="I59" s="4">
        <v>14.9</v>
      </c>
      <c r="J59" s="4"/>
      <c r="K59" s="5">
        <f t="shared" si="10"/>
        <v>13</v>
      </c>
      <c r="L59" s="4">
        <v>15</v>
      </c>
      <c r="M59" s="4"/>
      <c r="N59" s="5">
        <f t="shared" si="11"/>
        <v>42</v>
      </c>
      <c r="O59" s="4">
        <v>18</v>
      </c>
      <c r="P59" s="4"/>
      <c r="Q59" s="5">
        <f t="shared" si="12"/>
        <v>12</v>
      </c>
      <c r="R59" s="4">
        <v>13</v>
      </c>
    </row>
    <row r="60" s="1" customFormat="1" spans="1:18">
      <c r="A60" s="1">
        <v>20011</v>
      </c>
      <c r="B60" s="7" t="s">
        <v>153</v>
      </c>
      <c r="C60" s="1" t="str">
        <f t="shared" si="0"/>
        <v>2</v>
      </c>
      <c r="D60" s="7" t="s">
        <v>74</v>
      </c>
      <c r="E60" s="1">
        <v>1</v>
      </c>
      <c r="F60" s="5">
        <f t="shared" si="8"/>
        <v>1320</v>
      </c>
      <c r="G60" s="4">
        <v>300</v>
      </c>
      <c r="H60" s="5">
        <f t="shared" si="9"/>
        <v>36</v>
      </c>
      <c r="I60" s="4">
        <v>14.9</v>
      </c>
      <c r="J60" s="4"/>
      <c r="K60" s="5">
        <f t="shared" si="10"/>
        <v>13</v>
      </c>
      <c r="L60" s="4">
        <v>15</v>
      </c>
      <c r="M60" s="4"/>
      <c r="N60" s="5">
        <f t="shared" si="11"/>
        <v>38</v>
      </c>
      <c r="O60" s="4">
        <v>16</v>
      </c>
      <c r="P60" s="4"/>
      <c r="Q60" s="5">
        <f t="shared" si="12"/>
        <v>11</v>
      </c>
      <c r="R60" s="4">
        <v>12</v>
      </c>
    </row>
    <row r="61" s="1" customFormat="1" spans="1:18">
      <c r="A61" s="1">
        <v>20012</v>
      </c>
      <c r="B61" s="7" t="s">
        <v>155</v>
      </c>
      <c r="C61" s="1" t="str">
        <f t="shared" si="0"/>
        <v>2</v>
      </c>
      <c r="D61" s="7" t="s">
        <v>56</v>
      </c>
      <c r="E61" s="1">
        <v>1</v>
      </c>
      <c r="F61" s="5">
        <f t="shared" si="8"/>
        <v>1354</v>
      </c>
      <c r="G61" s="4">
        <v>310</v>
      </c>
      <c r="H61" s="5">
        <f t="shared" si="9"/>
        <v>50</v>
      </c>
      <c r="I61" s="4">
        <v>22.6</v>
      </c>
      <c r="J61" s="4"/>
      <c r="K61" s="5">
        <f t="shared" si="10"/>
        <v>14</v>
      </c>
      <c r="L61" s="4">
        <v>16.2</v>
      </c>
      <c r="M61" s="4"/>
      <c r="N61" s="5">
        <f t="shared" si="11"/>
        <v>24</v>
      </c>
      <c r="O61" s="4">
        <v>8</v>
      </c>
      <c r="P61" s="4"/>
      <c r="Q61" s="5">
        <f t="shared" si="12"/>
        <v>9</v>
      </c>
      <c r="R61" s="4">
        <v>9</v>
      </c>
    </row>
    <row r="62" s="1" customFormat="1" spans="1:18">
      <c r="A62" s="1">
        <v>20013</v>
      </c>
      <c r="B62" s="7" t="s">
        <v>157</v>
      </c>
      <c r="C62" s="1" t="str">
        <f t="shared" si="0"/>
        <v>2</v>
      </c>
      <c r="D62" s="7" t="s">
        <v>105</v>
      </c>
      <c r="E62" s="1">
        <v>1</v>
      </c>
      <c r="F62" s="5">
        <f t="shared" si="8"/>
        <v>1388</v>
      </c>
      <c r="G62" s="4">
        <v>320</v>
      </c>
      <c r="H62" s="5">
        <f t="shared" si="9"/>
        <v>54</v>
      </c>
      <c r="I62" s="4">
        <v>24.8</v>
      </c>
      <c r="J62" s="4"/>
      <c r="K62" s="5">
        <f t="shared" si="10"/>
        <v>13</v>
      </c>
      <c r="L62" s="4">
        <v>15</v>
      </c>
      <c r="M62" s="4"/>
      <c r="N62" s="5">
        <f t="shared" si="11"/>
        <v>24</v>
      </c>
      <c r="O62" s="4">
        <v>8</v>
      </c>
      <c r="P62" s="4"/>
      <c r="Q62" s="5">
        <f t="shared" si="12"/>
        <v>9</v>
      </c>
      <c r="R62" s="4">
        <v>9</v>
      </c>
    </row>
    <row r="63" s="1" customFormat="1" spans="1:18">
      <c r="A63" s="1">
        <v>20014</v>
      </c>
      <c r="B63" s="7" t="s">
        <v>159</v>
      </c>
      <c r="C63" s="1" t="str">
        <f t="shared" si="0"/>
        <v>2</v>
      </c>
      <c r="D63" s="1" t="s">
        <v>84</v>
      </c>
      <c r="E63" s="1">
        <v>1</v>
      </c>
      <c r="F63" s="5">
        <f t="shared" si="8"/>
        <v>1422</v>
      </c>
      <c r="G63" s="4">
        <v>330</v>
      </c>
      <c r="H63" s="5">
        <f t="shared" si="9"/>
        <v>44</v>
      </c>
      <c r="I63" s="4">
        <v>19.3</v>
      </c>
      <c r="J63" s="4"/>
      <c r="K63" s="5">
        <f t="shared" si="10"/>
        <v>13</v>
      </c>
      <c r="L63" s="4">
        <v>15</v>
      </c>
      <c r="M63" s="4"/>
      <c r="N63" s="5">
        <f t="shared" si="11"/>
        <v>24</v>
      </c>
      <c r="O63" s="4">
        <v>8</v>
      </c>
      <c r="P63" s="4"/>
      <c r="Q63" s="5">
        <f t="shared" si="12"/>
        <v>9</v>
      </c>
      <c r="R63" s="4">
        <v>9</v>
      </c>
    </row>
    <row r="64" s="1" customFormat="1" spans="1:18">
      <c r="A64" s="1">
        <v>20015</v>
      </c>
      <c r="B64" s="7" t="s">
        <v>160</v>
      </c>
      <c r="C64" s="1" t="str">
        <f t="shared" si="0"/>
        <v>2</v>
      </c>
      <c r="D64" s="1" t="s">
        <v>84</v>
      </c>
      <c r="E64" s="1">
        <v>1</v>
      </c>
      <c r="F64" s="5">
        <f t="shared" si="8"/>
        <v>1456</v>
      </c>
      <c r="G64" s="4">
        <v>340</v>
      </c>
      <c r="H64" s="5">
        <f t="shared" si="9"/>
        <v>40</v>
      </c>
      <c r="I64" s="4">
        <v>17.1</v>
      </c>
      <c r="J64" s="4"/>
      <c r="K64" s="5">
        <f t="shared" si="10"/>
        <v>13</v>
      </c>
      <c r="L64" s="4">
        <v>15</v>
      </c>
      <c r="M64" s="4"/>
      <c r="N64" s="5">
        <f t="shared" si="11"/>
        <v>24</v>
      </c>
      <c r="O64" s="4">
        <v>8</v>
      </c>
      <c r="P64" s="4"/>
      <c r="Q64" s="5">
        <f t="shared" si="12"/>
        <v>9</v>
      </c>
      <c r="R64" s="4">
        <v>9</v>
      </c>
    </row>
    <row r="65" s="1" customFormat="1" ht="15" customHeight="1" spans="1:18">
      <c r="A65" s="1">
        <v>20016</v>
      </c>
      <c r="B65" s="7" t="s">
        <v>161</v>
      </c>
      <c r="C65" s="1" t="str">
        <f t="shared" si="0"/>
        <v>2</v>
      </c>
      <c r="D65" s="1" t="s">
        <v>81</v>
      </c>
      <c r="E65" s="1">
        <v>1</v>
      </c>
      <c r="F65" s="5">
        <f t="shared" si="8"/>
        <v>1490</v>
      </c>
      <c r="G65" s="4">
        <v>350</v>
      </c>
      <c r="H65" s="5">
        <f t="shared" si="9"/>
        <v>36</v>
      </c>
      <c r="I65" s="4">
        <v>14.9</v>
      </c>
      <c r="J65" s="4"/>
      <c r="K65" s="5">
        <f t="shared" si="10"/>
        <v>13</v>
      </c>
      <c r="L65" s="4">
        <v>15</v>
      </c>
      <c r="M65" s="4"/>
      <c r="N65" s="5">
        <f t="shared" si="11"/>
        <v>24</v>
      </c>
      <c r="O65" s="4">
        <v>8</v>
      </c>
      <c r="P65" s="4"/>
      <c r="Q65" s="5">
        <f t="shared" si="12"/>
        <v>9</v>
      </c>
      <c r="R65" s="4">
        <v>9</v>
      </c>
    </row>
    <row r="66" s="1" customFormat="1" spans="1:18">
      <c r="A66" s="1">
        <v>20017</v>
      </c>
      <c r="B66" s="7" t="s">
        <v>162</v>
      </c>
      <c r="C66" s="1" t="str">
        <f t="shared" si="0"/>
        <v>2</v>
      </c>
      <c r="D66" s="1" t="s">
        <v>78</v>
      </c>
      <c r="E66" s="1">
        <v>1</v>
      </c>
      <c r="F66" s="5">
        <f t="shared" si="8"/>
        <v>1524</v>
      </c>
      <c r="G66" s="4">
        <v>360</v>
      </c>
      <c r="H66" s="5">
        <f t="shared" si="9"/>
        <v>36</v>
      </c>
      <c r="I66" s="4">
        <v>14.9</v>
      </c>
      <c r="J66" s="4"/>
      <c r="K66" s="5">
        <f t="shared" si="10"/>
        <v>13</v>
      </c>
      <c r="L66" s="4">
        <v>15</v>
      </c>
      <c r="M66" s="4"/>
      <c r="N66" s="5">
        <f t="shared" si="11"/>
        <v>44</v>
      </c>
      <c r="O66" s="4">
        <v>19</v>
      </c>
      <c r="P66" s="4"/>
      <c r="Q66" s="5">
        <f t="shared" si="12"/>
        <v>9</v>
      </c>
      <c r="R66" s="4">
        <v>9</v>
      </c>
    </row>
    <row r="67" s="1" customFormat="1" spans="1:18">
      <c r="A67" s="1">
        <v>20018</v>
      </c>
      <c r="B67" s="7" t="s">
        <v>163</v>
      </c>
      <c r="C67" s="1" t="str">
        <f t="shared" si="0"/>
        <v>2</v>
      </c>
      <c r="D67" s="7" t="s">
        <v>96</v>
      </c>
      <c r="E67" s="1">
        <v>1</v>
      </c>
      <c r="F67" s="5">
        <f t="shared" si="8"/>
        <v>1558</v>
      </c>
      <c r="G67" s="4">
        <v>370</v>
      </c>
      <c r="H67" s="5">
        <f t="shared" si="9"/>
        <v>48</v>
      </c>
      <c r="I67" s="4">
        <v>21.5</v>
      </c>
      <c r="J67" s="4"/>
      <c r="K67" s="5">
        <f t="shared" si="10"/>
        <v>13</v>
      </c>
      <c r="L67" s="4">
        <v>15</v>
      </c>
      <c r="M67" s="4"/>
      <c r="N67" s="5">
        <f t="shared" si="11"/>
        <v>24</v>
      </c>
      <c r="O67" s="4">
        <v>8</v>
      </c>
      <c r="P67" s="4"/>
      <c r="Q67" s="5">
        <f t="shared" si="12"/>
        <v>9</v>
      </c>
      <c r="R67" s="4">
        <v>9</v>
      </c>
    </row>
    <row r="68" s="1" customFormat="1" spans="1:18">
      <c r="A68" s="1">
        <v>20019</v>
      </c>
      <c r="B68" s="7" t="s">
        <v>164</v>
      </c>
      <c r="C68" s="1" t="str">
        <f t="shared" si="0"/>
        <v>2</v>
      </c>
      <c r="D68" s="1" t="s">
        <v>84</v>
      </c>
      <c r="E68" s="1">
        <v>1</v>
      </c>
      <c r="F68" s="5">
        <f t="shared" si="8"/>
        <v>1592</v>
      </c>
      <c r="G68" s="4">
        <v>380</v>
      </c>
      <c r="H68" s="5">
        <f t="shared" si="9"/>
        <v>42</v>
      </c>
      <c r="I68" s="4">
        <v>18.2</v>
      </c>
      <c r="J68" s="4"/>
      <c r="K68" s="5">
        <f t="shared" si="10"/>
        <v>13</v>
      </c>
      <c r="L68" s="4">
        <v>15</v>
      </c>
      <c r="M68" s="4"/>
      <c r="N68" s="5">
        <f t="shared" si="11"/>
        <v>24</v>
      </c>
      <c r="O68" s="4">
        <v>8</v>
      </c>
      <c r="P68" s="4"/>
      <c r="Q68" s="5">
        <f t="shared" si="12"/>
        <v>9</v>
      </c>
      <c r="R68" s="4">
        <v>9</v>
      </c>
    </row>
    <row r="69" s="1" customFormat="1" spans="1:18">
      <c r="A69" s="1">
        <v>20020</v>
      </c>
      <c r="B69" s="7" t="s">
        <v>165</v>
      </c>
      <c r="C69" s="1" t="str">
        <f t="shared" ref="C69:C132" si="13">LEFT(A69,1)</f>
        <v>2</v>
      </c>
      <c r="D69" s="7" t="s">
        <v>96</v>
      </c>
      <c r="E69" s="1">
        <v>1</v>
      </c>
      <c r="F69" s="5">
        <f t="shared" si="8"/>
        <v>1626</v>
      </c>
      <c r="G69" s="4">
        <v>390</v>
      </c>
      <c r="H69" s="5">
        <f t="shared" si="9"/>
        <v>50</v>
      </c>
      <c r="I69" s="4">
        <v>22.6</v>
      </c>
      <c r="J69" s="4"/>
      <c r="K69" s="5">
        <f t="shared" si="10"/>
        <v>13</v>
      </c>
      <c r="L69" s="4">
        <v>15</v>
      </c>
      <c r="M69" s="4"/>
      <c r="N69" s="5">
        <f t="shared" si="11"/>
        <v>24</v>
      </c>
      <c r="O69" s="4">
        <v>8</v>
      </c>
      <c r="P69" s="4"/>
      <c r="Q69" s="5">
        <f t="shared" si="12"/>
        <v>9</v>
      </c>
      <c r="R69" s="4">
        <v>9</v>
      </c>
    </row>
    <row r="70" s="1" customFormat="1" spans="1:18">
      <c r="A70" s="1">
        <v>20021</v>
      </c>
      <c r="B70" s="7" t="s">
        <v>166</v>
      </c>
      <c r="C70" s="1" t="str">
        <f t="shared" si="13"/>
        <v>2</v>
      </c>
      <c r="D70" s="1" t="s">
        <v>84</v>
      </c>
      <c r="E70" s="1">
        <v>1</v>
      </c>
      <c r="F70" s="5">
        <f t="shared" ref="F70:F101" si="14">INT(G70*$F$1+(C70*$E$1*G70)+$G$1)</f>
        <v>1660</v>
      </c>
      <c r="G70" s="4">
        <v>400</v>
      </c>
      <c r="H70" s="5">
        <f t="shared" ref="H70:H101" si="15">INT(I70*$I$1+(C70*$H$1*I70)+$J$1)</f>
        <v>48</v>
      </c>
      <c r="I70" s="4">
        <v>21.5</v>
      </c>
      <c r="J70" s="4"/>
      <c r="K70" s="5">
        <f t="shared" ref="K70:K101" si="16">INT(L70*$L$1+(C70*$K$1*L70)+$M$1)</f>
        <v>13</v>
      </c>
      <c r="L70" s="4">
        <v>15</v>
      </c>
      <c r="M70" s="4"/>
      <c r="N70" s="5">
        <f t="shared" ref="N70:N101" si="17">INT(O70*$O$1+(C70*$N$1*O70)+$P$1)</f>
        <v>24</v>
      </c>
      <c r="O70" s="4">
        <v>8</v>
      </c>
      <c r="P70" s="4"/>
      <c r="Q70" s="5">
        <f t="shared" ref="Q70:Q101" si="18">INT(R70*$R$1+(C70*$Q$1*R70)+$S$1)</f>
        <v>9</v>
      </c>
      <c r="R70" s="4">
        <v>9</v>
      </c>
    </row>
    <row r="71" s="1" customFormat="1" spans="1:18">
      <c r="A71" s="1">
        <v>20022</v>
      </c>
      <c r="B71" s="7" t="s">
        <v>167</v>
      </c>
      <c r="C71" s="1" t="str">
        <f t="shared" si="13"/>
        <v>2</v>
      </c>
      <c r="D71" s="1" t="s">
        <v>84</v>
      </c>
      <c r="E71" s="1">
        <v>1</v>
      </c>
      <c r="F71" s="5">
        <f t="shared" si="14"/>
        <v>1694</v>
      </c>
      <c r="G71" s="4">
        <v>410</v>
      </c>
      <c r="H71" s="5">
        <f t="shared" si="15"/>
        <v>48</v>
      </c>
      <c r="I71" s="4">
        <v>21.5</v>
      </c>
      <c r="J71" s="4"/>
      <c r="K71" s="5">
        <f t="shared" si="16"/>
        <v>13</v>
      </c>
      <c r="L71" s="4">
        <v>15</v>
      </c>
      <c r="M71" s="4"/>
      <c r="N71" s="5">
        <f t="shared" si="17"/>
        <v>24</v>
      </c>
      <c r="O71" s="4">
        <v>8</v>
      </c>
      <c r="P71" s="4"/>
      <c r="Q71" s="5">
        <f t="shared" si="18"/>
        <v>9</v>
      </c>
      <c r="R71" s="4">
        <v>9</v>
      </c>
    </row>
    <row r="72" s="1" customFormat="1" spans="1:18">
      <c r="A72" s="1">
        <v>20023</v>
      </c>
      <c r="B72" s="7" t="s">
        <v>168</v>
      </c>
      <c r="C72" s="1" t="str">
        <f t="shared" si="13"/>
        <v>2</v>
      </c>
      <c r="D72" s="1" t="s">
        <v>84</v>
      </c>
      <c r="E72" s="1">
        <v>1</v>
      </c>
      <c r="F72" s="5">
        <f t="shared" si="14"/>
        <v>1728</v>
      </c>
      <c r="G72" s="4">
        <v>420</v>
      </c>
      <c r="H72" s="5">
        <f t="shared" si="15"/>
        <v>44</v>
      </c>
      <c r="I72" s="4">
        <v>19.3</v>
      </c>
      <c r="J72" s="4"/>
      <c r="K72" s="5">
        <f t="shared" si="16"/>
        <v>13</v>
      </c>
      <c r="L72" s="4">
        <v>15</v>
      </c>
      <c r="M72" s="4"/>
      <c r="N72" s="5">
        <f t="shared" si="17"/>
        <v>24</v>
      </c>
      <c r="O72" s="4">
        <v>8</v>
      </c>
      <c r="P72" s="4"/>
      <c r="Q72" s="5">
        <f t="shared" si="18"/>
        <v>9</v>
      </c>
      <c r="R72" s="4">
        <v>9</v>
      </c>
    </row>
    <row r="73" s="1" customFormat="1" spans="1:18">
      <c r="A73" s="1">
        <v>20024</v>
      </c>
      <c r="B73" s="7" t="s">
        <v>169</v>
      </c>
      <c r="C73" s="1" t="str">
        <f t="shared" si="13"/>
        <v>2</v>
      </c>
      <c r="D73" s="1" t="s">
        <v>84</v>
      </c>
      <c r="E73" s="1">
        <v>1</v>
      </c>
      <c r="F73" s="5">
        <f t="shared" si="14"/>
        <v>1762</v>
      </c>
      <c r="G73" s="4">
        <v>430</v>
      </c>
      <c r="H73" s="5">
        <f t="shared" si="15"/>
        <v>44</v>
      </c>
      <c r="I73" s="4">
        <v>19.3</v>
      </c>
      <c r="J73" s="4"/>
      <c r="K73" s="5">
        <f t="shared" si="16"/>
        <v>13</v>
      </c>
      <c r="L73" s="4">
        <v>15</v>
      </c>
      <c r="M73" s="4"/>
      <c r="N73" s="5">
        <f t="shared" si="17"/>
        <v>24</v>
      </c>
      <c r="O73" s="4">
        <v>8</v>
      </c>
      <c r="P73" s="4"/>
      <c r="Q73" s="5">
        <f t="shared" si="18"/>
        <v>9</v>
      </c>
      <c r="R73" s="4">
        <v>9</v>
      </c>
    </row>
    <row r="74" s="1" customFormat="1" spans="1:18">
      <c r="A74" s="1">
        <v>20025</v>
      </c>
      <c r="B74" s="7" t="s">
        <v>170</v>
      </c>
      <c r="C74" s="1" t="str">
        <f t="shared" si="13"/>
        <v>2</v>
      </c>
      <c r="D74" s="1" t="s">
        <v>84</v>
      </c>
      <c r="E74" s="1">
        <v>1</v>
      </c>
      <c r="F74" s="5">
        <f t="shared" si="14"/>
        <v>1796</v>
      </c>
      <c r="G74" s="4">
        <v>440</v>
      </c>
      <c r="H74" s="5">
        <f t="shared" si="15"/>
        <v>46</v>
      </c>
      <c r="I74" s="4">
        <v>20.4</v>
      </c>
      <c r="J74" s="4"/>
      <c r="K74" s="5">
        <f t="shared" si="16"/>
        <v>13</v>
      </c>
      <c r="L74" s="4">
        <v>15</v>
      </c>
      <c r="M74" s="4"/>
      <c r="N74" s="5">
        <f t="shared" si="17"/>
        <v>24</v>
      </c>
      <c r="O74" s="4">
        <v>8</v>
      </c>
      <c r="P74" s="4"/>
      <c r="Q74" s="5">
        <f t="shared" si="18"/>
        <v>9</v>
      </c>
      <c r="R74" s="4">
        <v>9</v>
      </c>
    </row>
    <row r="75" s="1" customFormat="1" spans="1:18">
      <c r="A75" s="1">
        <v>30001</v>
      </c>
      <c r="B75" s="1" t="s">
        <v>171</v>
      </c>
      <c r="C75" s="1" t="str">
        <f t="shared" si="13"/>
        <v>3</v>
      </c>
      <c r="D75" s="7" t="s">
        <v>56</v>
      </c>
      <c r="E75" s="1">
        <v>1</v>
      </c>
      <c r="F75" s="5">
        <f t="shared" si="14"/>
        <v>1560</v>
      </c>
      <c r="G75" s="4">
        <v>350</v>
      </c>
      <c r="H75" s="5">
        <f t="shared" si="15"/>
        <v>39</v>
      </c>
      <c r="I75" s="4">
        <v>15</v>
      </c>
      <c r="J75" s="4"/>
      <c r="K75" s="5">
        <f t="shared" si="16"/>
        <v>15</v>
      </c>
      <c r="L75" s="4">
        <v>15</v>
      </c>
      <c r="M75" s="4"/>
      <c r="N75" s="5">
        <f t="shared" si="17"/>
        <v>43</v>
      </c>
      <c r="O75" s="4">
        <v>17</v>
      </c>
      <c r="P75" s="4"/>
      <c r="Q75" s="5">
        <f t="shared" si="18"/>
        <v>13</v>
      </c>
      <c r="R75" s="4">
        <v>13</v>
      </c>
    </row>
    <row r="76" s="1" customFormat="1" spans="1:18">
      <c r="A76" s="1">
        <v>30002</v>
      </c>
      <c r="B76" s="1" t="s">
        <v>173</v>
      </c>
      <c r="C76" s="1" t="str">
        <f t="shared" si="13"/>
        <v>3</v>
      </c>
      <c r="D76" s="6" t="s">
        <v>84</v>
      </c>
      <c r="E76" s="1">
        <v>1</v>
      </c>
      <c r="F76" s="5">
        <f t="shared" si="14"/>
        <v>1578</v>
      </c>
      <c r="G76" s="4">
        <v>355</v>
      </c>
      <c r="H76" s="5">
        <f t="shared" si="15"/>
        <v>49</v>
      </c>
      <c r="I76" s="4">
        <v>20.4</v>
      </c>
      <c r="J76" s="4"/>
      <c r="K76" s="5">
        <f t="shared" si="16"/>
        <v>17</v>
      </c>
      <c r="L76" s="4">
        <v>18.6</v>
      </c>
      <c r="M76" s="4"/>
      <c r="N76" s="5">
        <f t="shared" si="17"/>
        <v>27</v>
      </c>
      <c r="O76" s="4">
        <v>9</v>
      </c>
      <c r="P76" s="4"/>
      <c r="Q76" s="5">
        <f t="shared" si="18"/>
        <v>11</v>
      </c>
      <c r="R76" s="4">
        <v>10</v>
      </c>
    </row>
    <row r="77" s="1" customFormat="1" spans="1:18">
      <c r="A77" s="1">
        <v>30003</v>
      </c>
      <c r="B77" s="3" t="s">
        <v>175</v>
      </c>
      <c r="C77" s="1" t="str">
        <f t="shared" si="13"/>
        <v>3</v>
      </c>
      <c r="D77" s="6" t="s">
        <v>84</v>
      </c>
      <c r="E77" s="1">
        <v>1</v>
      </c>
      <c r="F77" s="5">
        <f t="shared" si="14"/>
        <v>1596</v>
      </c>
      <c r="G77" s="4">
        <v>360</v>
      </c>
      <c r="H77" s="5">
        <f t="shared" si="15"/>
        <v>54</v>
      </c>
      <c r="I77" s="4">
        <v>22.6</v>
      </c>
      <c r="J77" s="4"/>
      <c r="K77" s="5">
        <f t="shared" si="16"/>
        <v>16</v>
      </c>
      <c r="L77" s="4">
        <v>17.4</v>
      </c>
      <c r="M77" s="4"/>
      <c r="N77" s="5">
        <f t="shared" si="17"/>
        <v>27</v>
      </c>
      <c r="O77" s="4">
        <v>9</v>
      </c>
      <c r="P77" s="4"/>
      <c r="Q77" s="5">
        <f t="shared" si="18"/>
        <v>11</v>
      </c>
      <c r="R77" s="4">
        <v>10</v>
      </c>
    </row>
    <row r="78" s="1" customFormat="1" spans="1:18">
      <c r="A78" s="1">
        <v>30004</v>
      </c>
      <c r="B78" s="6" t="s">
        <v>177</v>
      </c>
      <c r="C78" s="1" t="str">
        <f t="shared" si="13"/>
        <v>3</v>
      </c>
      <c r="D78" s="6" t="s">
        <v>84</v>
      </c>
      <c r="E78" s="1">
        <v>1</v>
      </c>
      <c r="F78" s="5">
        <f t="shared" si="14"/>
        <v>1614</v>
      </c>
      <c r="G78" s="4">
        <v>365</v>
      </c>
      <c r="H78" s="5">
        <f t="shared" si="15"/>
        <v>60</v>
      </c>
      <c r="I78" s="4">
        <v>25.9</v>
      </c>
      <c r="J78" s="4"/>
      <c r="K78" s="5">
        <f t="shared" si="16"/>
        <v>17</v>
      </c>
      <c r="L78" s="4">
        <v>18.6</v>
      </c>
      <c r="M78" s="4"/>
      <c r="N78" s="5">
        <f t="shared" si="17"/>
        <v>29</v>
      </c>
      <c r="O78" s="4">
        <v>10</v>
      </c>
      <c r="P78" s="4"/>
      <c r="Q78" s="5">
        <f t="shared" si="18"/>
        <v>12</v>
      </c>
      <c r="R78" s="4">
        <v>12</v>
      </c>
    </row>
    <row r="79" s="1" customFormat="1" spans="1:18">
      <c r="A79" s="1">
        <v>30005</v>
      </c>
      <c r="B79" s="6" t="s">
        <v>179</v>
      </c>
      <c r="C79" s="1" t="str">
        <f t="shared" si="13"/>
        <v>3</v>
      </c>
      <c r="D79" s="6" t="s">
        <v>84</v>
      </c>
      <c r="E79" s="1">
        <v>1</v>
      </c>
      <c r="F79" s="5">
        <f t="shared" si="14"/>
        <v>1632</v>
      </c>
      <c r="G79" s="4">
        <v>370</v>
      </c>
      <c r="H79" s="5">
        <f t="shared" si="15"/>
        <v>62</v>
      </c>
      <c r="I79" s="4">
        <v>27</v>
      </c>
      <c r="J79" s="4"/>
      <c r="K79" s="5">
        <f t="shared" si="16"/>
        <v>16</v>
      </c>
      <c r="L79" s="4">
        <v>17.4</v>
      </c>
      <c r="M79" s="4"/>
      <c r="N79" s="5">
        <f t="shared" si="17"/>
        <v>27</v>
      </c>
      <c r="O79" s="4">
        <v>9</v>
      </c>
      <c r="P79" s="4"/>
      <c r="Q79" s="5">
        <f t="shared" si="18"/>
        <v>11</v>
      </c>
      <c r="R79" s="4">
        <v>11</v>
      </c>
    </row>
    <row r="80" s="1" customFormat="1" spans="1:18">
      <c r="A80" s="1">
        <v>30006</v>
      </c>
      <c r="B80" s="6" t="s">
        <v>181</v>
      </c>
      <c r="C80" s="1" t="str">
        <f t="shared" si="13"/>
        <v>3</v>
      </c>
      <c r="D80" s="6" t="s">
        <v>84</v>
      </c>
      <c r="E80" s="1">
        <v>1</v>
      </c>
      <c r="F80" s="5">
        <f t="shared" si="14"/>
        <v>1650</v>
      </c>
      <c r="G80" s="4">
        <v>375</v>
      </c>
      <c r="H80" s="5">
        <f t="shared" si="15"/>
        <v>58</v>
      </c>
      <c r="I80" s="4">
        <v>24.8</v>
      </c>
      <c r="J80" s="4"/>
      <c r="K80" s="5">
        <f t="shared" si="16"/>
        <v>16</v>
      </c>
      <c r="L80" s="4">
        <v>17.4</v>
      </c>
      <c r="M80" s="4"/>
      <c r="N80" s="5">
        <f t="shared" si="17"/>
        <v>27</v>
      </c>
      <c r="O80" s="4">
        <v>9</v>
      </c>
      <c r="P80" s="4"/>
      <c r="Q80" s="5">
        <f t="shared" si="18"/>
        <v>11</v>
      </c>
      <c r="R80" s="4">
        <v>11</v>
      </c>
    </row>
    <row r="81" s="1" customFormat="1" spans="1:18">
      <c r="A81" s="1">
        <v>30007</v>
      </c>
      <c r="B81" s="6" t="s">
        <v>183</v>
      </c>
      <c r="C81" s="1" t="str">
        <f t="shared" si="13"/>
        <v>3</v>
      </c>
      <c r="D81" s="6" t="s">
        <v>84</v>
      </c>
      <c r="E81" s="1">
        <v>1</v>
      </c>
      <c r="F81" s="5">
        <f t="shared" si="14"/>
        <v>1668</v>
      </c>
      <c r="G81" s="4">
        <v>380</v>
      </c>
      <c r="H81" s="5">
        <f t="shared" si="15"/>
        <v>54</v>
      </c>
      <c r="I81" s="4">
        <v>22.6</v>
      </c>
      <c r="J81" s="4"/>
      <c r="K81" s="5">
        <f t="shared" si="16"/>
        <v>19</v>
      </c>
      <c r="L81" s="4">
        <v>21</v>
      </c>
      <c r="M81" s="4"/>
      <c r="N81" s="5">
        <f t="shared" si="17"/>
        <v>25</v>
      </c>
      <c r="O81" s="4">
        <v>8</v>
      </c>
      <c r="P81" s="4"/>
      <c r="Q81" s="5">
        <f t="shared" si="18"/>
        <v>11</v>
      </c>
      <c r="R81" s="4">
        <v>10</v>
      </c>
    </row>
    <row r="82" s="1" customFormat="1" spans="1:18">
      <c r="A82" s="1">
        <v>30008</v>
      </c>
      <c r="B82" s="7" t="s">
        <v>185</v>
      </c>
      <c r="C82" s="1" t="str">
        <f t="shared" si="13"/>
        <v>3</v>
      </c>
      <c r="D82" s="7" t="s">
        <v>91</v>
      </c>
      <c r="E82" s="1">
        <v>1</v>
      </c>
      <c r="F82" s="5">
        <f t="shared" si="14"/>
        <v>1686</v>
      </c>
      <c r="G82" s="4">
        <v>385</v>
      </c>
      <c r="H82" s="5">
        <f t="shared" si="15"/>
        <v>60</v>
      </c>
      <c r="I82" s="4">
        <v>25.9</v>
      </c>
      <c r="J82" s="4"/>
      <c r="K82" s="5">
        <f t="shared" si="16"/>
        <v>17</v>
      </c>
      <c r="L82" s="4">
        <v>18.6</v>
      </c>
      <c r="M82" s="4"/>
      <c r="N82" s="5">
        <f t="shared" si="17"/>
        <v>27</v>
      </c>
      <c r="O82" s="4">
        <v>9</v>
      </c>
      <c r="P82" s="4"/>
      <c r="Q82" s="5">
        <f t="shared" si="18"/>
        <v>13</v>
      </c>
      <c r="R82" s="4">
        <v>13</v>
      </c>
    </row>
    <row r="83" s="1" customFormat="1" spans="1:18">
      <c r="A83" s="1">
        <v>30009</v>
      </c>
      <c r="B83" s="7" t="s">
        <v>187</v>
      </c>
      <c r="C83" s="1" t="str">
        <f t="shared" si="13"/>
        <v>3</v>
      </c>
      <c r="D83" s="7" t="s">
        <v>91</v>
      </c>
      <c r="E83" s="1">
        <v>1</v>
      </c>
      <c r="F83" s="5">
        <f t="shared" si="14"/>
        <v>1704</v>
      </c>
      <c r="G83" s="4">
        <v>390</v>
      </c>
      <c r="H83" s="5">
        <f t="shared" si="15"/>
        <v>62</v>
      </c>
      <c r="I83" s="4">
        <v>27</v>
      </c>
      <c r="J83" s="4"/>
      <c r="K83" s="5">
        <f t="shared" si="16"/>
        <v>16</v>
      </c>
      <c r="L83" s="4">
        <v>17.4</v>
      </c>
      <c r="M83" s="4"/>
      <c r="N83" s="5">
        <f t="shared" si="17"/>
        <v>27</v>
      </c>
      <c r="O83" s="4">
        <v>9</v>
      </c>
      <c r="P83" s="4"/>
      <c r="Q83" s="5">
        <f t="shared" si="18"/>
        <v>12</v>
      </c>
      <c r="R83" s="4">
        <v>12</v>
      </c>
    </row>
    <row r="84" s="1" customFormat="1" spans="1:18">
      <c r="A84" s="1">
        <v>30010</v>
      </c>
      <c r="B84" s="7" t="s">
        <v>189</v>
      </c>
      <c r="C84" s="1" t="str">
        <f t="shared" si="13"/>
        <v>3</v>
      </c>
      <c r="D84" s="7" t="s">
        <v>91</v>
      </c>
      <c r="E84" s="1">
        <v>1</v>
      </c>
      <c r="F84" s="5">
        <f t="shared" si="14"/>
        <v>1722</v>
      </c>
      <c r="G84" s="4">
        <v>395</v>
      </c>
      <c r="H84" s="5">
        <f t="shared" si="15"/>
        <v>58</v>
      </c>
      <c r="I84" s="4">
        <v>24.8</v>
      </c>
      <c r="J84" s="4"/>
      <c r="K84" s="5">
        <f t="shared" si="16"/>
        <v>18</v>
      </c>
      <c r="L84" s="4">
        <v>19.8</v>
      </c>
      <c r="M84" s="4"/>
      <c r="N84" s="5">
        <f t="shared" si="17"/>
        <v>29</v>
      </c>
      <c r="O84" s="4">
        <v>10</v>
      </c>
      <c r="P84" s="4"/>
      <c r="Q84" s="5">
        <f t="shared" si="18"/>
        <v>12</v>
      </c>
      <c r="R84" s="4">
        <v>12</v>
      </c>
    </row>
    <row r="85" s="1" customFormat="1" spans="1:18">
      <c r="A85" s="1">
        <v>30011</v>
      </c>
      <c r="B85" s="7" t="s">
        <v>191</v>
      </c>
      <c r="C85" s="1" t="str">
        <f t="shared" si="13"/>
        <v>3</v>
      </c>
      <c r="D85" s="7" t="s">
        <v>81</v>
      </c>
      <c r="E85" s="1">
        <v>1</v>
      </c>
      <c r="F85" s="5">
        <f t="shared" si="14"/>
        <v>1740</v>
      </c>
      <c r="G85" s="4">
        <v>400</v>
      </c>
      <c r="H85" s="5">
        <f t="shared" si="15"/>
        <v>49</v>
      </c>
      <c r="I85" s="4">
        <v>20.4</v>
      </c>
      <c r="J85" s="4"/>
      <c r="K85" s="5">
        <f t="shared" si="16"/>
        <v>16</v>
      </c>
      <c r="L85" s="4">
        <v>17.4</v>
      </c>
      <c r="M85" s="4"/>
      <c r="N85" s="5">
        <f t="shared" si="17"/>
        <v>27</v>
      </c>
      <c r="O85" s="4">
        <v>9</v>
      </c>
      <c r="P85" s="4"/>
      <c r="Q85" s="5">
        <f t="shared" si="18"/>
        <v>12</v>
      </c>
      <c r="R85" s="4">
        <v>12</v>
      </c>
    </row>
    <row r="86" s="1" customFormat="1" spans="1:18">
      <c r="A86" s="1">
        <v>30012</v>
      </c>
      <c r="B86" s="7" t="s">
        <v>194</v>
      </c>
      <c r="C86" s="1" t="str">
        <f t="shared" si="13"/>
        <v>3</v>
      </c>
      <c r="D86" s="7" t="s">
        <v>81</v>
      </c>
      <c r="E86" s="1">
        <v>1</v>
      </c>
      <c r="F86" s="5">
        <f t="shared" si="14"/>
        <v>1758</v>
      </c>
      <c r="G86" s="4">
        <v>405</v>
      </c>
      <c r="H86" s="5">
        <f t="shared" si="15"/>
        <v>51</v>
      </c>
      <c r="I86" s="4">
        <v>21.5</v>
      </c>
      <c r="J86" s="4"/>
      <c r="K86" s="5">
        <f t="shared" si="16"/>
        <v>16</v>
      </c>
      <c r="L86" s="4">
        <v>17.4</v>
      </c>
      <c r="M86" s="4"/>
      <c r="N86" s="5">
        <f t="shared" si="17"/>
        <v>27</v>
      </c>
      <c r="O86" s="4">
        <v>9</v>
      </c>
      <c r="P86" s="4"/>
      <c r="Q86" s="5">
        <f t="shared" si="18"/>
        <v>12</v>
      </c>
      <c r="R86" s="4">
        <v>12</v>
      </c>
    </row>
    <row r="87" s="1" customFormat="1" spans="1:18">
      <c r="A87" s="1">
        <v>30013</v>
      </c>
      <c r="B87" s="7" t="s">
        <v>196</v>
      </c>
      <c r="C87" s="1" t="str">
        <f t="shared" si="13"/>
        <v>3</v>
      </c>
      <c r="D87" s="7" t="s">
        <v>81</v>
      </c>
      <c r="E87" s="1">
        <v>1</v>
      </c>
      <c r="F87" s="5">
        <f t="shared" si="14"/>
        <v>1776</v>
      </c>
      <c r="G87" s="4">
        <v>410</v>
      </c>
      <c r="H87" s="5">
        <f t="shared" si="15"/>
        <v>54</v>
      </c>
      <c r="I87" s="4">
        <v>22.6</v>
      </c>
      <c r="J87" s="4"/>
      <c r="K87" s="5">
        <f t="shared" si="16"/>
        <v>16</v>
      </c>
      <c r="L87" s="4">
        <v>17.4</v>
      </c>
      <c r="M87" s="4"/>
      <c r="N87" s="5">
        <f t="shared" si="17"/>
        <v>27</v>
      </c>
      <c r="O87" s="4">
        <v>9</v>
      </c>
      <c r="P87" s="4"/>
      <c r="Q87" s="5">
        <f t="shared" si="18"/>
        <v>12</v>
      </c>
      <c r="R87" s="4">
        <v>12</v>
      </c>
    </row>
    <row r="88" s="1" customFormat="1" spans="1:18">
      <c r="A88" s="1">
        <v>30014</v>
      </c>
      <c r="B88" s="7" t="s">
        <v>198</v>
      </c>
      <c r="C88" s="1" t="str">
        <f t="shared" si="13"/>
        <v>3</v>
      </c>
      <c r="D88" s="7" t="s">
        <v>96</v>
      </c>
      <c r="E88" s="1">
        <v>1</v>
      </c>
      <c r="F88" s="5">
        <f t="shared" si="14"/>
        <v>1794</v>
      </c>
      <c r="G88" s="4">
        <v>415</v>
      </c>
      <c r="H88" s="5">
        <f t="shared" si="15"/>
        <v>60</v>
      </c>
      <c r="I88" s="4">
        <v>25.9</v>
      </c>
      <c r="J88" s="4"/>
      <c r="K88" s="5">
        <f t="shared" si="16"/>
        <v>17</v>
      </c>
      <c r="L88" s="4">
        <v>18.6</v>
      </c>
      <c r="M88" s="4"/>
      <c r="N88" s="5">
        <f t="shared" si="17"/>
        <v>31</v>
      </c>
      <c r="O88" s="4">
        <v>11</v>
      </c>
      <c r="P88" s="4"/>
      <c r="Q88" s="5">
        <f t="shared" si="18"/>
        <v>15</v>
      </c>
      <c r="R88" s="4">
        <v>15</v>
      </c>
    </row>
    <row r="89" s="1" customFormat="1" spans="1:18">
      <c r="A89" s="1">
        <v>30015</v>
      </c>
      <c r="B89" s="7" t="s">
        <v>200</v>
      </c>
      <c r="C89" s="1" t="str">
        <f t="shared" si="13"/>
        <v>3</v>
      </c>
      <c r="D89" s="7" t="s">
        <v>96</v>
      </c>
      <c r="E89" s="1">
        <v>1</v>
      </c>
      <c r="F89" s="5">
        <f t="shared" si="14"/>
        <v>1812</v>
      </c>
      <c r="G89" s="4">
        <v>420</v>
      </c>
      <c r="H89" s="5">
        <f t="shared" si="15"/>
        <v>62</v>
      </c>
      <c r="I89" s="4">
        <v>27</v>
      </c>
      <c r="J89" s="4"/>
      <c r="K89" s="5">
        <f t="shared" si="16"/>
        <v>17</v>
      </c>
      <c r="L89" s="4">
        <v>18.6</v>
      </c>
      <c r="M89" s="4"/>
      <c r="N89" s="5">
        <f t="shared" si="17"/>
        <v>27</v>
      </c>
      <c r="O89" s="4">
        <v>9</v>
      </c>
      <c r="P89" s="4"/>
      <c r="Q89" s="5">
        <f t="shared" si="18"/>
        <v>11</v>
      </c>
      <c r="R89" s="4">
        <v>11</v>
      </c>
    </row>
    <row r="90" s="1" customFormat="1" spans="1:18">
      <c r="A90" s="1">
        <v>30016</v>
      </c>
      <c r="B90" s="7" t="s">
        <v>202</v>
      </c>
      <c r="C90" s="1" t="str">
        <f t="shared" si="13"/>
        <v>3</v>
      </c>
      <c r="D90" s="7" t="s">
        <v>96</v>
      </c>
      <c r="E90" s="1">
        <v>1</v>
      </c>
      <c r="F90" s="5">
        <f t="shared" si="14"/>
        <v>1830</v>
      </c>
      <c r="G90" s="4">
        <v>425</v>
      </c>
      <c r="H90" s="5">
        <f t="shared" si="15"/>
        <v>60</v>
      </c>
      <c r="I90" s="4">
        <v>25.9</v>
      </c>
      <c r="J90" s="4"/>
      <c r="K90" s="5">
        <f t="shared" si="16"/>
        <v>18</v>
      </c>
      <c r="L90" s="4">
        <v>19.8</v>
      </c>
      <c r="M90" s="4"/>
      <c r="N90" s="5">
        <f t="shared" si="17"/>
        <v>29</v>
      </c>
      <c r="O90" s="4">
        <v>10</v>
      </c>
      <c r="P90" s="4"/>
      <c r="Q90" s="5">
        <f t="shared" si="18"/>
        <v>12</v>
      </c>
      <c r="R90" s="4">
        <v>12</v>
      </c>
    </row>
    <row r="91" s="1" customFormat="1" spans="1:18">
      <c r="A91" s="1">
        <v>30017</v>
      </c>
      <c r="B91" s="7" t="s">
        <v>204</v>
      </c>
      <c r="C91" s="1" t="str">
        <f t="shared" si="13"/>
        <v>3</v>
      </c>
      <c r="D91" s="7" t="s">
        <v>78</v>
      </c>
      <c r="E91" s="1">
        <v>1</v>
      </c>
      <c r="F91" s="5">
        <f t="shared" si="14"/>
        <v>1848</v>
      </c>
      <c r="G91" s="4">
        <v>430</v>
      </c>
      <c r="H91" s="5">
        <f t="shared" si="15"/>
        <v>34</v>
      </c>
      <c r="I91" s="4">
        <v>12.7</v>
      </c>
      <c r="J91" s="4"/>
      <c r="K91" s="5">
        <f t="shared" si="16"/>
        <v>15</v>
      </c>
      <c r="L91" s="4">
        <v>16.2</v>
      </c>
      <c r="M91" s="4"/>
      <c r="N91" s="5">
        <f t="shared" si="17"/>
        <v>47</v>
      </c>
      <c r="O91" s="4">
        <v>19</v>
      </c>
      <c r="P91" s="4"/>
      <c r="Q91" s="5">
        <f t="shared" si="18"/>
        <v>13</v>
      </c>
      <c r="R91" s="4">
        <v>13</v>
      </c>
    </row>
    <row r="92" s="1" customFormat="1" spans="1:18">
      <c r="A92" s="1">
        <v>30018</v>
      </c>
      <c r="B92" s="7" t="s">
        <v>206</v>
      </c>
      <c r="C92" s="1" t="str">
        <f t="shared" si="13"/>
        <v>3</v>
      </c>
      <c r="D92" s="7" t="s">
        <v>78</v>
      </c>
      <c r="E92" s="1">
        <v>1</v>
      </c>
      <c r="F92" s="5">
        <f t="shared" si="14"/>
        <v>1866</v>
      </c>
      <c r="G92" s="4">
        <v>435</v>
      </c>
      <c r="H92" s="5">
        <f t="shared" si="15"/>
        <v>36</v>
      </c>
      <c r="I92" s="4">
        <v>13.8</v>
      </c>
      <c r="J92" s="4"/>
      <c r="K92" s="5">
        <f t="shared" si="16"/>
        <v>15</v>
      </c>
      <c r="L92" s="4">
        <v>16.2</v>
      </c>
      <c r="M92" s="4"/>
      <c r="N92" s="5">
        <f t="shared" si="17"/>
        <v>45</v>
      </c>
      <c r="O92" s="4">
        <v>18</v>
      </c>
      <c r="P92" s="4"/>
      <c r="Q92" s="5">
        <f t="shared" si="18"/>
        <v>13</v>
      </c>
      <c r="R92" s="4">
        <v>13</v>
      </c>
    </row>
    <row r="93" s="1" customFormat="1" spans="1:18">
      <c r="A93" s="1">
        <v>30019</v>
      </c>
      <c r="B93" s="7" t="s">
        <v>208</v>
      </c>
      <c r="C93" s="1" t="str">
        <f t="shared" si="13"/>
        <v>3</v>
      </c>
      <c r="D93" s="7" t="s">
        <v>78</v>
      </c>
      <c r="E93" s="1">
        <v>1</v>
      </c>
      <c r="F93" s="5">
        <f t="shared" si="14"/>
        <v>1884</v>
      </c>
      <c r="G93" s="4">
        <v>440</v>
      </c>
      <c r="H93" s="5">
        <f t="shared" si="15"/>
        <v>39</v>
      </c>
      <c r="I93" s="4">
        <v>14.9</v>
      </c>
      <c r="J93" s="4"/>
      <c r="K93" s="5">
        <f t="shared" si="16"/>
        <v>16</v>
      </c>
      <c r="L93" s="4">
        <v>17.4</v>
      </c>
      <c r="M93" s="4"/>
      <c r="N93" s="5">
        <f t="shared" si="17"/>
        <v>45</v>
      </c>
      <c r="O93" s="4">
        <v>18</v>
      </c>
      <c r="P93" s="4"/>
      <c r="Q93" s="5">
        <f t="shared" si="18"/>
        <v>14</v>
      </c>
      <c r="R93" s="4">
        <v>14</v>
      </c>
    </row>
    <row r="94" s="1" customFormat="1" spans="1:18">
      <c r="A94" s="1">
        <v>30020</v>
      </c>
      <c r="B94" s="7" t="s">
        <v>210</v>
      </c>
      <c r="C94" s="1" t="str">
        <f t="shared" si="13"/>
        <v>3</v>
      </c>
      <c r="D94" s="7" t="s">
        <v>74</v>
      </c>
      <c r="E94" s="1">
        <v>1</v>
      </c>
      <c r="F94" s="5">
        <f t="shared" si="14"/>
        <v>1902</v>
      </c>
      <c r="G94" s="4">
        <v>445</v>
      </c>
      <c r="H94" s="5">
        <f t="shared" si="15"/>
        <v>39</v>
      </c>
      <c r="I94" s="4">
        <v>14.9</v>
      </c>
      <c r="J94" s="4"/>
      <c r="K94" s="5">
        <f t="shared" si="16"/>
        <v>16</v>
      </c>
      <c r="L94" s="4">
        <v>17.4</v>
      </c>
      <c r="M94" s="4"/>
      <c r="N94" s="5">
        <f t="shared" si="17"/>
        <v>45</v>
      </c>
      <c r="O94" s="4">
        <v>18</v>
      </c>
      <c r="P94" s="4"/>
      <c r="Q94" s="5">
        <f t="shared" si="18"/>
        <v>15</v>
      </c>
      <c r="R94" s="4">
        <v>15</v>
      </c>
    </row>
    <row r="95" s="1" customFormat="1" spans="1:18">
      <c r="A95" s="1">
        <v>30021</v>
      </c>
      <c r="B95" s="7" t="s">
        <v>212</v>
      </c>
      <c r="C95" s="1" t="str">
        <f t="shared" si="13"/>
        <v>3</v>
      </c>
      <c r="D95" s="7" t="s">
        <v>74</v>
      </c>
      <c r="E95" s="1">
        <v>1</v>
      </c>
      <c r="F95" s="5">
        <f t="shared" si="14"/>
        <v>1920</v>
      </c>
      <c r="G95" s="4">
        <v>450</v>
      </c>
      <c r="H95" s="5">
        <f t="shared" si="15"/>
        <v>39</v>
      </c>
      <c r="I95" s="4">
        <v>14.9</v>
      </c>
      <c r="J95" s="4"/>
      <c r="K95" s="5">
        <f t="shared" si="16"/>
        <v>16</v>
      </c>
      <c r="L95" s="4">
        <v>17.4</v>
      </c>
      <c r="M95" s="4"/>
      <c r="N95" s="5">
        <f t="shared" si="17"/>
        <v>45</v>
      </c>
      <c r="O95" s="4">
        <v>18</v>
      </c>
      <c r="P95" s="4"/>
      <c r="Q95" s="5">
        <f t="shared" si="18"/>
        <v>14</v>
      </c>
      <c r="R95" s="4">
        <v>14</v>
      </c>
    </row>
    <row r="96" s="1" customFormat="1" spans="1:18">
      <c r="A96" s="1">
        <v>30022</v>
      </c>
      <c r="B96" s="7" t="s">
        <v>214</v>
      </c>
      <c r="C96" s="1" t="str">
        <f t="shared" si="13"/>
        <v>3</v>
      </c>
      <c r="D96" s="7" t="s">
        <v>74</v>
      </c>
      <c r="E96" s="1">
        <v>1</v>
      </c>
      <c r="F96" s="5">
        <f t="shared" si="14"/>
        <v>1938</v>
      </c>
      <c r="G96" s="4">
        <v>455</v>
      </c>
      <c r="H96" s="5">
        <f t="shared" si="15"/>
        <v>36</v>
      </c>
      <c r="I96" s="4">
        <v>13.8</v>
      </c>
      <c r="J96" s="4"/>
      <c r="K96" s="5">
        <f t="shared" si="16"/>
        <v>18</v>
      </c>
      <c r="L96" s="4">
        <v>19.8</v>
      </c>
      <c r="M96" s="4"/>
      <c r="N96" s="5">
        <f t="shared" si="17"/>
        <v>45</v>
      </c>
      <c r="O96" s="4">
        <v>18</v>
      </c>
      <c r="P96" s="4"/>
      <c r="Q96" s="5">
        <f t="shared" si="18"/>
        <v>15</v>
      </c>
      <c r="R96" s="4">
        <v>15</v>
      </c>
    </row>
    <row r="97" s="1" customFormat="1" spans="1:18">
      <c r="A97" s="1">
        <v>30023</v>
      </c>
      <c r="B97" s="7" t="s">
        <v>216</v>
      </c>
      <c r="C97" s="1" t="str">
        <f t="shared" si="13"/>
        <v>3</v>
      </c>
      <c r="D97" s="7" t="s">
        <v>56</v>
      </c>
      <c r="E97" s="1">
        <v>1</v>
      </c>
      <c r="F97" s="5">
        <f t="shared" si="14"/>
        <v>1956</v>
      </c>
      <c r="G97" s="4">
        <v>460</v>
      </c>
      <c r="H97" s="5">
        <f t="shared" si="15"/>
        <v>64</v>
      </c>
      <c r="I97" s="4">
        <v>28.1</v>
      </c>
      <c r="J97" s="4"/>
      <c r="K97" s="5">
        <f t="shared" si="16"/>
        <v>17</v>
      </c>
      <c r="L97" s="4">
        <v>18.6</v>
      </c>
      <c r="M97" s="4"/>
      <c r="N97" s="5">
        <f t="shared" si="17"/>
        <v>29</v>
      </c>
      <c r="O97" s="4">
        <v>10</v>
      </c>
      <c r="P97" s="4"/>
      <c r="Q97" s="5">
        <f t="shared" si="18"/>
        <v>11</v>
      </c>
      <c r="R97" s="4">
        <v>10</v>
      </c>
    </row>
    <row r="98" s="1" customFormat="1" spans="1:18">
      <c r="A98" s="1">
        <v>30024</v>
      </c>
      <c r="B98" s="7" t="s">
        <v>218</v>
      </c>
      <c r="C98" s="1" t="str">
        <f t="shared" si="13"/>
        <v>3</v>
      </c>
      <c r="D98" s="7" t="s">
        <v>56</v>
      </c>
      <c r="E98" s="1">
        <v>1</v>
      </c>
      <c r="F98" s="5">
        <f t="shared" si="14"/>
        <v>1974</v>
      </c>
      <c r="G98" s="4">
        <v>465</v>
      </c>
      <c r="H98" s="5">
        <f t="shared" si="15"/>
        <v>60</v>
      </c>
      <c r="I98" s="4">
        <v>25.9</v>
      </c>
      <c r="J98" s="4"/>
      <c r="K98" s="5">
        <f t="shared" si="16"/>
        <v>16</v>
      </c>
      <c r="L98" s="4">
        <v>17.4</v>
      </c>
      <c r="M98" s="4"/>
      <c r="N98" s="5">
        <f t="shared" si="17"/>
        <v>29</v>
      </c>
      <c r="O98" s="4">
        <v>10</v>
      </c>
      <c r="P98" s="4"/>
      <c r="Q98" s="5">
        <f t="shared" si="18"/>
        <v>11</v>
      </c>
      <c r="R98" s="4">
        <v>11</v>
      </c>
    </row>
    <row r="99" s="1" customFormat="1" spans="1:18">
      <c r="A99" s="1">
        <v>30025</v>
      </c>
      <c r="B99" s="7" t="s">
        <v>220</v>
      </c>
      <c r="C99" s="1" t="str">
        <f t="shared" si="13"/>
        <v>3</v>
      </c>
      <c r="D99" s="7" t="s">
        <v>56</v>
      </c>
      <c r="E99" s="1">
        <v>1</v>
      </c>
      <c r="F99" s="5">
        <f t="shared" si="14"/>
        <v>1992</v>
      </c>
      <c r="G99" s="4">
        <v>470</v>
      </c>
      <c r="H99" s="5">
        <f t="shared" si="15"/>
        <v>39</v>
      </c>
      <c r="I99" s="4">
        <v>15</v>
      </c>
      <c r="J99" s="4"/>
      <c r="K99" s="5">
        <f t="shared" si="16"/>
        <v>15</v>
      </c>
      <c r="L99" s="4">
        <v>16.2</v>
      </c>
      <c r="M99" s="4"/>
      <c r="N99" s="5">
        <f t="shared" si="17"/>
        <v>45</v>
      </c>
      <c r="O99" s="4">
        <v>18</v>
      </c>
      <c r="P99" s="4"/>
      <c r="Q99" s="5">
        <f t="shared" si="18"/>
        <v>13</v>
      </c>
      <c r="R99" s="4">
        <v>13</v>
      </c>
    </row>
    <row r="100" s="1" customFormat="1" spans="1:18">
      <c r="A100" s="1">
        <v>30026</v>
      </c>
      <c r="B100" s="7" t="s">
        <v>222</v>
      </c>
      <c r="C100" s="1" t="str">
        <f t="shared" si="13"/>
        <v>3</v>
      </c>
      <c r="D100" s="7" t="s">
        <v>105</v>
      </c>
      <c r="E100" s="1">
        <v>1</v>
      </c>
      <c r="F100" s="5">
        <f t="shared" si="14"/>
        <v>2010</v>
      </c>
      <c r="G100" s="4">
        <v>475</v>
      </c>
      <c r="H100" s="5">
        <f t="shared" si="15"/>
        <v>64</v>
      </c>
      <c r="I100" s="4">
        <v>28.1</v>
      </c>
      <c r="J100" s="4"/>
      <c r="K100" s="5">
        <f t="shared" si="16"/>
        <v>17</v>
      </c>
      <c r="L100" s="4">
        <v>18.6</v>
      </c>
      <c r="M100" s="4"/>
      <c r="N100" s="5">
        <f t="shared" si="17"/>
        <v>27</v>
      </c>
      <c r="O100" s="4">
        <v>9</v>
      </c>
      <c r="P100" s="4"/>
      <c r="Q100" s="5">
        <f t="shared" si="18"/>
        <v>11</v>
      </c>
      <c r="R100" s="4">
        <v>10</v>
      </c>
    </row>
    <row r="101" s="1" customFormat="1" spans="1:18">
      <c r="A101" s="1">
        <v>30027</v>
      </c>
      <c r="B101" s="7" t="s">
        <v>224</v>
      </c>
      <c r="C101" s="1" t="str">
        <f t="shared" si="13"/>
        <v>3</v>
      </c>
      <c r="D101" s="7" t="s">
        <v>105</v>
      </c>
      <c r="E101" s="1">
        <v>1</v>
      </c>
      <c r="F101" s="5">
        <f t="shared" si="14"/>
        <v>2028</v>
      </c>
      <c r="G101" s="4">
        <v>480</v>
      </c>
      <c r="H101" s="5">
        <f t="shared" si="15"/>
        <v>62</v>
      </c>
      <c r="I101" s="4">
        <v>27</v>
      </c>
      <c r="J101" s="4"/>
      <c r="K101" s="5">
        <f t="shared" si="16"/>
        <v>17</v>
      </c>
      <c r="L101" s="4">
        <v>18.6</v>
      </c>
      <c r="M101" s="4"/>
      <c r="N101" s="5">
        <f t="shared" si="17"/>
        <v>27</v>
      </c>
      <c r="O101" s="4">
        <v>9</v>
      </c>
      <c r="P101" s="4"/>
      <c r="Q101" s="5">
        <f t="shared" si="18"/>
        <v>11</v>
      </c>
      <c r="R101" s="4">
        <v>10</v>
      </c>
    </row>
    <row r="102" s="1" customFormat="1" spans="1:18">
      <c r="A102" s="1">
        <v>30028</v>
      </c>
      <c r="B102" s="7" t="s">
        <v>226</v>
      </c>
      <c r="C102" s="1" t="str">
        <f t="shared" si="13"/>
        <v>3</v>
      </c>
      <c r="D102" s="7" t="s">
        <v>105</v>
      </c>
      <c r="E102" s="1">
        <v>1</v>
      </c>
      <c r="F102" s="5">
        <f t="shared" ref="F102:F133" si="19">INT(G102*$F$1+(C102*$E$1*G102)+$G$1)</f>
        <v>2046</v>
      </c>
      <c r="G102" s="4">
        <v>485</v>
      </c>
      <c r="H102" s="5">
        <f t="shared" ref="H102:H133" si="20">INT(I102*$I$1+(C102*$H$1*I102)+$J$1)</f>
        <v>58</v>
      </c>
      <c r="I102" s="4">
        <v>24.8</v>
      </c>
      <c r="J102" s="4"/>
      <c r="K102" s="5">
        <f t="shared" ref="K102:K133" si="21">INT(L102*$L$1+(C102*$K$1*L102)+$M$1)</f>
        <v>18</v>
      </c>
      <c r="L102" s="4">
        <v>19.8</v>
      </c>
      <c r="M102" s="4"/>
      <c r="N102" s="5">
        <f t="shared" ref="N102:N133" si="22">INT(O102*$O$1+(C102*$N$1*O102)+$P$1)</f>
        <v>27</v>
      </c>
      <c r="O102" s="4">
        <v>9</v>
      </c>
      <c r="P102" s="4"/>
      <c r="Q102" s="5">
        <f t="shared" ref="Q102:Q133" si="23">INT(R102*$R$1+(C102*$Q$1*R102)+$S$1)</f>
        <v>11</v>
      </c>
      <c r="R102" s="4">
        <v>10</v>
      </c>
    </row>
    <row r="103" s="1" customFormat="1" spans="1:18">
      <c r="A103" s="1">
        <v>30029</v>
      </c>
      <c r="B103" s="7" t="s">
        <v>227</v>
      </c>
      <c r="C103" s="1" t="str">
        <f t="shared" si="13"/>
        <v>3</v>
      </c>
      <c r="D103" s="6" t="s">
        <v>84</v>
      </c>
      <c r="E103" s="1">
        <v>1</v>
      </c>
      <c r="F103" s="5">
        <f t="shared" si="19"/>
        <v>2064</v>
      </c>
      <c r="G103" s="4">
        <v>490</v>
      </c>
      <c r="H103" s="5">
        <f t="shared" si="20"/>
        <v>51</v>
      </c>
      <c r="I103" s="4">
        <v>21.5</v>
      </c>
      <c r="J103" s="4"/>
      <c r="K103" s="5">
        <f t="shared" si="21"/>
        <v>15</v>
      </c>
      <c r="L103" s="4">
        <v>16.2</v>
      </c>
      <c r="M103" s="4"/>
      <c r="N103" s="5">
        <f t="shared" si="22"/>
        <v>23</v>
      </c>
      <c r="O103" s="4">
        <v>7</v>
      </c>
      <c r="P103" s="4"/>
      <c r="Q103" s="5">
        <f t="shared" si="23"/>
        <v>12</v>
      </c>
      <c r="R103" s="4">
        <v>12</v>
      </c>
    </row>
    <row r="104" s="1" customFormat="1" spans="1:18">
      <c r="A104" s="1">
        <v>30030</v>
      </c>
      <c r="B104" s="7" t="s">
        <v>228</v>
      </c>
      <c r="C104" s="1" t="str">
        <f t="shared" si="13"/>
        <v>3</v>
      </c>
      <c r="D104" s="6" t="s">
        <v>84</v>
      </c>
      <c r="E104" s="1">
        <v>1</v>
      </c>
      <c r="F104" s="5">
        <f t="shared" si="19"/>
        <v>2082</v>
      </c>
      <c r="G104" s="4">
        <v>495</v>
      </c>
      <c r="H104" s="5">
        <f t="shared" si="20"/>
        <v>51</v>
      </c>
      <c r="I104" s="4">
        <v>21.5</v>
      </c>
      <c r="J104" s="4"/>
      <c r="K104" s="5">
        <f t="shared" si="21"/>
        <v>15</v>
      </c>
      <c r="L104" s="4">
        <v>16.2</v>
      </c>
      <c r="M104" s="4"/>
      <c r="N104" s="5">
        <f t="shared" si="22"/>
        <v>23</v>
      </c>
      <c r="O104" s="4">
        <v>7</v>
      </c>
      <c r="P104" s="4"/>
      <c r="Q104" s="5">
        <f t="shared" si="23"/>
        <v>12</v>
      </c>
      <c r="R104" s="4">
        <v>12</v>
      </c>
    </row>
    <row r="105" s="1" customFormat="1" spans="1:18">
      <c r="A105" s="1">
        <v>30031</v>
      </c>
      <c r="B105" s="7" t="s">
        <v>229</v>
      </c>
      <c r="C105" s="1" t="str">
        <f t="shared" si="13"/>
        <v>3</v>
      </c>
      <c r="D105" s="6" t="s">
        <v>84</v>
      </c>
      <c r="E105" s="1">
        <v>1</v>
      </c>
      <c r="F105" s="5">
        <f t="shared" si="19"/>
        <v>2100</v>
      </c>
      <c r="G105" s="4">
        <v>500</v>
      </c>
      <c r="H105" s="5">
        <f t="shared" si="20"/>
        <v>51</v>
      </c>
      <c r="I105" s="4">
        <v>21.5</v>
      </c>
      <c r="J105" s="4"/>
      <c r="K105" s="5">
        <f t="shared" si="21"/>
        <v>15</v>
      </c>
      <c r="L105" s="4">
        <v>16.2</v>
      </c>
      <c r="M105" s="4"/>
      <c r="N105" s="5">
        <f t="shared" si="22"/>
        <v>23</v>
      </c>
      <c r="O105" s="4">
        <v>7</v>
      </c>
      <c r="P105" s="4"/>
      <c r="Q105" s="5">
        <f t="shared" si="23"/>
        <v>12</v>
      </c>
      <c r="R105" s="4">
        <v>12</v>
      </c>
    </row>
    <row r="106" s="1" customFormat="1" spans="1:18">
      <c r="A106" s="1">
        <v>30032</v>
      </c>
      <c r="B106" s="7" t="s">
        <v>230</v>
      </c>
      <c r="C106" s="1" t="str">
        <f t="shared" si="13"/>
        <v>3</v>
      </c>
      <c r="D106" s="6" t="s">
        <v>84</v>
      </c>
      <c r="E106" s="1">
        <v>1</v>
      </c>
      <c r="F106" s="5">
        <f t="shared" si="19"/>
        <v>2118</v>
      </c>
      <c r="G106" s="4">
        <v>505</v>
      </c>
      <c r="H106" s="5">
        <f t="shared" si="20"/>
        <v>54</v>
      </c>
      <c r="I106" s="4">
        <v>22.6</v>
      </c>
      <c r="J106" s="4"/>
      <c r="K106" s="5">
        <f t="shared" si="21"/>
        <v>16</v>
      </c>
      <c r="L106" s="4">
        <v>17.4</v>
      </c>
      <c r="M106" s="4"/>
      <c r="N106" s="5">
        <f t="shared" si="22"/>
        <v>25</v>
      </c>
      <c r="O106" s="4">
        <v>8</v>
      </c>
      <c r="P106" s="4"/>
      <c r="Q106" s="5">
        <f t="shared" si="23"/>
        <v>13</v>
      </c>
      <c r="R106" s="4">
        <v>13</v>
      </c>
    </row>
    <row r="107" s="1" customFormat="1" spans="1:18">
      <c r="A107" s="1">
        <v>30033</v>
      </c>
      <c r="B107" s="7" t="s">
        <v>231</v>
      </c>
      <c r="C107" s="1" t="str">
        <f t="shared" si="13"/>
        <v>3</v>
      </c>
      <c r="D107" s="7" t="s">
        <v>105</v>
      </c>
      <c r="E107" s="1">
        <v>1</v>
      </c>
      <c r="F107" s="5">
        <f t="shared" si="19"/>
        <v>2136</v>
      </c>
      <c r="G107" s="4">
        <v>510</v>
      </c>
      <c r="H107" s="5">
        <f t="shared" si="20"/>
        <v>54</v>
      </c>
      <c r="I107" s="4">
        <v>22.6</v>
      </c>
      <c r="J107" s="4"/>
      <c r="K107" s="5">
        <f t="shared" si="21"/>
        <v>16</v>
      </c>
      <c r="L107" s="4">
        <v>17.4</v>
      </c>
      <c r="M107" s="4"/>
      <c r="N107" s="5">
        <f t="shared" si="22"/>
        <v>25</v>
      </c>
      <c r="O107" s="4">
        <v>8</v>
      </c>
      <c r="P107" s="4"/>
      <c r="Q107" s="5">
        <f t="shared" si="23"/>
        <v>13</v>
      </c>
      <c r="R107" s="4">
        <v>13</v>
      </c>
    </row>
    <row r="108" s="1" customFormat="1" spans="1:18">
      <c r="A108" s="1">
        <v>30034</v>
      </c>
      <c r="B108" s="7" t="s">
        <v>232</v>
      </c>
      <c r="C108" s="1" t="str">
        <f t="shared" si="13"/>
        <v>3</v>
      </c>
      <c r="D108" s="6" t="s">
        <v>84</v>
      </c>
      <c r="E108" s="1">
        <v>1</v>
      </c>
      <c r="F108" s="5">
        <f t="shared" si="19"/>
        <v>2154</v>
      </c>
      <c r="G108" s="4">
        <v>515</v>
      </c>
      <c r="H108" s="5">
        <f t="shared" si="20"/>
        <v>54</v>
      </c>
      <c r="I108" s="4">
        <v>22.6</v>
      </c>
      <c r="J108" s="4"/>
      <c r="K108" s="5">
        <f t="shared" si="21"/>
        <v>16</v>
      </c>
      <c r="L108" s="4">
        <v>17.4</v>
      </c>
      <c r="M108" s="4"/>
      <c r="N108" s="5">
        <f t="shared" si="22"/>
        <v>25</v>
      </c>
      <c r="O108" s="4">
        <v>8</v>
      </c>
      <c r="P108" s="4"/>
      <c r="Q108" s="5">
        <f t="shared" si="23"/>
        <v>13</v>
      </c>
      <c r="R108" s="4">
        <v>13</v>
      </c>
    </row>
    <row r="109" s="1" customFormat="1" spans="1:18">
      <c r="A109" s="1">
        <v>30035</v>
      </c>
      <c r="B109" s="7" t="s">
        <v>233</v>
      </c>
      <c r="C109" s="1" t="str">
        <f t="shared" si="13"/>
        <v>3</v>
      </c>
      <c r="D109" s="6" t="s">
        <v>84</v>
      </c>
      <c r="E109" s="1">
        <v>1</v>
      </c>
      <c r="F109" s="5">
        <f t="shared" si="19"/>
        <v>2172</v>
      </c>
      <c r="G109" s="4">
        <v>520</v>
      </c>
      <c r="H109" s="5">
        <f t="shared" si="20"/>
        <v>56</v>
      </c>
      <c r="I109" s="4">
        <v>23.7</v>
      </c>
      <c r="J109" s="4"/>
      <c r="K109" s="5">
        <f t="shared" si="21"/>
        <v>17</v>
      </c>
      <c r="L109" s="4">
        <v>18.6</v>
      </c>
      <c r="M109" s="4"/>
      <c r="N109" s="5">
        <f t="shared" si="22"/>
        <v>27</v>
      </c>
      <c r="O109" s="4">
        <v>9</v>
      </c>
      <c r="P109" s="4"/>
      <c r="Q109" s="5">
        <f t="shared" si="23"/>
        <v>14</v>
      </c>
      <c r="R109" s="4">
        <v>14</v>
      </c>
    </row>
    <row r="110" s="1" customFormat="1" spans="1:18">
      <c r="A110" s="1">
        <v>30036</v>
      </c>
      <c r="B110" s="7" t="s">
        <v>234</v>
      </c>
      <c r="C110" s="1" t="str">
        <f t="shared" si="13"/>
        <v>3</v>
      </c>
      <c r="D110" s="7" t="s">
        <v>96</v>
      </c>
      <c r="E110" s="1">
        <v>1</v>
      </c>
      <c r="F110" s="5">
        <f t="shared" si="19"/>
        <v>2190</v>
      </c>
      <c r="G110" s="4">
        <v>525</v>
      </c>
      <c r="H110" s="5">
        <f t="shared" si="20"/>
        <v>56</v>
      </c>
      <c r="I110" s="4">
        <v>23.7</v>
      </c>
      <c r="J110" s="4"/>
      <c r="K110" s="5">
        <f t="shared" si="21"/>
        <v>17</v>
      </c>
      <c r="L110" s="4">
        <v>18.6</v>
      </c>
      <c r="M110" s="4"/>
      <c r="N110" s="5">
        <f t="shared" si="22"/>
        <v>27</v>
      </c>
      <c r="O110" s="4">
        <v>9</v>
      </c>
      <c r="P110" s="4"/>
      <c r="Q110" s="5">
        <f t="shared" si="23"/>
        <v>14</v>
      </c>
      <c r="R110" s="4">
        <v>14</v>
      </c>
    </row>
    <row r="111" s="1" customFormat="1" spans="1:18">
      <c r="A111" s="1">
        <v>30037</v>
      </c>
      <c r="B111" s="7" t="s">
        <v>235</v>
      </c>
      <c r="C111" s="1" t="str">
        <f t="shared" si="13"/>
        <v>3</v>
      </c>
      <c r="D111" s="6" t="s">
        <v>84</v>
      </c>
      <c r="E111" s="1">
        <v>1</v>
      </c>
      <c r="F111" s="5">
        <f t="shared" si="19"/>
        <v>2208</v>
      </c>
      <c r="G111" s="4">
        <v>530</v>
      </c>
      <c r="H111" s="5">
        <f t="shared" si="20"/>
        <v>56</v>
      </c>
      <c r="I111" s="4">
        <v>23.7</v>
      </c>
      <c r="J111" s="4"/>
      <c r="K111" s="5">
        <f t="shared" si="21"/>
        <v>17</v>
      </c>
      <c r="L111" s="4">
        <v>18.6</v>
      </c>
      <c r="M111" s="4"/>
      <c r="N111" s="5">
        <f t="shared" si="22"/>
        <v>27</v>
      </c>
      <c r="O111" s="4">
        <v>9</v>
      </c>
      <c r="P111" s="4"/>
      <c r="Q111" s="5">
        <f t="shared" si="23"/>
        <v>14</v>
      </c>
      <c r="R111" s="4">
        <v>14</v>
      </c>
    </row>
    <row r="112" s="1" customFormat="1" spans="1:18">
      <c r="A112" s="1">
        <v>30038</v>
      </c>
      <c r="B112" s="7" t="s">
        <v>236</v>
      </c>
      <c r="C112" s="1" t="str">
        <f t="shared" si="13"/>
        <v>3</v>
      </c>
      <c r="D112" s="6" t="s">
        <v>84</v>
      </c>
      <c r="E112" s="1">
        <v>1</v>
      </c>
      <c r="F112" s="5">
        <f t="shared" si="19"/>
        <v>2226</v>
      </c>
      <c r="G112" s="4">
        <v>535</v>
      </c>
      <c r="H112" s="5">
        <f t="shared" si="20"/>
        <v>58</v>
      </c>
      <c r="I112" s="4">
        <v>24.8</v>
      </c>
      <c r="J112" s="4"/>
      <c r="K112" s="5">
        <f t="shared" si="21"/>
        <v>18</v>
      </c>
      <c r="L112" s="4">
        <v>19.8</v>
      </c>
      <c r="M112" s="4"/>
      <c r="N112" s="5">
        <f t="shared" si="22"/>
        <v>29</v>
      </c>
      <c r="O112" s="4">
        <v>10</v>
      </c>
      <c r="P112" s="4"/>
      <c r="Q112" s="5">
        <f t="shared" si="23"/>
        <v>15</v>
      </c>
      <c r="R112" s="4">
        <v>15</v>
      </c>
    </row>
    <row r="113" s="1" customFormat="1" spans="1:18">
      <c r="A113" s="1">
        <v>30039</v>
      </c>
      <c r="B113" s="7" t="s">
        <v>237</v>
      </c>
      <c r="C113" s="1" t="str">
        <f t="shared" si="13"/>
        <v>3</v>
      </c>
      <c r="D113" s="6" t="s">
        <v>84</v>
      </c>
      <c r="E113" s="1">
        <v>1</v>
      </c>
      <c r="F113" s="5">
        <f t="shared" si="19"/>
        <v>2244</v>
      </c>
      <c r="G113" s="4">
        <v>540</v>
      </c>
      <c r="H113" s="5">
        <f t="shared" si="20"/>
        <v>58</v>
      </c>
      <c r="I113" s="4">
        <v>24.8</v>
      </c>
      <c r="J113" s="4"/>
      <c r="K113" s="5">
        <f t="shared" si="21"/>
        <v>18</v>
      </c>
      <c r="L113" s="4">
        <v>19.8</v>
      </c>
      <c r="M113" s="4"/>
      <c r="N113" s="5">
        <f t="shared" si="22"/>
        <v>29</v>
      </c>
      <c r="O113" s="4">
        <v>10</v>
      </c>
      <c r="P113" s="4"/>
      <c r="Q113" s="5">
        <f t="shared" si="23"/>
        <v>15</v>
      </c>
      <c r="R113" s="4">
        <v>15</v>
      </c>
    </row>
    <row r="114" s="1" customFormat="1" spans="1:18">
      <c r="A114" s="1">
        <v>30040</v>
      </c>
      <c r="B114" s="7" t="s">
        <v>238</v>
      </c>
      <c r="C114" s="1" t="str">
        <f t="shared" si="13"/>
        <v>3</v>
      </c>
      <c r="D114" s="6" t="s">
        <v>84</v>
      </c>
      <c r="E114" s="1">
        <v>1</v>
      </c>
      <c r="F114" s="5">
        <f t="shared" si="19"/>
        <v>2262</v>
      </c>
      <c r="G114" s="4">
        <v>545</v>
      </c>
      <c r="H114" s="5">
        <f t="shared" si="20"/>
        <v>58</v>
      </c>
      <c r="I114" s="4">
        <v>24.8</v>
      </c>
      <c r="J114" s="4"/>
      <c r="K114" s="5">
        <f t="shared" si="21"/>
        <v>18</v>
      </c>
      <c r="L114" s="4">
        <v>19.8</v>
      </c>
      <c r="M114" s="4"/>
      <c r="N114" s="5">
        <f t="shared" si="22"/>
        <v>29</v>
      </c>
      <c r="O114" s="4">
        <v>10</v>
      </c>
      <c r="P114" s="4"/>
      <c r="Q114" s="5">
        <f t="shared" si="23"/>
        <v>15</v>
      </c>
      <c r="R114" s="4">
        <v>15</v>
      </c>
    </row>
    <row r="115" s="1" customFormat="1" spans="1:18">
      <c r="A115" s="1">
        <v>40001</v>
      </c>
      <c r="B115" s="6" t="s">
        <v>177</v>
      </c>
      <c r="C115" s="1">
        <v>4</v>
      </c>
      <c r="D115" s="6" t="s">
        <v>84</v>
      </c>
      <c r="E115" s="1">
        <v>1</v>
      </c>
      <c r="F115" s="5">
        <f t="shared" si="19"/>
        <v>4062</v>
      </c>
      <c r="G115" s="4">
        <v>990</v>
      </c>
      <c r="H115" s="5">
        <f t="shared" si="20"/>
        <v>64</v>
      </c>
      <c r="I115" s="4">
        <v>25.9</v>
      </c>
      <c r="J115" s="4"/>
      <c r="K115" s="5">
        <f t="shared" si="21"/>
        <v>19</v>
      </c>
      <c r="L115" s="4">
        <v>18.6</v>
      </c>
      <c r="M115" s="4"/>
      <c r="N115" s="5">
        <f t="shared" si="22"/>
        <v>31</v>
      </c>
      <c r="O115" s="4">
        <v>10</v>
      </c>
      <c r="P115" s="4"/>
      <c r="Q115" s="5">
        <f t="shared" si="23"/>
        <v>13</v>
      </c>
      <c r="R115" s="4">
        <v>12</v>
      </c>
    </row>
    <row r="116" s="1" customFormat="1" spans="1:18">
      <c r="A116" s="1">
        <v>40002</v>
      </c>
      <c r="B116" s="6" t="s">
        <v>179</v>
      </c>
      <c r="C116" s="1">
        <v>4</v>
      </c>
      <c r="D116" s="6" t="s">
        <v>84</v>
      </c>
      <c r="E116" s="1">
        <v>1</v>
      </c>
      <c r="F116" s="5">
        <f t="shared" si="19"/>
        <v>3796</v>
      </c>
      <c r="G116" s="4">
        <v>920</v>
      </c>
      <c r="H116" s="5">
        <f t="shared" si="20"/>
        <v>66</v>
      </c>
      <c r="I116" s="4">
        <v>27</v>
      </c>
      <c r="J116" s="4"/>
      <c r="K116" s="5">
        <f t="shared" si="21"/>
        <v>18</v>
      </c>
      <c r="L116" s="4">
        <v>17.4</v>
      </c>
      <c r="M116" s="4"/>
      <c r="N116" s="5">
        <f t="shared" si="22"/>
        <v>28</v>
      </c>
      <c r="O116" s="4">
        <v>9</v>
      </c>
      <c r="P116" s="4"/>
      <c r="Q116" s="5">
        <f t="shared" si="23"/>
        <v>12</v>
      </c>
      <c r="R116" s="4">
        <v>11</v>
      </c>
    </row>
    <row r="117" s="1" customFormat="1" spans="1:18">
      <c r="A117" s="1">
        <v>40003</v>
      </c>
      <c r="B117" s="6" t="s">
        <v>181</v>
      </c>
      <c r="C117" s="1">
        <v>4</v>
      </c>
      <c r="D117" s="6" t="s">
        <v>84</v>
      </c>
      <c r="E117" s="1">
        <v>1</v>
      </c>
      <c r="F117" s="5">
        <f t="shared" si="19"/>
        <v>4062</v>
      </c>
      <c r="G117" s="4">
        <v>990</v>
      </c>
      <c r="H117" s="5">
        <f t="shared" si="20"/>
        <v>62</v>
      </c>
      <c r="I117" s="4">
        <v>24.8</v>
      </c>
      <c r="J117" s="4"/>
      <c r="K117" s="5">
        <f t="shared" si="21"/>
        <v>18</v>
      </c>
      <c r="L117" s="4">
        <v>17.4</v>
      </c>
      <c r="M117" s="4"/>
      <c r="N117" s="5">
        <f t="shared" si="22"/>
        <v>28</v>
      </c>
      <c r="O117" s="4">
        <v>9</v>
      </c>
      <c r="P117" s="4"/>
      <c r="Q117" s="5">
        <f t="shared" si="23"/>
        <v>12</v>
      </c>
      <c r="R117" s="4">
        <v>11</v>
      </c>
    </row>
    <row r="118" s="1" customFormat="1" spans="1:18">
      <c r="A118" s="1">
        <v>40004</v>
      </c>
      <c r="B118" s="6" t="s">
        <v>183</v>
      </c>
      <c r="C118" s="1">
        <v>4</v>
      </c>
      <c r="D118" s="6" t="s">
        <v>84</v>
      </c>
      <c r="E118" s="1">
        <v>1</v>
      </c>
      <c r="F118" s="5">
        <f t="shared" si="19"/>
        <v>4328</v>
      </c>
      <c r="G118" s="4">
        <v>1060</v>
      </c>
      <c r="H118" s="5">
        <f t="shared" si="20"/>
        <v>57</v>
      </c>
      <c r="I118" s="4">
        <v>22.6</v>
      </c>
      <c r="J118" s="4"/>
      <c r="K118" s="5">
        <f t="shared" si="21"/>
        <v>21</v>
      </c>
      <c r="L118" s="4">
        <v>21</v>
      </c>
      <c r="M118" s="4"/>
      <c r="N118" s="5">
        <f t="shared" si="22"/>
        <v>26</v>
      </c>
      <c r="O118" s="4">
        <v>8</v>
      </c>
      <c r="P118" s="4"/>
      <c r="Q118" s="5">
        <f t="shared" si="23"/>
        <v>12</v>
      </c>
      <c r="R118" s="4">
        <v>10</v>
      </c>
    </row>
    <row r="119" s="1" customFormat="1" spans="1:18">
      <c r="A119" s="1">
        <v>40005</v>
      </c>
      <c r="B119" s="7" t="s">
        <v>185</v>
      </c>
      <c r="C119" s="1">
        <v>4</v>
      </c>
      <c r="D119" s="7" t="s">
        <v>91</v>
      </c>
      <c r="E119" s="1">
        <v>1</v>
      </c>
      <c r="F119" s="5">
        <f t="shared" si="19"/>
        <v>4328</v>
      </c>
      <c r="G119" s="4">
        <v>1060</v>
      </c>
      <c r="H119" s="5">
        <f t="shared" si="20"/>
        <v>64</v>
      </c>
      <c r="I119" s="4">
        <v>25.9</v>
      </c>
      <c r="J119" s="4"/>
      <c r="K119" s="5">
        <f t="shared" si="21"/>
        <v>19</v>
      </c>
      <c r="L119" s="4">
        <v>18.6</v>
      </c>
      <c r="M119" s="4"/>
      <c r="N119" s="5">
        <f t="shared" si="22"/>
        <v>28</v>
      </c>
      <c r="O119" s="4">
        <v>9</v>
      </c>
      <c r="P119" s="4"/>
      <c r="Q119" s="5">
        <f t="shared" si="23"/>
        <v>14</v>
      </c>
      <c r="R119" s="4">
        <v>13</v>
      </c>
    </row>
    <row r="120" s="1" customFormat="1" spans="1:18">
      <c r="A120" s="1">
        <v>40006</v>
      </c>
      <c r="B120" s="7" t="s">
        <v>187</v>
      </c>
      <c r="C120" s="1">
        <v>4</v>
      </c>
      <c r="D120" s="7" t="s">
        <v>91</v>
      </c>
      <c r="E120" s="1">
        <v>1</v>
      </c>
      <c r="F120" s="5">
        <f t="shared" si="19"/>
        <v>3796</v>
      </c>
      <c r="G120" s="4">
        <v>920</v>
      </c>
      <c r="H120" s="5">
        <f t="shared" si="20"/>
        <v>66</v>
      </c>
      <c r="I120" s="4">
        <v>27</v>
      </c>
      <c r="J120" s="4"/>
      <c r="K120" s="5">
        <f t="shared" si="21"/>
        <v>18</v>
      </c>
      <c r="L120" s="4">
        <v>17.4</v>
      </c>
      <c r="M120" s="4"/>
      <c r="N120" s="5">
        <f t="shared" si="22"/>
        <v>28</v>
      </c>
      <c r="O120" s="4">
        <v>9</v>
      </c>
      <c r="P120" s="4"/>
      <c r="Q120" s="5">
        <f t="shared" si="23"/>
        <v>13</v>
      </c>
      <c r="R120" s="4">
        <v>12</v>
      </c>
    </row>
    <row r="121" s="1" customFormat="1" spans="1:18">
      <c r="A121" s="1">
        <v>40007</v>
      </c>
      <c r="B121" s="7" t="s">
        <v>189</v>
      </c>
      <c r="C121" s="1">
        <v>4</v>
      </c>
      <c r="D121" s="7" t="s">
        <v>91</v>
      </c>
      <c r="E121" s="1">
        <v>1</v>
      </c>
      <c r="F121" s="5">
        <f t="shared" si="19"/>
        <v>4062</v>
      </c>
      <c r="G121" s="4">
        <v>990</v>
      </c>
      <c r="H121" s="5">
        <f t="shared" si="20"/>
        <v>62</v>
      </c>
      <c r="I121" s="4">
        <v>24.8</v>
      </c>
      <c r="J121" s="4"/>
      <c r="K121" s="5">
        <f t="shared" si="21"/>
        <v>20</v>
      </c>
      <c r="L121" s="4">
        <v>19.8</v>
      </c>
      <c r="M121" s="4"/>
      <c r="N121" s="5">
        <f t="shared" si="22"/>
        <v>31</v>
      </c>
      <c r="O121" s="4">
        <v>10</v>
      </c>
      <c r="P121" s="4"/>
      <c r="Q121" s="5">
        <f t="shared" si="23"/>
        <v>13</v>
      </c>
      <c r="R121" s="4">
        <v>12</v>
      </c>
    </row>
    <row r="122" s="1" customFormat="1" spans="1:18">
      <c r="A122" s="1">
        <v>40008</v>
      </c>
      <c r="B122" s="7" t="s">
        <v>191</v>
      </c>
      <c r="C122" s="1">
        <v>4</v>
      </c>
      <c r="D122" s="7" t="s">
        <v>81</v>
      </c>
      <c r="E122" s="1">
        <v>1</v>
      </c>
      <c r="F122" s="5">
        <f t="shared" si="19"/>
        <v>3264</v>
      </c>
      <c r="G122" s="4">
        <v>780</v>
      </c>
      <c r="H122" s="5">
        <f t="shared" si="20"/>
        <v>52</v>
      </c>
      <c r="I122" s="4">
        <v>20.4</v>
      </c>
      <c r="J122" s="4"/>
      <c r="K122" s="5">
        <f t="shared" si="21"/>
        <v>18</v>
      </c>
      <c r="L122" s="4">
        <v>17.4</v>
      </c>
      <c r="M122" s="4"/>
      <c r="N122" s="5">
        <f t="shared" si="22"/>
        <v>28</v>
      </c>
      <c r="O122" s="4">
        <v>9</v>
      </c>
      <c r="P122" s="4"/>
      <c r="Q122" s="5">
        <f t="shared" si="23"/>
        <v>13</v>
      </c>
      <c r="R122" s="4">
        <v>12</v>
      </c>
    </row>
    <row r="123" s="1" customFormat="1" spans="1:18">
      <c r="A123" s="1">
        <v>40009</v>
      </c>
      <c r="B123" s="7" t="s">
        <v>194</v>
      </c>
      <c r="C123" s="1">
        <v>4</v>
      </c>
      <c r="D123" s="7" t="s">
        <v>81</v>
      </c>
      <c r="E123" s="1">
        <v>1</v>
      </c>
      <c r="F123" s="5">
        <f t="shared" si="19"/>
        <v>3530</v>
      </c>
      <c r="G123" s="4">
        <v>850</v>
      </c>
      <c r="H123" s="5">
        <f t="shared" si="20"/>
        <v>55</v>
      </c>
      <c r="I123" s="4">
        <v>21.5</v>
      </c>
      <c r="J123" s="4"/>
      <c r="K123" s="5">
        <f t="shared" si="21"/>
        <v>18</v>
      </c>
      <c r="L123" s="4">
        <v>17.4</v>
      </c>
      <c r="M123" s="4"/>
      <c r="N123" s="5">
        <f t="shared" si="22"/>
        <v>28</v>
      </c>
      <c r="O123" s="4">
        <v>9</v>
      </c>
      <c r="P123" s="4"/>
      <c r="Q123" s="5">
        <f t="shared" si="23"/>
        <v>13</v>
      </c>
      <c r="R123" s="4">
        <v>12</v>
      </c>
    </row>
    <row r="124" s="1" customFormat="1" spans="1:18">
      <c r="A124" s="1">
        <v>40010</v>
      </c>
      <c r="B124" s="7" t="s">
        <v>196</v>
      </c>
      <c r="C124" s="1">
        <v>4</v>
      </c>
      <c r="D124" s="7" t="s">
        <v>81</v>
      </c>
      <c r="E124" s="1">
        <v>1</v>
      </c>
      <c r="F124" s="5">
        <f t="shared" si="19"/>
        <v>2998</v>
      </c>
      <c r="G124" s="4">
        <v>710</v>
      </c>
      <c r="H124" s="5">
        <f t="shared" si="20"/>
        <v>57</v>
      </c>
      <c r="I124" s="4">
        <v>22.6</v>
      </c>
      <c r="J124" s="4"/>
      <c r="K124" s="5">
        <f t="shared" si="21"/>
        <v>18</v>
      </c>
      <c r="L124" s="4">
        <v>17.4</v>
      </c>
      <c r="M124" s="4"/>
      <c r="N124" s="5">
        <f t="shared" si="22"/>
        <v>28</v>
      </c>
      <c r="O124" s="4">
        <v>9</v>
      </c>
      <c r="P124" s="4"/>
      <c r="Q124" s="5">
        <f t="shared" si="23"/>
        <v>13</v>
      </c>
      <c r="R124" s="4">
        <v>12</v>
      </c>
    </row>
    <row r="125" s="1" customFormat="1" spans="1:18">
      <c r="A125" s="1">
        <v>40011</v>
      </c>
      <c r="B125" s="7" t="s">
        <v>198</v>
      </c>
      <c r="C125" s="1">
        <v>4</v>
      </c>
      <c r="D125" s="7" t="s">
        <v>96</v>
      </c>
      <c r="E125" s="1">
        <v>1</v>
      </c>
      <c r="F125" s="5">
        <f t="shared" si="19"/>
        <v>3796</v>
      </c>
      <c r="G125" s="4">
        <v>920</v>
      </c>
      <c r="H125" s="5">
        <f t="shared" si="20"/>
        <v>64</v>
      </c>
      <c r="I125" s="4">
        <v>25.9</v>
      </c>
      <c r="J125" s="4"/>
      <c r="K125" s="5">
        <f t="shared" si="21"/>
        <v>19</v>
      </c>
      <c r="L125" s="4">
        <v>18.6</v>
      </c>
      <c r="M125" s="4"/>
      <c r="N125" s="5">
        <f t="shared" si="22"/>
        <v>33</v>
      </c>
      <c r="O125" s="4">
        <v>11</v>
      </c>
      <c r="P125" s="4"/>
      <c r="Q125" s="5">
        <f t="shared" si="23"/>
        <v>16</v>
      </c>
      <c r="R125" s="4">
        <v>15</v>
      </c>
    </row>
    <row r="126" s="1" customFormat="1" spans="1:18">
      <c r="A126" s="1">
        <v>40012</v>
      </c>
      <c r="B126" s="7" t="s">
        <v>200</v>
      </c>
      <c r="C126" s="1">
        <v>4</v>
      </c>
      <c r="D126" s="7" t="s">
        <v>96</v>
      </c>
      <c r="E126" s="1">
        <v>1</v>
      </c>
      <c r="F126" s="5">
        <f t="shared" si="19"/>
        <v>4328</v>
      </c>
      <c r="G126" s="4">
        <v>1060</v>
      </c>
      <c r="H126" s="5">
        <f t="shared" si="20"/>
        <v>66</v>
      </c>
      <c r="I126" s="4">
        <v>27</v>
      </c>
      <c r="J126" s="4"/>
      <c r="K126" s="5">
        <f t="shared" si="21"/>
        <v>19</v>
      </c>
      <c r="L126" s="4">
        <v>18.6</v>
      </c>
      <c r="M126" s="4"/>
      <c r="N126" s="5">
        <f t="shared" si="22"/>
        <v>28</v>
      </c>
      <c r="O126" s="4">
        <v>9</v>
      </c>
      <c r="P126" s="4"/>
      <c r="Q126" s="5">
        <f t="shared" si="23"/>
        <v>12</v>
      </c>
      <c r="R126" s="4">
        <v>11</v>
      </c>
    </row>
    <row r="127" s="1" customFormat="1" spans="1:18">
      <c r="A127" s="1">
        <v>40013</v>
      </c>
      <c r="B127" s="7" t="s">
        <v>202</v>
      </c>
      <c r="C127" s="1">
        <v>4</v>
      </c>
      <c r="D127" s="7" t="s">
        <v>96</v>
      </c>
      <c r="E127" s="1">
        <v>1</v>
      </c>
      <c r="F127" s="5">
        <f t="shared" si="19"/>
        <v>4062</v>
      </c>
      <c r="G127" s="4">
        <v>990</v>
      </c>
      <c r="H127" s="5">
        <f t="shared" si="20"/>
        <v>64</v>
      </c>
      <c r="I127" s="4">
        <v>25.9</v>
      </c>
      <c r="J127" s="4"/>
      <c r="K127" s="5">
        <f t="shared" si="21"/>
        <v>20</v>
      </c>
      <c r="L127" s="4">
        <v>19.8</v>
      </c>
      <c r="M127" s="4"/>
      <c r="N127" s="5">
        <f t="shared" si="22"/>
        <v>31</v>
      </c>
      <c r="O127" s="4">
        <v>10</v>
      </c>
      <c r="P127" s="4"/>
      <c r="Q127" s="5">
        <f t="shared" si="23"/>
        <v>13</v>
      </c>
      <c r="R127" s="4">
        <v>12</v>
      </c>
    </row>
    <row r="128" s="1" customFormat="1" spans="1:18">
      <c r="A128" s="1">
        <v>40014</v>
      </c>
      <c r="B128" s="7" t="s">
        <v>204</v>
      </c>
      <c r="C128" s="1">
        <v>4</v>
      </c>
      <c r="D128" s="7" t="s">
        <v>78</v>
      </c>
      <c r="E128" s="1">
        <v>1</v>
      </c>
      <c r="F128" s="5">
        <f t="shared" si="19"/>
        <v>2998</v>
      </c>
      <c r="G128" s="4">
        <v>710</v>
      </c>
      <c r="H128" s="5">
        <f t="shared" si="20"/>
        <v>36</v>
      </c>
      <c r="I128" s="4">
        <v>12.7</v>
      </c>
      <c r="J128" s="4"/>
      <c r="K128" s="5">
        <f t="shared" si="21"/>
        <v>17</v>
      </c>
      <c r="L128" s="4">
        <v>16.2</v>
      </c>
      <c r="M128" s="4"/>
      <c r="N128" s="5">
        <f t="shared" si="22"/>
        <v>49</v>
      </c>
      <c r="O128" s="4">
        <v>19</v>
      </c>
      <c r="P128" s="4"/>
      <c r="Q128" s="5">
        <f t="shared" si="23"/>
        <v>14</v>
      </c>
      <c r="R128" s="4">
        <v>13</v>
      </c>
    </row>
    <row r="129" s="1" customFormat="1" spans="1:18">
      <c r="A129" s="1">
        <v>40015</v>
      </c>
      <c r="B129" s="7" t="s">
        <v>206</v>
      </c>
      <c r="C129" s="1">
        <v>4</v>
      </c>
      <c r="D129" s="7" t="s">
        <v>78</v>
      </c>
      <c r="E129" s="1">
        <v>1</v>
      </c>
      <c r="F129" s="5">
        <f t="shared" si="19"/>
        <v>3264</v>
      </c>
      <c r="G129" s="4">
        <v>780</v>
      </c>
      <c r="H129" s="5">
        <f t="shared" si="20"/>
        <v>38</v>
      </c>
      <c r="I129" s="4">
        <v>13.8</v>
      </c>
      <c r="J129" s="4"/>
      <c r="K129" s="5">
        <f t="shared" si="21"/>
        <v>17</v>
      </c>
      <c r="L129" s="4">
        <v>16.2</v>
      </c>
      <c r="M129" s="4"/>
      <c r="N129" s="5">
        <f t="shared" si="22"/>
        <v>47</v>
      </c>
      <c r="O129" s="4">
        <v>18</v>
      </c>
      <c r="P129" s="4"/>
      <c r="Q129" s="5">
        <f t="shared" si="23"/>
        <v>14</v>
      </c>
      <c r="R129" s="4">
        <v>13</v>
      </c>
    </row>
    <row r="130" s="1" customFormat="1" spans="1:18">
      <c r="A130" s="1">
        <v>40016</v>
      </c>
      <c r="B130" s="7" t="s">
        <v>208</v>
      </c>
      <c r="C130" s="1">
        <v>4</v>
      </c>
      <c r="D130" s="7" t="s">
        <v>78</v>
      </c>
      <c r="E130" s="1">
        <v>1</v>
      </c>
      <c r="F130" s="5">
        <f t="shared" si="19"/>
        <v>3530</v>
      </c>
      <c r="G130" s="4">
        <v>850</v>
      </c>
      <c r="H130" s="5">
        <f t="shared" si="20"/>
        <v>41</v>
      </c>
      <c r="I130" s="4">
        <v>14.9</v>
      </c>
      <c r="J130" s="4"/>
      <c r="K130" s="5">
        <f t="shared" si="21"/>
        <v>18</v>
      </c>
      <c r="L130" s="4">
        <v>17.4</v>
      </c>
      <c r="M130" s="4"/>
      <c r="N130" s="5">
        <f t="shared" si="22"/>
        <v>45</v>
      </c>
      <c r="O130" s="4">
        <v>17</v>
      </c>
      <c r="P130" s="4"/>
      <c r="Q130" s="5">
        <f t="shared" si="23"/>
        <v>15</v>
      </c>
      <c r="R130" s="4">
        <v>14</v>
      </c>
    </row>
    <row r="131" s="1" customFormat="1" spans="1:18">
      <c r="A131" s="1">
        <v>40017</v>
      </c>
      <c r="B131" s="7" t="s">
        <v>210</v>
      </c>
      <c r="C131" s="1">
        <v>4</v>
      </c>
      <c r="D131" s="7" t="s">
        <v>74</v>
      </c>
      <c r="E131" s="1">
        <v>1</v>
      </c>
      <c r="F131" s="5">
        <f t="shared" si="19"/>
        <v>3530</v>
      </c>
      <c r="G131" s="4">
        <v>850</v>
      </c>
      <c r="H131" s="5">
        <f t="shared" si="20"/>
        <v>41</v>
      </c>
      <c r="I131" s="4">
        <v>14.9</v>
      </c>
      <c r="J131" s="4"/>
      <c r="K131" s="5">
        <f t="shared" si="21"/>
        <v>18</v>
      </c>
      <c r="L131" s="4">
        <v>17.4</v>
      </c>
      <c r="M131" s="4"/>
      <c r="N131" s="5">
        <f t="shared" si="22"/>
        <v>47</v>
      </c>
      <c r="O131" s="4">
        <v>18</v>
      </c>
      <c r="P131" s="4"/>
      <c r="Q131" s="5">
        <f t="shared" si="23"/>
        <v>16</v>
      </c>
      <c r="R131" s="4">
        <v>15</v>
      </c>
    </row>
    <row r="132" s="1" customFormat="1" spans="1:18">
      <c r="A132" s="1">
        <v>40018</v>
      </c>
      <c r="B132" s="7" t="s">
        <v>212</v>
      </c>
      <c r="C132" s="1">
        <v>4</v>
      </c>
      <c r="D132" s="7" t="s">
        <v>74</v>
      </c>
      <c r="E132" s="1">
        <v>1</v>
      </c>
      <c r="F132" s="5">
        <f t="shared" si="19"/>
        <v>2998</v>
      </c>
      <c r="G132" s="4">
        <v>710</v>
      </c>
      <c r="H132" s="5">
        <f t="shared" si="20"/>
        <v>41</v>
      </c>
      <c r="I132" s="4">
        <v>14.9</v>
      </c>
      <c r="J132" s="4"/>
      <c r="K132" s="5">
        <f t="shared" si="21"/>
        <v>18</v>
      </c>
      <c r="L132" s="4">
        <v>17.4</v>
      </c>
      <c r="M132" s="4"/>
      <c r="N132" s="5">
        <f t="shared" si="22"/>
        <v>47</v>
      </c>
      <c r="O132" s="4">
        <v>18</v>
      </c>
      <c r="P132" s="4"/>
      <c r="Q132" s="5">
        <f t="shared" si="23"/>
        <v>15</v>
      </c>
      <c r="R132" s="4">
        <v>14</v>
      </c>
    </row>
    <row r="133" s="1" customFormat="1" spans="1:18">
      <c r="A133" s="1">
        <v>40019</v>
      </c>
      <c r="B133" s="7" t="s">
        <v>214</v>
      </c>
      <c r="C133" s="1">
        <v>4</v>
      </c>
      <c r="D133" s="7" t="s">
        <v>74</v>
      </c>
      <c r="E133" s="1">
        <v>1</v>
      </c>
      <c r="F133" s="5">
        <f t="shared" si="19"/>
        <v>3530</v>
      </c>
      <c r="G133" s="4">
        <v>850</v>
      </c>
      <c r="H133" s="5">
        <f t="shared" si="20"/>
        <v>38</v>
      </c>
      <c r="I133" s="4">
        <v>13.8</v>
      </c>
      <c r="J133" s="4"/>
      <c r="K133" s="5">
        <f t="shared" si="21"/>
        <v>20</v>
      </c>
      <c r="L133" s="4">
        <v>19.8</v>
      </c>
      <c r="M133" s="4"/>
      <c r="N133" s="5">
        <f t="shared" si="22"/>
        <v>47</v>
      </c>
      <c r="O133" s="4">
        <v>18</v>
      </c>
      <c r="P133" s="4"/>
      <c r="Q133" s="5">
        <f t="shared" si="23"/>
        <v>16</v>
      </c>
      <c r="R133" s="4">
        <v>15</v>
      </c>
    </row>
    <row r="134" s="1" customFormat="1" spans="1:18">
      <c r="A134" s="1">
        <v>40020</v>
      </c>
      <c r="B134" s="7" t="s">
        <v>216</v>
      </c>
      <c r="C134" s="1">
        <v>4</v>
      </c>
      <c r="D134" s="7" t="s">
        <v>56</v>
      </c>
      <c r="E134" s="1">
        <v>1</v>
      </c>
      <c r="F134" s="5">
        <f>INT(G134*$F$1+(C134*$E$1*G134)+$G$1)</f>
        <v>3796</v>
      </c>
      <c r="G134" s="4">
        <v>920</v>
      </c>
      <c r="H134" s="5">
        <f>INT(I134*$I$1+(C134*$H$1*I134)+$J$1)</f>
        <v>69</v>
      </c>
      <c r="I134" s="4">
        <v>28.1</v>
      </c>
      <c r="J134" s="4"/>
      <c r="K134" s="5">
        <f>INT(L134*$L$1+(C134*$K$1*L134)+$M$1)</f>
        <v>19</v>
      </c>
      <c r="L134" s="4">
        <v>18.6</v>
      </c>
      <c r="M134" s="4"/>
      <c r="N134" s="5">
        <f>INT(O134*$O$1+(C134*$N$1*O134)+$P$1)</f>
        <v>31</v>
      </c>
      <c r="O134" s="4">
        <v>10</v>
      </c>
      <c r="P134" s="4"/>
      <c r="Q134" s="5">
        <f>INT(R134*$R$1+(C134*$Q$1*R134)+$S$1)</f>
        <v>12</v>
      </c>
      <c r="R134" s="4">
        <v>10</v>
      </c>
    </row>
    <row r="135" s="1" customFormat="1" spans="1:18">
      <c r="A135" s="1">
        <v>40021</v>
      </c>
      <c r="B135" s="7" t="s">
        <v>218</v>
      </c>
      <c r="C135" s="1">
        <v>4</v>
      </c>
      <c r="D135" s="7" t="s">
        <v>56</v>
      </c>
      <c r="E135" s="1">
        <v>1</v>
      </c>
      <c r="F135" s="5">
        <f>INT(G135*$F$1+(C135*$E$1*G135)+$G$1)</f>
        <v>3530</v>
      </c>
      <c r="G135" s="4">
        <v>850</v>
      </c>
      <c r="H135" s="5">
        <f>INT(I135*$I$1+(C135*$H$1*I135)+$J$1)</f>
        <v>64</v>
      </c>
      <c r="I135" s="4">
        <v>25.9</v>
      </c>
      <c r="J135" s="4"/>
      <c r="K135" s="5">
        <f>INT(L135*$L$1+(C135*$K$1*L135)+$M$1)</f>
        <v>18</v>
      </c>
      <c r="L135" s="4">
        <v>17.4</v>
      </c>
      <c r="M135" s="4"/>
      <c r="N135" s="5">
        <f>INT(O135*$O$1+(C135*$N$1*O135)+$P$1)</f>
        <v>31</v>
      </c>
      <c r="O135" s="4">
        <v>10</v>
      </c>
      <c r="P135" s="4"/>
      <c r="Q135" s="5">
        <f>INT(R135*$R$1+(C135*$Q$1*R135)+$S$1)</f>
        <v>12</v>
      </c>
      <c r="R135" s="4">
        <v>11</v>
      </c>
    </row>
    <row r="136" s="1" customFormat="1" spans="1:18">
      <c r="A136" s="1">
        <v>40022</v>
      </c>
      <c r="B136" s="7" t="s">
        <v>220</v>
      </c>
      <c r="C136" s="1">
        <v>4</v>
      </c>
      <c r="D136" s="7" t="s">
        <v>56</v>
      </c>
      <c r="E136" s="1">
        <v>1</v>
      </c>
      <c r="F136" s="5">
        <f>INT(G136*$F$1+(C136*$E$1*G136)+$G$1)</f>
        <v>2998</v>
      </c>
      <c r="G136" s="4">
        <v>710</v>
      </c>
      <c r="H136" s="5">
        <f>INT(I136*$I$1+(C136*$H$1*I136)+$J$1)</f>
        <v>38</v>
      </c>
      <c r="I136" s="4">
        <v>13.8</v>
      </c>
      <c r="J136" s="4"/>
      <c r="K136" s="5">
        <f>INT(L136*$L$1+(C136*$K$1*L136)+$M$1)</f>
        <v>17</v>
      </c>
      <c r="L136" s="4">
        <v>16.2</v>
      </c>
      <c r="M136" s="4"/>
      <c r="N136" s="5">
        <f>INT(O136*$O$1+(C136*$N$1*O136)+$P$1)</f>
        <v>49</v>
      </c>
      <c r="O136" s="4">
        <v>19</v>
      </c>
      <c r="P136" s="4"/>
      <c r="Q136" s="5">
        <f>INT(R136*$R$1+(C136*$Q$1*R136)+$S$1)</f>
        <v>14</v>
      </c>
      <c r="R136" s="4">
        <v>13</v>
      </c>
    </row>
    <row r="137" s="1" customFormat="1" spans="1:18">
      <c r="A137" s="1">
        <v>40023</v>
      </c>
      <c r="B137" s="7" t="s">
        <v>222</v>
      </c>
      <c r="C137" s="1">
        <v>4</v>
      </c>
      <c r="D137" s="7" t="s">
        <v>105</v>
      </c>
      <c r="E137" s="1">
        <v>1</v>
      </c>
      <c r="F137" s="5">
        <f>INT(G137*$F$1+(C137*$E$1*G137)+$G$1)</f>
        <v>3796</v>
      </c>
      <c r="G137" s="4">
        <v>920</v>
      </c>
      <c r="H137" s="5">
        <f>INT(I137*$I$1+(C137*$H$1*I137)+$J$1)</f>
        <v>69</v>
      </c>
      <c r="I137" s="4">
        <v>28.1</v>
      </c>
      <c r="J137" s="4"/>
      <c r="K137" s="5">
        <f>INT(L137*$L$1+(C137*$K$1*L137)+$M$1)</f>
        <v>19</v>
      </c>
      <c r="L137" s="4">
        <v>18.6</v>
      </c>
      <c r="M137" s="4"/>
      <c r="N137" s="5">
        <f>INT(O137*$O$1+(C137*$N$1*O137)+$P$1)</f>
        <v>28</v>
      </c>
      <c r="O137" s="4">
        <v>9</v>
      </c>
      <c r="P137" s="4"/>
      <c r="Q137" s="5">
        <f>INT(R137*$R$1+(C137*$Q$1*R137)+$S$1)</f>
        <v>12</v>
      </c>
      <c r="R137" s="4">
        <v>10</v>
      </c>
    </row>
    <row r="138" s="1" customFormat="1" spans="1:18">
      <c r="A138" s="1">
        <v>40024</v>
      </c>
      <c r="B138" s="7" t="s">
        <v>224</v>
      </c>
      <c r="C138" s="1">
        <v>4</v>
      </c>
      <c r="D138" s="7" t="s">
        <v>105</v>
      </c>
      <c r="E138" s="1">
        <v>1</v>
      </c>
      <c r="F138" s="5">
        <f>INT(G138*$F$1+(C138*$E$1*G138)+$G$1)</f>
        <v>3530</v>
      </c>
      <c r="G138" s="4">
        <v>850</v>
      </c>
      <c r="H138" s="5">
        <f>INT(I138*$I$1+(C138*$H$1*I138)+$J$1)</f>
        <v>55</v>
      </c>
      <c r="I138" s="4">
        <v>21.5</v>
      </c>
      <c r="J138" s="4"/>
      <c r="K138" s="5">
        <f>INT(L138*$L$1+(C138*$K$1*L138)+$M$1)</f>
        <v>19</v>
      </c>
      <c r="L138" s="4">
        <v>18.6</v>
      </c>
      <c r="M138" s="4"/>
      <c r="N138" s="5">
        <f>INT(O138*$O$1+(C138*$N$1*O138)+$P$1)</f>
        <v>28</v>
      </c>
      <c r="O138" s="4">
        <v>9</v>
      </c>
      <c r="P138" s="4"/>
      <c r="Q138" s="5">
        <f>INT(R138*$R$1+(C138*$Q$1*R138)+$S$1)</f>
        <v>12</v>
      </c>
      <c r="R138" s="4">
        <v>10</v>
      </c>
    </row>
    <row r="139" s="1" customFormat="1" spans="1:18">
      <c r="A139" s="1">
        <v>40025</v>
      </c>
      <c r="B139" s="7" t="s">
        <v>226</v>
      </c>
      <c r="C139" s="1">
        <v>4</v>
      </c>
      <c r="D139" s="7" t="s">
        <v>105</v>
      </c>
      <c r="E139" s="1">
        <v>1</v>
      </c>
      <c r="F139" s="5">
        <f>INT(G139*$F$1+(C139*$E$1*G139)+$G$1)</f>
        <v>4328</v>
      </c>
      <c r="G139" s="4">
        <v>1060</v>
      </c>
      <c r="H139" s="5">
        <f>INT(I139*$I$1+(C139*$H$1*I139)+$J$1)</f>
        <v>62</v>
      </c>
      <c r="I139" s="4">
        <v>24.8</v>
      </c>
      <c r="J139" s="4"/>
      <c r="K139" s="5">
        <f>INT(L139*$L$1+(C139*$K$1*L139)+$M$1)</f>
        <v>20</v>
      </c>
      <c r="L139" s="4">
        <v>19.8</v>
      </c>
      <c r="M139" s="4"/>
      <c r="N139" s="5">
        <f>INT(O139*$O$1+(C139*$N$1*O139)+$P$1)</f>
        <v>28</v>
      </c>
      <c r="O139" s="4">
        <v>9</v>
      </c>
      <c r="P139" s="4"/>
      <c r="Q139" s="5">
        <f>INT(R139*$R$1+(C139*$Q$1*R139)+$S$1)</f>
        <v>12</v>
      </c>
      <c r="R139" s="4">
        <v>10</v>
      </c>
    </row>
    <row r="140" s="1" customFormat="1" spans="1:18">
      <c r="A140" s="1">
        <v>41001</v>
      </c>
      <c r="B140" s="7" t="s">
        <v>132</v>
      </c>
      <c r="C140" s="1">
        <v>4</v>
      </c>
      <c r="D140" s="7" t="s">
        <v>105</v>
      </c>
      <c r="E140" s="1">
        <v>1</v>
      </c>
      <c r="F140" s="5">
        <f>INT(G140*$F$1+(C140*$E$1*G140)+$G$1)</f>
        <v>1668</v>
      </c>
      <c r="G140" s="4">
        <v>360</v>
      </c>
      <c r="H140" s="5">
        <f>INT(I140*$I$1+(C140*$H$1*I140)+$J$1)</f>
        <v>59</v>
      </c>
      <c r="I140" s="4">
        <v>23.7</v>
      </c>
      <c r="J140" s="4"/>
      <c r="K140" s="5">
        <f>INT(L140*$L$1+(C140*$K$1*L140)+$M$1)</f>
        <v>16</v>
      </c>
      <c r="L140" s="4">
        <v>15</v>
      </c>
      <c r="M140" s="4"/>
      <c r="N140" s="5">
        <f>INT(O140*$O$1+(C140*$N$1*O140)+$P$1)</f>
        <v>26</v>
      </c>
      <c r="O140" s="4">
        <v>8</v>
      </c>
      <c r="P140" s="4"/>
      <c r="Q140" s="5">
        <f>INT(R140*$R$1+(C140*$Q$1*R140)+$S$1)</f>
        <v>12</v>
      </c>
      <c r="R140" s="4">
        <v>10</v>
      </c>
    </row>
    <row r="141" s="1" customFormat="1" spans="1:18">
      <c r="A141" s="1">
        <v>41002</v>
      </c>
      <c r="B141" s="7" t="s">
        <v>134</v>
      </c>
      <c r="C141" s="1">
        <v>4</v>
      </c>
      <c r="D141" s="7" t="s">
        <v>56</v>
      </c>
      <c r="E141" s="1">
        <v>1</v>
      </c>
      <c r="F141" s="5">
        <f>INT(G141*$F$1+(C141*$E$1*G141)+$G$1)</f>
        <v>1668</v>
      </c>
      <c r="G141" s="4">
        <v>360</v>
      </c>
      <c r="H141" s="5">
        <f>INT(I141*$I$1+(C141*$H$1*I141)+$J$1)</f>
        <v>38</v>
      </c>
      <c r="I141" s="4">
        <v>13.8</v>
      </c>
      <c r="J141" s="4"/>
      <c r="K141" s="5">
        <f>INT(L141*$L$1+(C141*$K$1*L141)+$M$1)</f>
        <v>17</v>
      </c>
      <c r="L141" s="4">
        <v>16.2</v>
      </c>
      <c r="M141" s="4"/>
      <c r="N141" s="5">
        <f>INT(O141*$O$1+(C141*$N$1*O141)+$P$1)</f>
        <v>28</v>
      </c>
      <c r="O141" s="4">
        <v>9</v>
      </c>
      <c r="P141" s="4"/>
      <c r="Q141" s="5">
        <f>INT(R141*$R$1+(C141*$Q$1*R141)+$S$1)</f>
        <v>13</v>
      </c>
      <c r="R141" s="4">
        <v>12</v>
      </c>
    </row>
    <row r="142" s="1" customFormat="1" spans="1:18">
      <c r="A142" s="1">
        <v>41003</v>
      </c>
      <c r="B142" s="7" t="s">
        <v>136</v>
      </c>
      <c r="C142" s="1">
        <v>4</v>
      </c>
      <c r="D142" s="7" t="s">
        <v>105</v>
      </c>
      <c r="E142" s="1">
        <v>1</v>
      </c>
      <c r="F142" s="5">
        <f>INT(G142*$F$1+(C142*$E$1*G142)+$G$1)</f>
        <v>1668</v>
      </c>
      <c r="G142" s="4">
        <v>360</v>
      </c>
      <c r="H142" s="5">
        <f>INT(I142*$I$1+(C142*$H$1*I142)+$J$1)</f>
        <v>59</v>
      </c>
      <c r="I142" s="4">
        <v>23.7</v>
      </c>
      <c r="J142" s="4"/>
      <c r="K142" s="5">
        <f>INT(L142*$L$1+(C142*$K$1*L142)+$M$1)</f>
        <v>17</v>
      </c>
      <c r="L142" s="4">
        <v>16.2</v>
      </c>
      <c r="M142" s="4"/>
      <c r="N142" s="5">
        <f>INT(O142*$O$1+(C142*$N$1*O142)+$P$1)</f>
        <v>28</v>
      </c>
      <c r="O142" s="4">
        <v>9</v>
      </c>
      <c r="P142" s="4"/>
      <c r="Q142" s="5">
        <f>INT(R142*$R$1+(C142*$Q$1*R142)+$S$1)</f>
        <v>12</v>
      </c>
      <c r="R142" s="4">
        <v>11</v>
      </c>
    </row>
    <row r="143" s="1" customFormat="1" spans="1:18">
      <c r="A143" s="1">
        <v>41004</v>
      </c>
      <c r="B143" s="7" t="s">
        <v>138</v>
      </c>
      <c r="C143" s="1">
        <v>4</v>
      </c>
      <c r="D143" s="7" t="s">
        <v>56</v>
      </c>
      <c r="E143" s="1">
        <v>1</v>
      </c>
      <c r="F143" s="5">
        <f>INT(G143*$F$1+(C143*$E$1*G143)+$G$1)</f>
        <v>1668</v>
      </c>
      <c r="G143" s="4">
        <v>360</v>
      </c>
      <c r="H143" s="5">
        <f>INT(I143*$I$1+(C143*$H$1*I143)+$J$1)</f>
        <v>62</v>
      </c>
      <c r="I143" s="4">
        <v>24.8</v>
      </c>
      <c r="J143" s="4"/>
      <c r="K143" s="5">
        <f>INT(L143*$L$1+(C143*$K$1*L143)+$M$1)</f>
        <v>17</v>
      </c>
      <c r="L143" s="4">
        <v>16.2</v>
      </c>
      <c r="M143" s="4"/>
      <c r="N143" s="5">
        <f>INT(O143*$O$1+(C143*$N$1*O143)+$P$1)</f>
        <v>28</v>
      </c>
      <c r="O143" s="4">
        <v>9</v>
      </c>
      <c r="P143" s="4"/>
      <c r="Q143" s="5">
        <f>INT(R143*$R$1+(C143*$Q$1*R143)+$S$1)</f>
        <v>12</v>
      </c>
      <c r="R143" s="4">
        <v>11</v>
      </c>
    </row>
    <row r="144" s="1" customFormat="1" spans="1:18">
      <c r="A144" s="1">
        <v>42001</v>
      </c>
      <c r="B144" s="1" t="s">
        <v>171</v>
      </c>
      <c r="C144" s="1">
        <v>4</v>
      </c>
      <c r="D144" s="7" t="s">
        <v>56</v>
      </c>
      <c r="E144" s="1">
        <v>1</v>
      </c>
      <c r="F144" s="5">
        <f>INT(G144*$F$1+(C144*$E$1*G144)+$G$1)</f>
        <v>1668</v>
      </c>
      <c r="G144" s="4">
        <v>360</v>
      </c>
      <c r="H144" s="5">
        <f>INT(I144*$I$1+(C144*$H$1*I144)+$J$1)</f>
        <v>41</v>
      </c>
      <c r="I144" s="4">
        <v>14.9</v>
      </c>
      <c r="J144" s="4"/>
      <c r="K144" s="5">
        <f>INT(L144*$L$1+(C144*$K$1*L144)+$M$1)</f>
        <v>16</v>
      </c>
      <c r="L144" s="4">
        <v>15</v>
      </c>
      <c r="M144" s="4"/>
      <c r="N144" s="5">
        <f>INT(O144*$O$1+(C144*$N$1*O144)+$P$1)</f>
        <v>49</v>
      </c>
      <c r="O144" s="4">
        <v>19</v>
      </c>
      <c r="P144" s="4"/>
      <c r="Q144" s="5">
        <f>INT(R144*$R$1+(C144*$Q$1*R144)+$S$1)</f>
        <v>14</v>
      </c>
      <c r="R144" s="4">
        <v>13</v>
      </c>
    </row>
    <row r="145" s="1" customFormat="1" spans="1:18">
      <c r="A145" s="1">
        <v>42002</v>
      </c>
      <c r="B145" s="1" t="s">
        <v>173</v>
      </c>
      <c r="C145" s="1">
        <v>4</v>
      </c>
      <c r="D145" s="6" t="s">
        <v>84</v>
      </c>
      <c r="E145" s="1">
        <v>1</v>
      </c>
      <c r="F145" s="5">
        <f>INT(G145*$F$1+(C145*$E$1*G145)+$G$1)</f>
        <v>2466</v>
      </c>
      <c r="G145" s="4">
        <v>570</v>
      </c>
      <c r="H145" s="5">
        <f>INT(I145*$I$1+(C145*$H$1*I145)+$J$1)</f>
        <v>52</v>
      </c>
      <c r="I145" s="4">
        <v>20.4</v>
      </c>
      <c r="J145" s="4"/>
      <c r="K145" s="5">
        <f>INT(L145*$L$1+(C145*$K$1*L145)+$M$1)</f>
        <v>19</v>
      </c>
      <c r="L145" s="4">
        <v>18.6</v>
      </c>
      <c r="M145" s="4"/>
      <c r="N145" s="5">
        <f>INT(O145*$O$1+(C145*$N$1*O145)+$P$1)</f>
        <v>28</v>
      </c>
      <c r="O145" s="4">
        <v>9</v>
      </c>
      <c r="P145" s="4"/>
      <c r="Q145" s="5">
        <f>INT(R145*$R$1+(C145*$Q$1*R145)+$S$1)</f>
        <v>12</v>
      </c>
      <c r="R145" s="4">
        <v>10</v>
      </c>
    </row>
    <row r="146" s="1" customFormat="1" spans="1:18">
      <c r="A146" s="1">
        <v>42003</v>
      </c>
      <c r="B146" s="3" t="s">
        <v>175</v>
      </c>
      <c r="C146" s="1">
        <v>4</v>
      </c>
      <c r="D146" s="6" t="s">
        <v>84</v>
      </c>
      <c r="E146" s="1">
        <v>1</v>
      </c>
      <c r="F146" s="5">
        <f>INT(G146*$F$1+(C146*$E$1*G146)+$G$1)</f>
        <v>2998</v>
      </c>
      <c r="G146" s="4">
        <v>710</v>
      </c>
      <c r="H146" s="5">
        <f>INT(I146*$I$1+(C146*$H$1*I146)+$J$1)</f>
        <v>57</v>
      </c>
      <c r="I146" s="4">
        <v>22.6</v>
      </c>
      <c r="J146" s="4"/>
      <c r="K146" s="5">
        <f>INT(L146*$L$1+(C146*$K$1*L146)+$M$1)</f>
        <v>18</v>
      </c>
      <c r="L146" s="4">
        <v>17.4</v>
      </c>
      <c r="M146" s="4"/>
      <c r="N146" s="5">
        <f>INT(O146*$O$1+(C146*$N$1*O146)+$P$1)</f>
        <v>28</v>
      </c>
      <c r="O146" s="4">
        <v>9</v>
      </c>
      <c r="P146" s="4"/>
      <c r="Q146" s="5">
        <f>INT(R146*$R$1+(C146*$Q$1*R146)+$S$1)</f>
        <v>12</v>
      </c>
      <c r="R146" s="4">
        <v>10</v>
      </c>
    </row>
    <row r="152" s="1" customFormat="1" spans="5:18">
      <c r="E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="1" customFormat="1" spans="5:18">
      <c r="E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="1" customFormat="1" spans="5:18">
      <c r="E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="1" customFormat="1" spans="5:18">
      <c r="E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="1" customFormat="1" spans="5:18">
      <c r="E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="1" customFormat="1" spans="5:18">
      <c r="E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="1" customFormat="1" spans="5:18">
      <c r="E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="1" customFormat="1" spans="5:18">
      <c r="E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="1" customFormat="1" spans="5:18">
      <c r="E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="1" customFormat="1" spans="5:18">
      <c r="E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="1" customFormat="1" spans="5:18">
      <c r="E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="1" customFormat="1" spans="5:18">
      <c r="E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="1" customFormat="1" spans="5:18">
      <c r="E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="1" customFormat="1" spans="5:18">
      <c r="E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="1" customFormat="1" spans="5:18">
      <c r="E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="1" customFormat="1" spans="5:18">
      <c r="E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="1" customFormat="1" spans="5:18">
      <c r="E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="1" customFormat="1" spans="5:18">
      <c r="E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="1" customFormat="1" spans="5:18">
      <c r="E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="1" customFormat="1" spans="5:18">
      <c r="E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="1" customFormat="1" spans="5:18">
      <c r="E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="1" customFormat="1" spans="5:18">
      <c r="E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="1" customFormat="1" spans="5:18">
      <c r="E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="1" customFormat="1" spans="5:18">
      <c r="E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="1" customFormat="1" spans="5:18">
      <c r="E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="1" customFormat="1" spans="5:18">
      <c r="E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="1" customFormat="1" spans="5:18">
      <c r="E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="1" customFormat="1" spans="5:18">
      <c r="E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="1" customFormat="1" spans="5:18">
      <c r="E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="1" customFormat="1" spans="5:18">
      <c r="E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="1" customFormat="1" spans="5:18">
      <c r="E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="1" customFormat="1" spans="5:18">
      <c r="E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="1" customFormat="1" spans="5:18">
      <c r="E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="1" customFormat="1" spans="5:18">
      <c r="E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="1" customFormat="1" spans="5:18">
      <c r="E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="1" customFormat="1" spans="5:18">
      <c r="E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="1" customFormat="1" spans="5:18">
      <c r="E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="1" customFormat="1" spans="5:18">
      <c r="E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="1" customFormat="1" spans="5:18">
      <c r="E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="1" customFormat="1" spans="5:18">
      <c r="E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="1" customFormat="1" spans="5:18">
      <c r="E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="1" customFormat="1" spans="5:18">
      <c r="E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="1" customFormat="1" spans="5:18">
      <c r="E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="1" customFormat="1" spans="5:18">
      <c r="E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="1" customFormat="1" spans="5:18">
      <c r="E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="1" customFormat="1" spans="5:18">
      <c r="E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="1" customFormat="1" spans="5:18">
      <c r="E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="1" customFormat="1" spans="5:18">
      <c r="E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="1" customFormat="1" spans="5:18">
      <c r="E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="1" customFormat="1" spans="5:18">
      <c r="E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="1" customFormat="1" spans="5:18">
      <c r="E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="1" customFormat="1" spans="5:18">
      <c r="E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="1" customFormat="1" spans="5:18">
      <c r="E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="1" customFormat="1" spans="5:18">
      <c r="E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="1" customFormat="1" spans="5:18">
      <c r="E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="1" customFormat="1" spans="5:18">
      <c r="E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="1" customFormat="1" spans="5:18">
      <c r="E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="1" customFormat="1" spans="5:18">
      <c r="E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="1" customFormat="1" spans="5:18">
      <c r="E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="1" customFormat="1" spans="5:18">
      <c r="E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="1" customFormat="1" spans="5:18">
      <c r="E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="1" customFormat="1" spans="5:18">
      <c r="E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="1" customFormat="1" spans="5:18">
      <c r="E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="1" customFormat="1" spans="5:18">
      <c r="E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="1" customFormat="1" spans="5:18">
      <c r="E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="1" customFormat="1" spans="5:18">
      <c r="E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="1" customFormat="1" spans="5:18">
      <c r="E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="1" customFormat="1" spans="5:18">
      <c r="E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="1" customFormat="1" spans="5:18">
      <c r="E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="1" customFormat="1" spans="5:18">
      <c r="E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="1" customFormat="1" spans="5:18">
      <c r="E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="1" customFormat="1" spans="5:18">
      <c r="E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="1" customFormat="1" spans="5:18">
      <c r="E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Monster</vt:lpstr>
      <vt:lpstr>Sheet2</vt:lpstr>
      <vt:lpstr>Sheet3</vt:lpstr>
      <vt:lpstr>环形怪物属性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WPS_1670481113</cp:lastModifiedBy>
  <dcterms:created xsi:type="dcterms:W3CDTF">2023-05-12T11:15:00Z</dcterms:created>
  <dcterms:modified xsi:type="dcterms:W3CDTF">2025-01-20T08:37:46Z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