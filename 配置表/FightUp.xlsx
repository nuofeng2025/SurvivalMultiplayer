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FightUp" sheetId="1" r:id="rId1"/>
    <sheet name="Sheet3" sheetId="3" r:id="rId2"/>
    <sheet name="Sheet1" sheetId="4" r:id="rId3"/>
  </sheets>
  <definedNames>
    <definedName name="_xlnm._FilterDatabase" localSheetId="0" hidden="1">FightUp!$A$1:$AJ$30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E3" authorId="0">
      <text>
        <r>
          <rPr>
            <sz val="9"/>
            <rFont val="宋体"/>
            <charset val="134"/>
          </rPr>
          <t>0.特殊
1.基础
2.高级</t>
        </r>
      </text>
    </comment>
    <comment ref="O3" authorId="0">
      <text>
        <r>
          <rPr>
            <sz val="9"/>
            <rFont val="宋体"/>
            <charset val="134"/>
          </rPr>
          <t>1.基地
2.功能建筑（可建造） 
3.防御类建筑（可建造）
4 城墙
用于区分建造类型</t>
        </r>
      </text>
    </comment>
    <comment ref="P3" authorId="0">
      <text>
        <r>
          <rPr>
            <sz val="9"/>
            <rFont val="宋体"/>
            <charset val="134"/>
          </rPr>
          <t xml:space="preserve">1.基地
非1，其他建筑
除开用于判断建筑类型
怪物攻击时优先攻击非1的建筑
</t>
        </r>
      </text>
    </comment>
    <comment ref="S3" authorId="0">
      <text>
        <r>
          <rPr>
            <sz val="9"/>
            <rFont val="宋体"/>
            <charset val="134"/>
          </rPr>
          <t>1.农田：{增加农民数量:增加农民每次运输矿石数量} 累加
2.兵营：所有英雄士兵携带上限增加
3.训练场：{生命:攻击,双防}增加生命和攻击属性
4.帐篷：秒：回复百分比
5.市场：秒：增加金矿</t>
        </r>
      </text>
    </comment>
    <comment ref="U3" authorId="0">
      <text>
        <r>
          <rPr>
            <sz val="9"/>
            <rFont val="宋体"/>
            <charset val="134"/>
          </rPr>
          <t>与Monster的AtkBuild数值做加减法，结果为受到伤害</t>
        </r>
      </text>
    </comment>
    <comment ref="AC3" authorId="0">
      <text>
        <r>
          <rPr>
            <sz val="9"/>
            <rFont val="宋体"/>
            <charset val="134"/>
          </rPr>
          <t>每秒回复
最大生命值%
0.01=1%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L3" authorId="0">
      <text>
        <r>
          <rPr>
            <sz val="9"/>
            <rFont val="宋体"/>
            <charset val="134"/>
          </rPr>
          <t>1.基地
2.功能建筑（可建造） 
3.防御类建筑（可建造）
4 城墙
用于区分建造类型</t>
        </r>
      </text>
    </comment>
    <comment ref="M3" authorId="0">
      <text>
        <r>
          <rPr>
            <sz val="9"/>
            <rFont val="宋体"/>
            <charset val="134"/>
          </rPr>
          <t xml:space="preserve">1.基地
非1，其他建筑
除开用于判断建筑类型
怪物攻击时优先攻击非1的建筑
</t>
        </r>
      </text>
    </comment>
    <comment ref="P3" authorId="0">
      <text>
        <r>
          <rPr>
            <sz val="9"/>
            <rFont val="宋体"/>
            <charset val="134"/>
          </rPr>
          <t>1.农田：{增加农民数量:增加农民每次运输矿石数量} 累加
2.兵营：所有英雄士兵携带上限增加
3.训练场：{生命:攻击,双防}增加生命和攻击属性
4.帐篷：秒：回复百分比
5.市场：秒：增加金矿</t>
        </r>
      </text>
    </comment>
    <comment ref="R3" authorId="0">
      <text>
        <r>
          <rPr>
            <sz val="9"/>
            <rFont val="宋体"/>
            <charset val="134"/>
          </rPr>
          <t>与Monster的AtkBuild数值做加减法，结果为受到伤害</t>
        </r>
      </text>
    </comment>
    <comment ref="Z3" authorId="0">
      <text>
        <r>
          <rPr>
            <sz val="9"/>
            <rFont val="宋体"/>
            <charset val="134"/>
          </rPr>
          <t>每秒回复
最大生命值%
0.01=1%</t>
        </r>
      </text>
    </comment>
  </commentList>
</comments>
</file>

<file path=xl/sharedStrings.xml><?xml version="1.0" encoding="utf-8"?>
<sst xmlns="http://schemas.openxmlformats.org/spreadsheetml/2006/main" count="602" uniqueCount="259">
  <si>
    <t>ID</t>
  </si>
  <si>
    <t>BuildId</t>
  </si>
  <si>
    <t>Concern</t>
  </si>
  <si>
    <t>Name</t>
  </si>
  <si>
    <t>LvTipe</t>
  </si>
  <si>
    <t>Sort</t>
  </si>
  <si>
    <t>Unlock</t>
  </si>
  <si>
    <t>Unlock1</t>
  </si>
  <si>
    <t>Num</t>
  </si>
  <si>
    <t>Lv</t>
  </si>
  <si>
    <t>Cost</t>
  </si>
  <si>
    <t>Volume</t>
  </si>
  <si>
    <t>Reply</t>
  </si>
  <si>
    <t>NeedLv</t>
  </si>
  <si>
    <t>Type</t>
  </si>
  <si>
    <t>Type1</t>
  </si>
  <si>
    <t>Build</t>
  </si>
  <si>
    <t>Spine</t>
  </si>
  <si>
    <t>Effice</t>
  </si>
  <si>
    <t>Skill</t>
  </si>
  <si>
    <t>DefBuild</t>
  </si>
  <si>
    <t>Hp</t>
  </si>
  <si>
    <t>Atk</t>
  </si>
  <si>
    <t>AtkCd</t>
  </si>
  <si>
    <t>Range</t>
  </si>
  <si>
    <t>Def</t>
  </si>
  <si>
    <t>Mdef</t>
  </si>
  <si>
    <t>HpRise</t>
  </si>
  <si>
    <t>RangeRise</t>
  </si>
  <si>
    <t>RiseArea</t>
  </si>
  <si>
    <t>HeroNum</t>
  </si>
  <si>
    <t>Sell</t>
  </si>
  <si>
    <t>Text</t>
  </si>
  <si>
    <t>Text1</t>
  </si>
  <si>
    <t>Edit</t>
  </si>
  <si>
    <t>int</t>
  </si>
  <si>
    <t>string</t>
  </si>
  <si>
    <t>float</t>
  </si>
  <si>
    <t>主键</t>
  </si>
  <si>
    <t>建筑ID</t>
  </si>
  <si>
    <t>关联建筑</t>
  </si>
  <si>
    <t>名称</t>
  </si>
  <si>
    <t>建筑类型</t>
  </si>
  <si>
    <t>排序</t>
  </si>
  <si>
    <t>解锁关卡</t>
  </si>
  <si>
    <t>需要基地等级</t>
  </si>
  <si>
    <t>建造数量</t>
  </si>
  <si>
    <t>等级</t>
  </si>
  <si>
    <t>食物消耗</t>
  </si>
  <si>
    <t>容量</t>
  </si>
  <si>
    <t>重生时间</t>
  </si>
  <si>
    <t>需求建筑等级</t>
  </si>
  <si>
    <t>类型</t>
  </si>
  <si>
    <t>建筑资源</t>
  </si>
  <si>
    <t>建筑模型</t>
  </si>
  <si>
    <t>效果ID</t>
  </si>
  <si>
    <t>关联技能</t>
  </si>
  <si>
    <t>建筑减伤</t>
  </si>
  <si>
    <t>生命</t>
  </si>
  <si>
    <t>攻击</t>
  </si>
  <si>
    <t>攻击间隔/10</t>
  </si>
  <si>
    <t>攻击距离</t>
  </si>
  <si>
    <t>防御</t>
  </si>
  <si>
    <t>魔防</t>
  </si>
  <si>
    <t>生命恢复/秒</t>
  </si>
  <si>
    <t>范围回血效果</t>
  </si>
  <si>
    <t>回血范围</t>
  </si>
  <si>
    <t>英雄数量</t>
  </si>
  <si>
    <t>建筑出售</t>
  </si>
  <si>
    <t>战斗描述</t>
  </si>
  <si>
    <t>界面描述</t>
  </si>
  <si>
    <t>是否可装备</t>
  </si>
  <si>
    <t>基地</t>
  </si>
  <si>
    <t>b10011</t>
  </si>
  <si>
    <t>{1:10}</t>
  </si>
  <si>
    <t>&lt;color=#FFE0A3&gt;&lt;size=25&gt;堡垒升级&lt;/size&gt;&lt;/color&gt;\n英雄出战上限&lt;color=#00FF00&gt;+1&lt;/color&gt;,回复周围单位生命&lt;color=#00FF00&gt;+（0.5%/秒）&lt;/color&gt;</t>
  </si>
  <si>
    <t>&lt;color=#FFE0A3&gt;&lt;size=25&gt;堡垒升级&lt;/size&gt;&lt;/color&gt;\n英雄出战上限+1,回复周围单位生命（0.5%/秒）</t>
  </si>
  <si>
    <t>农田</t>
  </si>
  <si>
    <t>&lt;color=#FFE0A3&gt;&lt;size=25&gt;农田&lt;/size&gt;&lt;/color&gt;\n增加一个农民工和采矿效率（2%/秒）</t>
  </si>
  <si>
    <t>果树</t>
  </si>
  <si>
    <t>&lt;color=#FFE0A3&gt;&lt;size=25&gt;果树&lt;/size&gt;&lt;/color&gt;\n可以生产果实，供农民采集</t>
  </si>
  <si>
    <t>金矿</t>
  </si>
  <si>
    <t>&lt;color=#FFE0A3&gt;&lt;size=25&gt;金矿&lt;/size&gt;&lt;/color&gt;\n可以生产金矿，供农民采集</t>
  </si>
  <si>
    <t>兵营</t>
  </si>
  <si>
    <t>b30011</t>
  </si>
  <si>
    <t>&lt;color=#FFE0A3&gt;&lt;size=25&gt;兵营&lt;/size&gt;&lt;/color&gt;\n所有英雄携带士兵上限&lt;color=#00FF00&gt;+1&lt;/color&gt;</t>
  </si>
  <si>
    <t>训练场</t>
  </si>
  <si>
    <t>b40011</t>
  </si>
  <si>
    <t xml:space="preserve"> {50:10:15}</t>
  </si>
  <si>
    <t>&lt;color=#FFE0A3&gt;&lt;size=25&gt;训练场&lt;/size&gt;&lt;/color&gt;\n1级：所有士兵生命&lt;color=#00FF00&gt;+50&lt;/color&gt;，攻击&lt;color=#00FF00&gt;+10&lt;/color&gt;,双防&lt;color=#00FF00&gt;+15&lt;/color&gt;（全场地生效）</t>
  </si>
  <si>
    <t>雷塔</t>
  </si>
  <si>
    <t>b50011</t>
  </si>
  <si>
    <t>&lt;color=#FFE0A3&gt;&lt;size=25&gt;雷塔&lt;/size&gt;&lt;/color&gt;\n士兵攻击&lt;color=#00FF00&gt;10%&lt;/color&gt;概率附带雷电，额外造成&lt;color=#00FF00&gt;50%&lt;/color&gt;伤害（唯一，全场地生效）</t>
  </si>
  <si>
    <t>嗜血塔</t>
  </si>
  <si>
    <t>b60011</t>
  </si>
  <si>
    <t>&lt;color=#FFE0A3&gt;&lt;size=25&gt;嗜血塔&lt;/size&gt;&lt;/color&gt;\n近战士兵攻击&lt;color=#00FF00&gt;10%&lt;/color&gt;概率恢复造成伤害&lt;color=#00FF00&gt;5%&lt;/color&gt;的生命（唯一，全场地生效）</t>
  </si>
  <si>
    <t>医疗帐篷</t>
  </si>
  <si>
    <t>b70011</t>
  </si>
  <si>
    <t>2:5</t>
  </si>
  <si>
    <t>&lt;color=#FFE0A3&gt;&lt;size=25&gt;医疗帐篷&lt;/size&gt;&lt;/color&gt;\n每&lt;color=#00FF00&gt;2&lt;/color&gt;秒回复英雄最大&lt;color=#00FF00&gt;0.5%&lt;/color&gt;生命值（当前领地生效）</t>
  </si>
  <si>
    <t>箭塔</t>
  </si>
  <si>
    <t>b80011</t>
  </si>
  <si>
    <t>1:20:10</t>
  </si>
  <si>
    <t>&lt;color=#FFE0A3&gt;&lt;size=25&gt;箭塔&lt;/size&gt;&lt;/color&gt;\n对范围内&lt;color=#00FF00&gt;1个&lt;/color&gt;敌人造成&lt;color=#00FF00&gt;1%&lt;/color&gt;当前血量伤害和&lt;color=#00FF00&gt;25&lt;/color&gt;固定伤害。</t>
  </si>
  <si>
    <t>城墙</t>
  </si>
  <si>
    <t>b90011</t>
  </si>
  <si>
    <t>可以阻止敌人前进</t>
  </si>
  <si>
    <t>堡垒塔</t>
  </si>
  <si>
    <t>b100011</t>
  </si>
  <si>
    <t>&lt;color=#FFE0A3&gt;&lt;size=25&gt;堡垒塔&lt;/size&gt;&lt;/color&gt;\n近战士兵被攻击&lt;color=#00FF00&gt;20%&lt;/color&gt;概率减少&lt;color=#00FF00&gt;20%&lt;/color&gt;本次伤害（唯一，全场地生效）</t>
  </si>
  <si>
    <t>精灵塔</t>
  </si>
  <si>
    <t>b100111</t>
  </si>
  <si>
    <t>&lt;color=#FFE0A3&gt;&lt;size=25&gt;精灵塔&lt;/size&gt;&lt;/color&gt;\n远程单位攻击距离增加&lt;color=#00FF00&gt;200&lt;/color&gt;（唯一，全场地生效）</t>
  </si>
  <si>
    <t>分裂塔</t>
  </si>
  <si>
    <t>b100211</t>
  </si>
  <si>
    <t>&lt;color=#FFE0A3&gt;&lt;size=25&gt;分裂塔&lt;/size&gt;&lt;/color&gt;\n远程士兵有&lt;color=#00FF00&gt;30%&lt;/color&gt;概率额外攻击&lt;color=#00FF00&gt;1&lt;/color&gt;个目标，造成&lt;color=#00FF00&gt;30%&lt;/color&gt;伤害（唯一，全场地生效）</t>
  </si>
  <si>
    <t>巨人塔</t>
  </si>
  <si>
    <t>b100311</t>
  </si>
  <si>
    <t>&lt;color=#FFE0A3&gt;&lt;size=25&gt;巨人塔&lt;/size&gt;&lt;/color&gt;\n近战士兵攻击&lt;color=#00FF00&gt;10%&lt;/color&gt;概率造成&lt;color=#00FF00&gt;50%&lt;/color&gt;范围伤害（唯一，全场地生效）</t>
  </si>
  <si>
    <t>重生塔</t>
  </si>
  <si>
    <t>b100411</t>
  </si>
  <si>
    <t>&lt;color=#FFE0A3&gt;&lt;size=25&gt;重生塔&lt;/size&gt;&lt;/color&gt;\n士兵和英雄死亡后&lt;color=#00FF00&gt;10%&lt;/color&gt;概率复活，并回复&lt;color=#00FF00&gt;10%&lt;/color&gt;最大生命（唯一，全场地生效）</t>
  </si>
  <si>
    <t>魔法塔</t>
  </si>
  <si>
    <t>b100511</t>
  </si>
  <si>
    <t>&lt;color=#FFE0A3&gt;&lt;size=25&gt;魔法塔&lt;/size&gt;&lt;/color&gt;\n所有单位可魔法攻击并造成&lt;color=#00FF00&gt;(魔力*1)&lt;/color&gt;额外伤害（唯一，全场地生效）</t>
  </si>
  <si>
    <t>剑圣塔</t>
  </si>
  <si>
    <t>b100611</t>
  </si>
  <si>
    <t>&lt;color=#FFE0A3&gt;&lt;size=25&gt;剑圣塔&lt;/size&gt;&lt;/color&gt;\n近战士兵增加&lt;color=#00FF00&gt;10%&lt;/color&gt;暴击（唯一，全场地生效）</t>
  </si>
  <si>
    <t>镜像塔</t>
  </si>
  <si>
    <t>b100711</t>
  </si>
  <si>
    <t>&lt;color=#FFE0A3&gt;&lt;size=25&gt;镜像塔&lt;/size&gt;&lt;/color&gt;\n复制&lt;color=#00FF00&gt;1&lt;/color&gt;个英雄，继承他&lt;color=#00FF00&gt;50%&lt;/color&gt;属性和被动技能（唯一，全场地生效）</t>
  </si>
  <si>
    <t>市场</t>
  </si>
  <si>
    <t>b100811</t>
  </si>
  <si>
    <t>&lt;color=#FFE0A3&gt;&lt;size=25&gt;市场&lt;/size&gt;&lt;/color&gt;\n每&lt;color=#00FF00&gt;2&lt;/color&gt;秒增加&lt;color=#00FF00&gt;5&lt;/color&gt;个金矿</t>
  </si>
  <si>
    <t>要塞</t>
  </si>
  <si>
    <t>b100911</t>
  </si>
  <si>
    <t>0</t>
  </si>
  <si>
    <t>&lt;color=#FFE0A3&gt;&lt;size=25&gt;要塞&lt;/size&gt;&lt;/color&gt;\n占领后变为你的领地</t>
  </si>
  <si>
    <t>出怪建筑</t>
  </si>
  <si>
    <t>b200011</t>
  </si>
  <si>
    <t>果农</t>
  </si>
  <si>
    <t>&lt;color=#FFE0A3&gt;&lt;size=25&gt;果农民&lt;/size&gt;&lt;/color&gt;\n增加一个采集果树的农民</t>
  </si>
  <si>
    <t>矿工</t>
  </si>
  <si>
    <t>&lt;color=#FFE0A3&gt;&lt;size=25&gt;矿工&lt;/size&gt;&lt;/color&gt;\n增加一个采集金矿的矿工</t>
  </si>
  <si>
    <t>要塞果农</t>
  </si>
  <si>
    <t>&lt;color=#FFE0A3&gt;&lt;size=25&gt;购买农民&lt;/size&gt;&lt;/color&gt;\n增加一个农民，来采集果树</t>
  </si>
  <si>
    <t>要塞矿农</t>
  </si>
  <si>
    <t>&lt;color=#FFE0A3&gt;&lt;size=25&gt;购买农民&lt;/size&gt;&lt;/color&gt;\n增加一个农民，来挖掘金矿</t>
  </si>
  <si>
    <t>防御塔本身效率</t>
  </si>
  <si>
    <t>建造效率：下方为塔品质</t>
  </si>
  <si>
    <t>升级效率：</t>
  </si>
  <si>
    <t>价值效率：</t>
  </si>
  <si>
    <t>建造效率控制在</t>
  </si>
  <si>
    <t>白</t>
  </si>
  <si>
    <t>升级效率</t>
  </si>
  <si>
    <t>蓝</t>
  </si>
  <si>
    <t>满级塔最终效率</t>
  </si>
  <si>
    <t>紫</t>
  </si>
  <si>
    <t>塔</t>
  </si>
  <si>
    <t>品质</t>
  </si>
  <si>
    <t>概率</t>
  </si>
  <si>
    <t>伤害</t>
  </si>
  <si>
    <t>目标数量</t>
  </si>
  <si>
    <t>塔防效率</t>
  </si>
  <si>
    <t>价格</t>
  </si>
  <si>
    <t>价值效率</t>
  </si>
  <si>
    <t>综合效率</t>
  </si>
  <si>
    <t>升级效率提升</t>
  </si>
  <si>
    <r>
      <rPr>
        <sz val="11"/>
        <color rgb="FFFF0000"/>
        <rFont val="微软雅黑"/>
        <charset val="134"/>
      </rPr>
      <t>45%</t>
    </r>
    <r>
      <rPr>
        <sz val="11"/>
        <color theme="1"/>
        <rFont val="微软雅黑"/>
        <charset val="134"/>
      </rPr>
      <t>概率额外造成</t>
    </r>
    <r>
      <rPr>
        <sz val="11"/>
        <color rgb="FFFF0000"/>
        <rFont val="微软雅黑"/>
        <charset val="134"/>
      </rPr>
      <t>25%</t>
    </r>
    <r>
      <rPr>
        <sz val="11"/>
        <color theme="1"/>
        <rFont val="微软雅黑"/>
        <charset val="134"/>
      </rPr>
      <t>伤害</t>
    </r>
  </si>
  <si>
    <r>
      <rPr>
        <sz val="11"/>
        <color theme="1"/>
        <rFont val="微软雅黑"/>
        <charset val="134"/>
      </rPr>
      <t>攻击回复</t>
    </r>
    <r>
      <rPr>
        <sz val="11"/>
        <color rgb="FFFF0000"/>
        <rFont val="微软雅黑"/>
        <charset val="134"/>
      </rPr>
      <t>15%</t>
    </r>
    <r>
      <rPr>
        <sz val="11"/>
        <color theme="1"/>
        <rFont val="微软雅黑"/>
        <charset val="134"/>
      </rPr>
      <t>生命</t>
    </r>
  </si>
  <si>
    <r>
      <rPr>
        <sz val="11"/>
        <color rgb="FFFF0000"/>
        <rFont val="微软雅黑"/>
        <charset val="134"/>
      </rPr>
      <t>25%</t>
    </r>
    <r>
      <rPr>
        <sz val="11"/>
        <color theme="1"/>
        <rFont val="微软雅黑"/>
        <charset val="134"/>
      </rPr>
      <t>概率减少</t>
    </r>
    <r>
      <rPr>
        <sz val="11"/>
        <color rgb="FFFF0000"/>
        <rFont val="微软雅黑"/>
        <charset val="134"/>
      </rPr>
      <t>50%</t>
    </r>
    <r>
      <rPr>
        <sz val="11"/>
        <color theme="1"/>
        <rFont val="微软雅黑"/>
        <charset val="134"/>
      </rPr>
      <t>伤害</t>
    </r>
  </si>
  <si>
    <r>
      <rPr>
        <sz val="11"/>
        <color rgb="FFFF0000"/>
        <rFont val="微软雅黑"/>
        <charset val="134"/>
      </rPr>
      <t>20%</t>
    </r>
    <r>
      <rPr>
        <sz val="11"/>
        <color theme="1"/>
        <rFont val="微软雅黑"/>
        <charset val="134"/>
      </rPr>
      <t>概率对额外</t>
    </r>
    <r>
      <rPr>
        <sz val="11"/>
        <color rgb="FFFF0000"/>
        <rFont val="微软雅黑"/>
        <charset val="134"/>
      </rPr>
      <t>1</t>
    </r>
    <r>
      <rPr>
        <sz val="11"/>
        <color theme="1"/>
        <rFont val="微软雅黑"/>
        <charset val="134"/>
      </rPr>
      <t>个目标造成</t>
    </r>
    <r>
      <rPr>
        <sz val="11"/>
        <color rgb="FFFF0000"/>
        <rFont val="微软雅黑"/>
        <charset val="134"/>
      </rPr>
      <t>50%</t>
    </r>
    <r>
      <rPr>
        <sz val="11"/>
        <color theme="1"/>
        <rFont val="微软雅黑"/>
        <charset val="134"/>
      </rPr>
      <t>伤害</t>
    </r>
  </si>
  <si>
    <r>
      <rPr>
        <sz val="11"/>
        <color rgb="FFFF0000"/>
        <rFont val="微软雅黑"/>
        <charset val="134"/>
      </rPr>
      <t>15%</t>
    </r>
    <r>
      <rPr>
        <sz val="11"/>
        <color theme="1"/>
        <rFont val="微软雅黑"/>
        <charset val="134"/>
      </rPr>
      <t>概率对范围内敌人造成</t>
    </r>
    <r>
      <rPr>
        <sz val="11"/>
        <color rgb="FFFF0000"/>
        <rFont val="微软雅黑"/>
        <charset val="134"/>
      </rPr>
      <t>40%</t>
    </r>
    <r>
      <rPr>
        <sz val="11"/>
        <color theme="1"/>
        <rFont val="微软雅黑"/>
        <charset val="134"/>
      </rPr>
      <t>伤害</t>
    </r>
  </si>
  <si>
    <r>
      <rPr>
        <sz val="11"/>
        <color rgb="FFFF0000"/>
        <rFont val="微软雅黑"/>
        <charset val="134"/>
      </rPr>
      <t>40%</t>
    </r>
    <r>
      <rPr>
        <sz val="11"/>
        <color theme="1"/>
        <rFont val="微软雅黑"/>
        <charset val="134"/>
      </rPr>
      <t>概率对目标造成</t>
    </r>
    <r>
      <rPr>
        <sz val="11"/>
        <color rgb="FFFF0000"/>
        <rFont val="微软雅黑"/>
        <charset val="134"/>
      </rPr>
      <t>魔力*0.5</t>
    </r>
    <r>
      <rPr>
        <sz val="11"/>
        <color theme="1"/>
        <rFont val="微软雅黑"/>
        <charset val="134"/>
      </rPr>
      <t>伤害</t>
    </r>
  </si>
  <si>
    <r>
      <rPr>
        <sz val="11"/>
        <color rgb="FFFF0000"/>
        <rFont val="微软雅黑"/>
        <charset val="134"/>
      </rPr>
      <t>20%</t>
    </r>
    <r>
      <rPr>
        <sz val="11"/>
        <color theme="1"/>
        <rFont val="微软雅黑"/>
        <charset val="134"/>
      </rPr>
      <t>概率对目标造成</t>
    </r>
    <r>
      <rPr>
        <sz val="11"/>
        <color rgb="FFFF0000"/>
        <rFont val="微软雅黑"/>
        <charset val="134"/>
      </rPr>
      <t>200%</t>
    </r>
    <r>
      <rPr>
        <sz val="11"/>
        <color theme="1"/>
        <rFont val="微软雅黑"/>
        <charset val="134"/>
      </rPr>
      <t>伤害</t>
    </r>
  </si>
  <si>
    <t>金矿消耗</t>
  </si>
  <si>
    <t>&lt;color=#FFE0A3&gt;&lt;size=25&gt;堡垒升级&lt;/size&gt;&lt;/color&gt;\n英雄出战上限&lt;color=#00FF00&gt;+1&lt;/color&gt;,回复周围单位生命&lt;color=#00FF00&gt;+（1%/秒）&lt;/color&gt;</t>
  </si>
  <si>
    <t>&lt;color=#FFE0A3&gt;&lt;size=25&gt;堡垒升级&lt;/size&gt;&lt;/color&gt;\n英雄出战上限+1,回复周围单位生命（1%/秒）</t>
  </si>
  <si>
    <t>{2:15}</t>
  </si>
  <si>
    <t>&lt;color=#FFE0A3&gt;&lt;size=25&gt;堡垒升级&lt;/size&gt;&lt;/color&gt;\n英雄出战上限&lt;color=#00FF00&gt;+2&lt;/color&gt;,回复周围单位生命&lt;color=#00FF00&gt;+（1.5%/秒）&lt;/color&gt;</t>
  </si>
  <si>
    <t>&lt;color=#FFE0A3&gt;&lt;size=25&gt;堡垒升级&lt;/size&gt;&lt;/color&gt;\n英雄出战上限+2，回复周围单位生命（1.5%/秒）</t>
  </si>
  <si>
    <t>{3:20}</t>
  </si>
  <si>
    <t>&lt;color=#FFE0A3&gt;&lt;size=25&gt;堡垒升级&lt;/size&gt;&lt;/color&gt;\n英雄出战上限&lt;color=#00FF00&gt;+3&lt;/color&gt;,回复周围单位生命&lt;color=#00FF00&gt;+（2%/秒）&lt;/color&gt;</t>
  </si>
  <si>
    <t>&lt;color=#FFE0A3&gt;&lt;size=25&gt;堡垒升级&lt;/size&gt;&lt;/color&gt;\n英雄出战上限+3，回复周围单位生命（2%/秒）</t>
  </si>
  <si>
    <t>{2:20}</t>
  </si>
  <si>
    <t>{3:30}</t>
  </si>
  <si>
    <t>&lt;color=#FFE0A3&gt;&lt;size=25&gt;兵营&lt;/size&gt;&lt;/color&gt;\n1级：所有英雄携带士兵上限&lt;color=#00FF00&gt;+1&lt;/color&gt;\n2级：所有英雄携带士兵上限&lt;color=#00FF00&gt;+2&lt;/color&gt;\n3级：所有英雄携带士兵上限&lt;color=#00FF00&gt;+3&lt;/color&gt;</t>
  </si>
  <si>
    <t>&lt;color=#FFE0A3&gt;&lt;size=25&gt;兵营&lt;/size&gt;&lt;/color&gt;\n所有英雄携带士兵上限&lt;color=#00FF00&gt;+2&lt;/color&gt;</t>
  </si>
  <si>
    <t>&lt;color=#FFE0A3&gt;&lt;size=25&gt;兵营&lt;/size&gt;&lt;/color&gt;\n所有英雄携带士兵上限&lt;color=#00FF00&gt;+3&lt;/color&gt;</t>
  </si>
  <si>
    <t>&lt;color=#FFE0A3&gt;&lt;size=25&gt;训练场&lt;/size&gt;&lt;/color&gt;\n1级：所有士兵生命&lt;color=#00FF00&gt;+50&lt;/color&gt;，攻击&lt;color=#00FF00&gt;+10&lt;/color&gt;,双防&lt;color=#00FF00&gt;+15&lt;/color&gt;</t>
  </si>
  <si>
    <t>&lt;color=#FFE0A3&gt;&lt;size=25&gt;训练场&lt;/size&gt;&lt;/color&gt;\n1级：所有士兵生命&lt;color=#00FF00&gt;+50&lt;/color&gt;，攻击&lt;color=#00FF00&gt;+10&lt;/color&gt;,双防&lt;color=#00FF00&gt;+15&lt;/color&gt;\n2级：所有士兵生命&lt;color=#00FF00&gt;+75&lt;/color&gt;，攻击&lt;color=#00FF00&gt;+20&lt;/color&gt;,双防&lt;color=#00FF00&gt;+25&lt;/color&gt;\n3级：所有士兵生命&lt;color=#00FF00&gt;+100&lt;/color&gt;，攻击&lt;color=#00FF00&gt;+30&lt;/color&gt;,双防&lt;color=#00FF00&gt;+35&lt;/color&gt;</t>
  </si>
  <si>
    <t xml:space="preserve"> {75:20:25}</t>
  </si>
  <si>
    <t>&lt;color=#FFE0A3&gt;&lt;size=25&gt;训练场&lt;/size&gt;&lt;/color&gt;\n1级：所有士兵生命&lt;color=#00FF00&gt;+75&lt;/color&gt;，攻击&lt;color=#00FF00&gt;+20&lt;/color&gt;,双防&lt;color=#00FF00&gt;+25&lt;/color&gt;</t>
  </si>
  <si>
    <t xml:space="preserve"> {100:30:35}</t>
  </si>
  <si>
    <t>&lt;color=#FFE0A3&gt;&lt;size=25&gt;训练场&lt;/size&gt;&lt;/color&gt;\n1级：所有士兵生命&lt;color=#00FF00&gt;+100&lt;/color&gt;，攻击&lt;color=#00FF00&gt;+30&lt;/color&gt;,双防&lt;color=#00FF00&gt;+35&lt;/color&gt;</t>
  </si>
  <si>
    <t>&lt;color=#FFE0A3&gt;&lt;size=25&gt;雷塔&lt;/size&gt;&lt;/color&gt;\n士兵攻击&lt;color=#00FF00&gt;10%&lt;/color&gt;概率附带雷电，额外造成&lt;color=#00FF00&gt;50%&lt;/color&gt;伤害</t>
  </si>
  <si>
    <t>&lt;color=#FFE0A3&gt;&lt;size=25&gt;雷塔&lt;/size&gt;&lt;/color&gt;\n1级：士兵攻击&lt;color=#00FF00&gt;10%&lt;/color&gt;概率附带雷电，额外造成&lt;color=#00FF00&gt;50%&lt;/color&gt;伤害\n2级：士兵攻击&lt;color=#00FF00&gt;20%&lt;/color&gt;概率附带雷电，额外造成&lt;color=#00FF00&gt;50%&lt;/color&gt;伤害\n3级：士兵攻击&lt;color=#00FF00&gt;30%&lt;/color&gt;概率附带雷电，额外造成&lt;color=#00FF00&gt;50%&lt;/color&gt;伤害\n &lt;color=#ff765b&gt;（只能建造1个）&lt;/color&gt;</t>
  </si>
  <si>
    <t>&lt;color=#FFE0A3&gt;&lt;size=25&gt;雷塔&lt;/size&gt;&lt;/color&gt;\n士兵攻击&lt;color=#00FF00&gt;20%&lt;/color&gt;概率附带雷电，额外造成&lt;color=#00FF00&gt;50%&lt;/color&gt;伤害</t>
  </si>
  <si>
    <t>&lt;color=#FFE0A3&gt;&lt;size=25&gt;雷塔&lt;/size&gt;&lt;/color&gt;\n士兵攻击&lt;color=#00FF00&gt;30%&lt;/color&gt;概率附带雷电，额外造成&lt;color=#00FF00&gt;50%&lt;/color&gt;伤害</t>
  </si>
  <si>
    <t>&lt;color=#FFE0A3&gt;&lt;size=25&gt;嗜血塔&lt;/size&gt;&lt;/color&gt;\n近战士兵攻击&lt;color=#00FF00&gt;10%&lt;/color&gt;概率恢复造成伤害&lt;color=#00FF00&gt;5%&lt;/color&gt;的生命</t>
  </si>
  <si>
    <t>&lt;color=#FFE0A3&gt;&lt;size=25&gt;嗜血塔&lt;/size&gt;&lt;/color&gt;\n1级：近战士兵攻击&lt;color=#00FF00&gt;10%&lt;/color&gt;概率恢复造成伤害&lt;color=#00FF00&gt;5%&lt;/color&gt;的生命 \n2级：近战士兵攻击&lt;color=#00FF00&gt;20%&lt;/color&gt;概率恢复造成伤害&lt;color=#00FF00&gt;5%&lt;/color&gt;的生命 \n3级：近战士兵攻击&lt;color=#00FF00&gt;30%&lt;/color&gt;概率恢复造成伤害&lt;color=#00FF00&gt;5%&lt;/color&gt;的生命\n &lt;color=#ff765b&gt;（只能建造1个）&lt;/color&gt;</t>
  </si>
  <si>
    <t>&lt;color=#FFE0A3&gt;&lt;size=25&gt;嗜血塔&lt;/size&gt;&lt;/color&gt;\n近战士兵攻击&lt;color=#00FF00&gt;20%&lt;/color&gt;概率恢复造成伤害&lt;color=#00FF00&gt;5%&lt;/color&gt;的生命</t>
  </si>
  <si>
    <t>&lt;color=#FFE0A3&gt;&lt;size=25&gt;嗜血塔&lt;/size&gt;&lt;/color&gt;\n近战士兵攻击&lt;color=#00FF00&gt;30%&lt;/color&gt;概率恢复造成伤害&lt;color=#00FF00&gt;5%&lt;/color&gt;的生命</t>
  </si>
  <si>
    <t>&lt;color=#FFE0A3&gt;&lt;size=25&gt;医疗帐篷&lt;/size&gt;&lt;/color&gt;\n每&lt;color=#00FF00&gt;2&lt;/color&gt;秒回复英雄最大&lt;color=#00FF00&gt;0.5%&lt;/color&gt;生命值</t>
  </si>
  <si>
    <t xml:space="preserve">&lt;color=#FFE0A3&gt;&lt;size=25&gt;医疗帐篷&lt;/size&gt;&lt;/color&gt;\n1级：每&lt;color=#00FF00&gt;2&lt;/color&gt;秒回复英雄最大&lt;color=#00FF00&gt;0.5%&lt;/color&gt;生命值\n2级：每&lt;color=#00FF00&gt;2&lt;/color&gt;秒回复英雄最大&lt;color=#00FF00&gt;1%&lt;/color&gt;生命值\n3级：每&lt;color=#00FF00&gt;2&lt;/color&gt;秒回复英雄最大&lt;color=#00FF00&gt;1.5%&lt;/color&gt;生命值 </t>
  </si>
  <si>
    <t>2:10</t>
  </si>
  <si>
    <t>&lt;color=#FFE0A3&gt;&lt;size=25&gt;医疗帐篷&lt;/size&gt;&lt;/color&gt;\n每&lt;color=#00FF00&gt;2&lt;/color&gt;秒回复英雄最大&lt;color=#00FF00&gt;1%&lt;/color&gt;生命值</t>
  </si>
  <si>
    <t>2:15</t>
  </si>
  <si>
    <t>&lt;color=#FFE0A3&gt;&lt;size=25&gt;医疗帐篷&lt;/size&gt;&lt;/color&gt;\n每&lt;color=#00FF00&gt;2&lt;/color&gt;秒回复英雄最大&lt;color=#00FF00&gt;1.5%&lt;/color&gt;生命值</t>
  </si>
  <si>
    <t>&lt;color=#FFE0A3&gt;&lt;size=25&gt;箭塔&lt;/size&gt;&lt;/color&gt;\n能自动攻击远处的敌人，攻击力&lt;color=#00FF00&gt;20&lt;/color&gt;，攻击范围&lt;color=#00FF00&gt;1000&lt;/color&gt;，攻速&lt;color=#00FF00&gt;20&lt;/color&gt;</t>
  </si>
  <si>
    <t>&lt;color=#FFE0A3&gt;&lt;size=25&gt;箭塔&lt;/size&gt;&lt;/color&gt;\n1级：能自动攻击远处的敌人，攻击力&lt;color=#00FF00&gt;20&lt;/color&gt;，攻击范围&lt;color=#00FF00&gt;1000&lt;/color&gt;，攻速&lt;color=#00FF00&gt;20&lt;/color&gt;\n2级：能自动攻击远处的敌人，攻击力&lt;color=#00FF00&gt;30&lt;/color&gt;，攻击范围&lt;color=#00FF00&gt;1200&lt;/color&gt;，攻速&lt;color=#00FF00&gt;15&lt;/color&gt;\n3级：能自动攻击远处的敌人，攻击力&lt;color=#00FF00&gt;40&lt;/color&gt;，攻击范围&lt;color=#00FF00&gt;1500&lt;/color&gt;，攻速&lt;color=#00FF00&gt;10&lt;/color&gt;</t>
  </si>
  <si>
    <t>&lt;color=#FFE0A3&gt;&lt;size=25&gt;箭塔升级&lt;/size&gt;&lt;/color&gt;\n能自动攻击远处的敌人，攻击力&lt;color=#00FF00&gt;30&lt;/color&gt;，攻击范围&lt;color=#00FF00&gt;1200&lt;/color&gt;，攻速&lt;color=#00FF00&gt;15&lt;/color&gt;</t>
  </si>
  <si>
    <t>&lt;color=#FFE0A3&gt;&lt;size=25&gt;箭塔升级&lt;/size&gt;&lt;/color&gt;\n能自动攻击远处的敌人，攻击力&lt;color=#00FF00&gt;40&lt;/color&gt;，攻击范围&lt;color=#00FF00&gt;1500&lt;/color&gt;，攻速&lt;color=#00FF00&gt;10&lt;/color&gt;</t>
  </si>
  <si>
    <t>&lt;color=#FFE0A3&gt;&lt;size=25&gt;堡垒塔&lt;/size&gt;&lt;/color&gt;\n近战士兵被攻击&lt;color=#00FF00&gt;20%&lt;/color&gt;概率减少&lt;color=#00FF00&gt;20%&lt;/color&gt;本次伤害</t>
  </si>
  <si>
    <t>&lt;color=#FFE0A3&gt;&lt;size=25&gt;堡垒塔&lt;/size&gt;&lt;/color&gt;\n1级：近战士兵被攻击&lt;color=#00FF00&gt;20%&lt;/color&gt;概率减少&lt;color=#00FF00&gt;20%&lt;/color&gt;本次伤害\n2级：近战士兵被攻击&lt;color=#00FF00&gt;20%&lt;/color&gt;概率减少&lt;color=#00FF00&gt;30%&lt;/color&gt;本次伤害 \n3级：近战士兵被攻击&lt;color=#00FF00&gt;20%&lt;/color&gt;概率减少&lt;color=#00FF00&gt;40%&lt;/color&gt;本次伤害 \n &lt;color=#ff765b&gt;（只能建造1个）&lt;/color&gt;</t>
  </si>
  <si>
    <t>&lt;color=#FFE0A3&gt;&lt;size=25&gt;堡垒塔&lt;/size&gt;&lt;/color&gt;\n近战士兵被攻击&lt;color=#00FF00&gt;20%&lt;/color&gt;概率减少&lt;color=#00FF00&gt;30%&lt;/color&gt;本次伤害</t>
  </si>
  <si>
    <t>&lt;color=#FFE0A3&gt;&lt;size=25&gt;堡垒塔&lt;/size&gt;&lt;/color&gt;\n近战士兵被攻击&lt;color=#00FF00&gt;20%&lt;/color&gt;概率减少&lt;color=#00FF00&gt;40%&lt;/color&gt;本次伤害</t>
  </si>
  <si>
    <t>&lt;color=#FFE0A3&gt;&lt;size=25&gt;精灵塔&lt;/size&gt;&lt;/color&gt;\n远程单位攻击距离增加&lt;color=#00FF00&gt;200&lt;/color&gt;</t>
  </si>
  <si>
    <t>&lt;color=#FFE0A3&gt;&lt;size=25&gt;精灵塔&lt;/size&gt;&lt;/color&gt;\n1级：远程单位攻击距离增加&lt;color=#00FF00&gt;200&lt;/color&gt;\n2级：远程单位攻击距离增加&lt;color=#00FF00&gt;400&lt;/color&gt;\n3级：远程单位攻击距离增加&lt;color=#00FF00&gt;600&lt;/color&gt;\n &lt;color=#ff765b&gt;（只能建造1个）&lt;/color&gt;</t>
  </si>
  <si>
    <t>&lt;color=#FFE0A3&gt;&lt;size=25&gt;精灵塔升级&lt;/size&gt;&lt;/color&gt;\n远程单位攻击距离增加&lt;color=#00FF00&gt;400&lt;/color&gt;</t>
  </si>
  <si>
    <t>&lt;color=#FFE0A3&gt;&lt;size=25&gt;精灵塔升级&lt;/size&gt;&lt;/color&gt;\n远程单位攻击距离增加&lt;color=#00FF00&gt;600&lt;/color&gt;</t>
  </si>
  <si>
    <t>&lt;color=#FFE0A3&gt;&lt;size=25&gt;分裂塔&lt;/size&gt;&lt;/color&gt;\n远程士兵有&lt;color=#00FF00&gt;30%&lt;/color&gt;概率额外攻击&lt;color=#00FF00&gt;1&lt;/color&gt;个目标，造成&lt;color=#00FF00&gt;30%&lt;/color&gt;伤害</t>
  </si>
  <si>
    <t>&lt;color=#FFE0A3&gt;&lt;size=25&gt;分裂塔&lt;/size&gt;&lt;/color&gt;\n1级：远程士兵有&lt;color=#00FF00&gt;30%&lt;/color&gt;概率额外攻击&lt;color=#00FF00&gt;1&lt;/color&gt;个目标，造成&lt;color=#00FF00&gt;30%&lt;/color&gt;伤害\n2级：远程士兵有&lt;color=#00FF00&gt;30%&lt;/color&gt;概率额外攻击&lt;color=#00FF00&gt;1&lt;/color&gt;个目标，造成&lt;color=#00FF00&gt;50%&lt;/color&gt;伤害\n3级：远程士兵有&lt;color=#00FF00&gt;30%&lt;/color&gt;概率额外攻击&lt;color=#00FF00&gt;2&lt;/color&gt;个目标，造成&lt;color=#00FF00&gt;50%&lt;/color&gt;伤害\n &lt;color=#ff765b&gt;（只能建造1个）&lt;/color&gt;</t>
  </si>
  <si>
    <t>&lt;color=#FFE0A3&gt;&lt;size=25&gt;分裂塔&lt;/size&gt;&lt;/color&gt;\n远程士兵有&lt;color=#00FF00&gt;30%&lt;/color&gt;概率额外攻击&lt;color=#00FF00&gt;1&lt;/color&gt;个目标，造成&lt;color=#00FF00&gt;50%&lt;/color&gt;伤害</t>
  </si>
  <si>
    <t>&lt;color=#FFE0A3&gt;&lt;size=25&gt;分裂塔&lt;/size&gt;&lt;/color&gt;\n远程士兵有&lt;color=#00FF00&gt;30%&lt;/color&gt;概率额外攻击&lt;color=#00FF00&gt;2&lt;/color&gt;个目标，造成&lt;color=#00FF00&gt;50%&lt;/color&gt;伤害</t>
  </si>
  <si>
    <t>&lt;color=#FFE0A3&gt;&lt;size=25&gt;巨人塔&lt;/size&gt;&lt;/color&gt;\n近战士兵攻击&lt;color=#00FF00&gt;10%&lt;/color&gt;概率造成&lt;color=#00FF00&gt;50%&lt;/color&gt;范围伤害</t>
  </si>
  <si>
    <t>&lt;color=#FFE0A3&gt;&lt;size=25&gt;巨人塔&lt;/size&gt;&lt;/color&gt;\n1级：近战士兵攻击&lt;color=#00FF00&gt;10%&lt;/color&gt;概率造成&lt;color=#00FF00&gt;50%&lt;/color&gt;范围伤害\n2级：近战士兵攻击&lt;color=#00FF00&gt;20%&lt;/color&gt;概率造成&lt;color=#00FF00&gt;50%&lt;/color&gt;范围伤害\n3级：近战士兵攻击&lt;color=#00FF00&gt;30%&lt;/color&gt;概率造成&lt;color=#00FF00&gt;50%&lt;/color&gt;范围伤害 \n &lt;color=#ff765b&gt;（只能建造1个）&lt;/color&gt;</t>
  </si>
  <si>
    <t>&lt;color=#FFE0A3&gt;&lt;size=25&gt;巨人塔&lt;/size&gt;&lt;/color&gt;\n近战士兵攻击&lt;color=#00FF00&gt;20%&lt;/color&gt;概率造成&lt;color=#00FF00&gt;50%&lt;/color&gt;范围伤害</t>
  </si>
  <si>
    <t>&lt;color=#FFE0A3&gt;&lt;size=25&gt;巨人塔&lt;/size&gt;&lt;/color&gt;\n近战士兵攻击&lt;color=#00FF00&gt;30%&lt;/color&gt;概率造成&lt;color=#00FF00&gt;50%&lt;/color&gt;范围伤害</t>
  </si>
  <si>
    <t>&lt;color=#FFE0A3&gt;&lt;size=25&gt;重生塔&lt;/size&gt;&lt;/color&gt;\n士兵和英雄死亡后&lt;color=#00FF00&gt;10%&lt;/color&gt;概率复活，并回复&lt;color=#00FF00&gt;10%&lt;/color&gt;最大生命</t>
  </si>
  <si>
    <t>&lt;color=#FFE0A3&gt;&lt;size=25&gt;重生塔&lt;/size&gt;&lt;/color&gt;\n1级：士兵和英雄死亡后&lt;color=#00FF00&gt;10%&lt;/color&gt;概率复活，并回复&lt;color=#00FF00&gt;10%&lt;/color&gt;最大生命\n2级：士兵和英雄死亡后&lt;color=#00FF00&gt;15%&lt;/color&gt;概率复活，并回复&lt;color=#00FF00&gt;15%&lt;/color&gt;最大生命\n3级：士兵和英雄死亡后&lt;color=#00FF00&gt;20%&lt;/color&gt;概率复活，并回复&lt;color=#00FF00&gt;20%&lt;/color&gt;最大生命\n &lt;color=#ff765b&gt;（只能建造1个）&lt;/color&gt;</t>
  </si>
  <si>
    <t>&lt;color=#FFE0A3&gt;&lt;size=25&gt;重生塔&lt;/size&gt;&lt;/color&gt;\n士兵和英雄死亡后&lt;color=#00FF00&gt;15%&lt;/color&gt;概率复活，并回复&lt;color=#00FF00&gt;15%&lt;/color&gt;最大生命</t>
  </si>
  <si>
    <t>&lt;color=#FFE0A3&gt;&lt;size=25&gt;重生塔&lt;/size&gt;&lt;/color&gt;\n士兵和英雄死亡后&lt;color=#00FF00&gt;20%&lt;/color&gt;概率复活，并回复&lt;color=#00FF00&gt;20%&lt;/color&gt;最大生命</t>
  </si>
  <si>
    <t>&lt;color=#FFE0A3&gt;&lt;size=25&gt;魔法塔&lt;/size&gt;&lt;/color&gt;\n所有单位可魔法攻击并造成&lt;color=#00FF00&gt;(魔力*1)&lt;/color&gt;额外伤害</t>
  </si>
  <si>
    <t>&lt;color=#FFE0A3&gt;&lt;size=25&gt;魔法塔&lt;/size&gt;&lt;/color&gt;\n1级：所有单位可魔法攻击并造成&lt;color=#00FF00&gt;(魔力*1)&lt;/color&gt;额外伤害\n2级：所有单位可魔法攻击并造成&lt;color=#00FF00&gt;(魔力*1.5)&lt;/color&gt;额外伤害\n3级：所有单位可魔法攻击并造成&lt;color=#00FF00&gt;(魔力*2)&lt;/color&gt;额外伤害\n &lt;color=#ff765b&gt;（只能建造1个）&lt;/color&gt;</t>
  </si>
  <si>
    <t>&lt;color=#FFE0A3&gt;&lt;size=25&gt;魔法塔&lt;/size&gt;&lt;/color&gt;\n所有单位可魔法攻击并造成&lt;color=#00FF00&gt;(魔力*1.5)&lt;/color&gt;额外伤害</t>
  </si>
  <si>
    <t>&lt;color=#FFE0A3&gt;&lt;size=25&gt;魔法塔&lt;/size&gt;&lt;/color&gt;\n所有单位可魔法攻击并造成&lt;color=#00FF00&gt;(魔力*2)&lt;/color&gt;额外伤害</t>
  </si>
  <si>
    <t>&lt;color=#FFE0A3&gt;&lt;size=25&gt;剑圣塔&lt;/size&gt;&lt;/color&gt;\n近战士兵增加&lt;color=#00FF00&gt;10%&lt;/color&gt;暴击</t>
  </si>
  <si>
    <t>&lt;color=#FFE0A3&gt;&lt;size=25&gt;剑圣塔&lt;/size&gt;&lt;/color&gt;\n1级：近战士兵增加&lt;color=#00FF00&gt;10%&lt;/color&gt;暴击\n2级：近战士兵增加&lt;color=#00FF00&gt;15%&lt;/color&gt;暴击 \n3级：近战士兵增加&lt;color=#00FF00&gt;20%&lt;/color&gt;暴击\n &lt;color=#ff765b&gt;（只能建造1个）&lt;/color&gt;</t>
  </si>
  <si>
    <t>&lt;color=#FFE0A3&gt;&lt;size=25&gt;剑圣塔&lt;/size&gt;&lt;/color&gt;\n近战士兵增加&lt;color=#00FF00&gt;15%&lt;/color&gt;暴击</t>
  </si>
  <si>
    <t>&lt;color=#FFE0A3&gt;&lt;size=25&gt;剑圣塔&lt;/size&gt;&lt;/color&gt;\n近战士兵增加&lt;color=#00FF00&gt;20%&lt;/color&gt;暴击</t>
  </si>
  <si>
    <t>&lt;color=#FFE0A3&gt;&lt;size=25&gt;镜像塔&lt;/size&gt;&lt;/color&gt;\n复制&lt;color=#00FF00&gt;1&lt;/color&gt;个英雄，继承他&lt;color=#00FF00&gt;50%&lt;/color&gt;属性和被动技能</t>
  </si>
  <si>
    <t>&lt;color=#FFE0A3&gt;&lt;size=25&gt;镜像塔&lt;/size&gt;&lt;/color&gt;\n1级：复制&lt;color=#00FF00&gt;1&lt;/color&gt;个英雄，继承他&lt;color=#00FF00&gt;50%&lt;/color&gt;属性和被动技能\n2级：复制&lt;color=#00FF00&gt;2&lt;/color&gt;个英雄，继承他&lt;color=#00FF00&gt;50%&lt;/color&gt;属性和被动技能\n3级：复制&lt;color=#00FF00&gt;3&lt;/color&gt;个英雄，继承他&lt;color=#00FF00&gt;50%&lt;/color&gt;属性和被动技能\n &lt;color=#ff765b&gt;（只能建造1个）&lt;/color&gt;</t>
  </si>
  <si>
    <t>&lt;color=#FFE0A3&gt;&lt;size=25&gt;镜像塔&lt;/size&gt;&lt;/color&gt;\n复制&lt;color=#00FF00&gt;2&lt;/color&gt;个英雄，继承他&lt;color=#00FF00&gt;50%&lt;/color&gt;属性和被动技能</t>
  </si>
  <si>
    <t>&lt;color=#FFE0A3&gt;&lt;size=25&gt;镜像塔&lt;/size&gt;&lt;/color&gt;\n复制&lt;color=#00FF00&gt;3&lt;/color&gt;个英雄，继承他&lt;color=#00FF00&gt;50%&lt;/color&gt;属性和被动技能</t>
  </si>
  <si>
    <t>&lt;color=#FFE0A3&gt;&lt;size=25&gt;市场&lt;/size&gt;&lt;/color&gt;\n1级：每&lt;color=#00FF00&gt;2&lt;/color&gt;秒增加&lt;color=#00FF00&gt;5&lt;/color&gt;个金矿\n2级：每&lt;color=#00FF00&gt;2&lt;/color&gt;秒增加&lt;color=#00FF00&gt;10&lt;/color&gt;个金矿\n3级：每&lt;color=#00FF00&gt;2&lt;/color&gt;秒增加&lt;color=#00FF00&gt;15&lt;/color&gt;个金矿</t>
  </si>
  <si>
    <t>&lt;color=#FFE0A3&gt;&lt;size=25&gt;市场&lt;/size&gt;&lt;/color&gt;\n每&lt;color=#00FF00&gt;2&lt;/color&gt;秒增加&lt;color=#00FF00&gt;10&lt;/color&gt;个金矿</t>
  </si>
  <si>
    <t>&lt;color=#FFE0A3&gt;&lt;size=25&gt;市场&lt;/size&gt;&lt;/color&gt;\n每&lt;color=#00FF00&gt;2&lt;/color&gt;秒增加&lt;color=#00FF00&gt;15&lt;/color&gt;个金矿</t>
  </si>
  <si>
    <t>购买农民</t>
  </si>
  <si>
    <t>&lt;color=#FFE0A3&gt;&lt;size=25&gt;购买农民&lt;/size&gt;&lt;/color&gt;\n增加一个农民，来提高金矿获取速度</t>
  </si>
  <si>
    <t>{2:10}</t>
  </si>
  <si>
    <t>&lt;color=#FFE0A3&gt;&lt;size=25&gt;购买农民&lt;/size&gt;&lt;/color&gt;\n增加一个农民，可以提高金矿获取速度</t>
  </si>
  <si>
    <t>{3:10}</t>
  </si>
  <si>
    <t>{4:10}</t>
  </si>
  <si>
    <t>{5:10}</t>
  </si>
  <si>
    <t>{6:10}</t>
  </si>
  <si>
    <t>&lt;color=#FFE0A3&gt;&lt;size=25&gt;矿车升级&lt;/size&gt;&lt;/color&gt;\n提高每次运送金矿数量</t>
  </si>
  <si>
    <t>农民运矿</t>
  </si>
  <si>
    <t>&lt;color=#FFE0A3&gt;&lt;size=25&gt;矿车升级&lt;/size&gt;&lt;/color&gt;\n提高农民每次运送金矿数量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</si>
</sst>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2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"/>
  <sheetViews>
    <sheetView tabSelected="1" workbookViewId="0">
      <pane xSplit="4" ySplit="3" topLeftCell="U4" activePane="bottomRight" state="frozen"/>
      <selection/>
      <selection pane="topRight"/>
      <selection pane="bottomLeft"/>
      <selection pane="bottomRight" activeCell="AG20" sqref="AG20"/>
    </sheetView>
  </sheetViews>
  <sheetFormatPr defaultColWidth="9" defaultRowHeight="16.5"/>
  <cols>
    <col min="1" max="3" width="9" style="2"/>
    <col min="4" max="4" width="13.75" style="2" customWidth="1"/>
    <col min="6" max="7" width="7.75" style="2" customWidth="1"/>
    <col min="8" max="8" width="11.75" style="2" customWidth="1"/>
    <col min="9" max="9" width="11.5" style="2" customWidth="1"/>
    <col min="10" max="10" width="7.75" style="2" customWidth="1"/>
    <col min="11" max="11" width="12.625" style="2" customWidth="1"/>
    <col min="12" max="12" width="15.375" style="2" customWidth="1"/>
    <col min="13" max="13" width="10" style="2" customWidth="1"/>
    <col min="14" max="15" width="7.75" style="2" customWidth="1"/>
    <col min="16" max="16" width="9" style="2" customWidth="1"/>
    <col min="17" max="18" width="10.875" style="2" customWidth="1"/>
    <col min="19" max="19" width="9.625" style="2" customWidth="1"/>
    <col min="20" max="21" width="10.875" style="2" customWidth="1"/>
    <col min="22" max="27" width="9" style="2" customWidth="1"/>
    <col min="28" max="29" width="8.125" style="2" customWidth="1"/>
    <col min="30" max="32" width="10.875" style="2" customWidth="1"/>
    <col min="33" max="34" width="27.125" style="2" customWidth="1"/>
    <col min="35" max="16384" width="9" style="2"/>
  </cols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7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="1" customFormat="1" spans="1:35">
      <c r="A2" s="3" t="s">
        <v>35</v>
      </c>
      <c r="B2" s="3" t="s">
        <v>35</v>
      </c>
      <c r="C2" s="3" t="s">
        <v>35</v>
      </c>
      <c r="D2" s="1" t="s">
        <v>36</v>
      </c>
      <c r="E2" s="3" t="s">
        <v>35</v>
      </c>
      <c r="F2" s="3" t="s">
        <v>35</v>
      </c>
      <c r="G2" s="1" t="s">
        <v>36</v>
      </c>
      <c r="H2" s="1" t="s">
        <v>36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3" t="s">
        <v>35</v>
      </c>
      <c r="Q2" s="1" t="s">
        <v>36</v>
      </c>
      <c r="R2" s="1" t="s">
        <v>36</v>
      </c>
      <c r="S2" s="4" t="s">
        <v>36</v>
      </c>
      <c r="T2" s="4" t="s">
        <v>36</v>
      </c>
      <c r="U2" s="3" t="s">
        <v>37</v>
      </c>
      <c r="V2" s="3" t="s">
        <v>35</v>
      </c>
      <c r="W2" s="1" t="s">
        <v>35</v>
      </c>
      <c r="X2" s="1" t="s">
        <v>35</v>
      </c>
      <c r="Y2" s="1" t="s">
        <v>35</v>
      </c>
      <c r="Z2" s="3" t="s">
        <v>35</v>
      </c>
      <c r="AA2" s="3" t="s">
        <v>35</v>
      </c>
      <c r="AB2" s="3" t="s">
        <v>35</v>
      </c>
      <c r="AC2" s="3" t="s">
        <v>37</v>
      </c>
      <c r="AD2" s="3" t="s">
        <v>35</v>
      </c>
      <c r="AE2" s="3" t="s">
        <v>35</v>
      </c>
      <c r="AF2" s="3" t="s">
        <v>35</v>
      </c>
      <c r="AG2" s="4" t="s">
        <v>36</v>
      </c>
      <c r="AH2" s="4" t="s">
        <v>36</v>
      </c>
      <c r="AI2" s="3" t="s">
        <v>35</v>
      </c>
    </row>
    <row r="3" s="1" customFormat="1" spans="1:3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1" t="s">
        <v>51</v>
      </c>
      <c r="O3" s="4" t="s">
        <v>52</v>
      </c>
      <c r="P3" s="4" t="s">
        <v>52</v>
      </c>
      <c r="Q3" s="4" t="s">
        <v>53</v>
      </c>
      <c r="R3" s="4" t="s">
        <v>54</v>
      </c>
      <c r="S3" s="4" t="s">
        <v>55</v>
      </c>
      <c r="T3" s="4" t="s">
        <v>56</v>
      </c>
      <c r="U3" s="4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3" t="s">
        <v>68</v>
      </c>
      <c r="AG3" s="1" t="s">
        <v>69</v>
      </c>
      <c r="AH3" s="1" t="s">
        <v>70</v>
      </c>
      <c r="AI3" s="1" t="s">
        <v>71</v>
      </c>
    </row>
    <row r="4" spans="1:35">
      <c r="A4" s="2">
        <v>1001</v>
      </c>
      <c r="B4" s="2">
        <f>A4</f>
        <v>1001</v>
      </c>
      <c r="C4" s="2">
        <v>0</v>
      </c>
      <c r="D4" s="2" t="s">
        <v>72</v>
      </c>
      <c r="E4" s="1">
        <v>0</v>
      </c>
      <c r="F4" s="2">
        <v>0</v>
      </c>
      <c r="G4" s="2">
        <v>11</v>
      </c>
      <c r="H4" s="2">
        <v>1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1</v>
      </c>
      <c r="Q4" s="2" t="s">
        <v>73</v>
      </c>
      <c r="R4" s="2" t="s">
        <v>73</v>
      </c>
      <c r="S4" s="5" t="s">
        <v>74</v>
      </c>
      <c r="T4" s="5">
        <v>0</v>
      </c>
      <c r="U4" s="5">
        <v>20</v>
      </c>
      <c r="V4" s="2">
        <v>3000</v>
      </c>
      <c r="W4" s="2">
        <v>0</v>
      </c>
      <c r="X4" s="2">
        <v>0</v>
      </c>
      <c r="Y4" s="2">
        <v>0</v>
      </c>
      <c r="Z4" s="2">
        <v>50</v>
      </c>
      <c r="AA4" s="2">
        <v>50</v>
      </c>
      <c r="AB4" s="2">
        <v>5</v>
      </c>
      <c r="AC4" s="2">
        <v>0.005</v>
      </c>
      <c r="AD4" s="2">
        <v>800</v>
      </c>
      <c r="AE4" s="2">
        <v>1</v>
      </c>
      <c r="AF4" s="2">
        <f t="shared" ref="AF4:AF9" si="0">INT(K4/4)</f>
        <v>0</v>
      </c>
      <c r="AG4" s="10" t="s">
        <v>75</v>
      </c>
      <c r="AH4" s="10" t="s">
        <v>76</v>
      </c>
      <c r="AI4" s="2">
        <v>0</v>
      </c>
    </row>
    <row r="5" spans="1:36">
      <c r="A5" s="2">
        <v>2001</v>
      </c>
      <c r="B5" s="2">
        <f>A5</f>
        <v>2001</v>
      </c>
      <c r="C5" s="2">
        <v>0</v>
      </c>
      <c r="D5" s="2" t="s">
        <v>77</v>
      </c>
      <c r="E5" s="1">
        <v>0</v>
      </c>
      <c r="F5" s="2">
        <v>0</v>
      </c>
      <c r="G5" s="2">
        <v>11</v>
      </c>
      <c r="H5" s="2">
        <v>1</v>
      </c>
      <c r="I5" s="2">
        <v>0</v>
      </c>
      <c r="J5" s="2">
        <v>1</v>
      </c>
      <c r="K5" s="2">
        <v>500</v>
      </c>
      <c r="L5" s="2">
        <v>0</v>
      </c>
      <c r="M5" s="2">
        <v>0</v>
      </c>
      <c r="N5" s="2">
        <v>0</v>
      </c>
      <c r="O5" s="2">
        <v>2</v>
      </c>
      <c r="P5" s="2">
        <v>2</v>
      </c>
      <c r="Q5" s="2">
        <v>0</v>
      </c>
      <c r="R5" s="2">
        <v>0</v>
      </c>
      <c r="S5" s="5" t="s">
        <v>74</v>
      </c>
      <c r="T5" s="5">
        <v>0</v>
      </c>
      <c r="U5" s="8">
        <v>15</v>
      </c>
      <c r="V5" s="2">
        <v>200</v>
      </c>
      <c r="W5" s="2">
        <v>0</v>
      </c>
      <c r="X5" s="2">
        <v>0</v>
      </c>
      <c r="Y5" s="2">
        <v>0</v>
      </c>
      <c r="Z5" s="2">
        <f t="shared" ref="Z5:Z7" si="1">Z4/2</f>
        <v>25</v>
      </c>
      <c r="AA5" s="2">
        <f t="shared" ref="AA5:AA9" si="2">Z5</f>
        <v>25</v>
      </c>
      <c r="AB5" s="11">
        <v>10</v>
      </c>
      <c r="AC5" s="2">
        <v>0</v>
      </c>
      <c r="AD5" s="2">
        <v>0</v>
      </c>
      <c r="AE5" s="2">
        <v>0</v>
      </c>
      <c r="AF5" s="2">
        <f t="shared" si="0"/>
        <v>125</v>
      </c>
      <c r="AG5" s="10" t="s">
        <v>78</v>
      </c>
      <c r="AH5" s="10" t="s">
        <v>78</v>
      </c>
      <c r="AI5" s="2">
        <v>0</v>
      </c>
      <c r="AJ5" s="10"/>
    </row>
    <row r="6" s="18" customFormat="1" spans="1:36">
      <c r="A6" s="18">
        <v>2101</v>
      </c>
      <c r="B6" s="18">
        <v>2101</v>
      </c>
      <c r="C6" s="18">
        <v>0</v>
      </c>
      <c r="D6" s="18" t="s">
        <v>79</v>
      </c>
      <c r="E6" s="19">
        <v>1</v>
      </c>
      <c r="F6" s="18">
        <v>1010</v>
      </c>
      <c r="G6" s="18">
        <v>11</v>
      </c>
      <c r="H6" s="18">
        <v>1</v>
      </c>
      <c r="I6" s="18">
        <v>0</v>
      </c>
      <c r="J6" s="18">
        <v>1</v>
      </c>
      <c r="K6" s="18">
        <v>0</v>
      </c>
      <c r="L6" s="18">
        <v>300</v>
      </c>
      <c r="M6" s="18">
        <v>30000</v>
      </c>
      <c r="N6" s="18">
        <v>0</v>
      </c>
      <c r="O6" s="18">
        <v>2</v>
      </c>
      <c r="P6" s="18">
        <v>21</v>
      </c>
      <c r="Q6" s="18">
        <v>0</v>
      </c>
      <c r="R6" s="18">
        <v>0</v>
      </c>
      <c r="S6" s="20" t="s">
        <v>74</v>
      </c>
      <c r="T6" s="20">
        <v>0</v>
      </c>
      <c r="U6" s="21">
        <v>15</v>
      </c>
      <c r="V6" s="18">
        <v>200</v>
      </c>
      <c r="W6" s="18">
        <v>0</v>
      </c>
      <c r="X6" s="18">
        <v>0</v>
      </c>
      <c r="Y6" s="18">
        <v>0</v>
      </c>
      <c r="Z6" s="18">
        <v>12</v>
      </c>
      <c r="AA6" s="18">
        <f t="shared" si="2"/>
        <v>12</v>
      </c>
      <c r="AB6" s="24">
        <v>10</v>
      </c>
      <c r="AC6" s="18">
        <v>0</v>
      </c>
      <c r="AD6" s="18">
        <v>0</v>
      </c>
      <c r="AE6" s="18">
        <v>0</v>
      </c>
      <c r="AF6" s="18">
        <f t="shared" si="0"/>
        <v>0</v>
      </c>
      <c r="AG6" s="25" t="s">
        <v>80</v>
      </c>
      <c r="AH6" s="25" t="s">
        <v>80</v>
      </c>
      <c r="AI6" s="18">
        <v>0</v>
      </c>
      <c r="AJ6" s="25"/>
    </row>
    <row r="7" s="18" customFormat="1" spans="1:36">
      <c r="A7" s="18">
        <v>2201</v>
      </c>
      <c r="B7" s="18">
        <v>2201</v>
      </c>
      <c r="C7" s="18">
        <v>0</v>
      </c>
      <c r="D7" s="18" t="s">
        <v>81</v>
      </c>
      <c r="E7" s="19">
        <v>1</v>
      </c>
      <c r="F7" s="18">
        <v>1020</v>
      </c>
      <c r="G7" s="18">
        <v>11</v>
      </c>
      <c r="H7" s="18">
        <v>1</v>
      </c>
      <c r="I7" s="18">
        <v>0</v>
      </c>
      <c r="J7" s="18">
        <v>1</v>
      </c>
      <c r="K7" s="18">
        <v>0</v>
      </c>
      <c r="L7" s="18">
        <v>400</v>
      </c>
      <c r="M7" s="18">
        <v>50000</v>
      </c>
      <c r="N7" s="18">
        <v>0</v>
      </c>
      <c r="O7" s="18">
        <v>2</v>
      </c>
      <c r="P7" s="18">
        <v>22</v>
      </c>
      <c r="Q7" s="18">
        <v>0</v>
      </c>
      <c r="R7" s="18">
        <v>0</v>
      </c>
      <c r="S7" s="20" t="s">
        <v>74</v>
      </c>
      <c r="T7" s="20">
        <v>0</v>
      </c>
      <c r="U7" s="21">
        <v>15</v>
      </c>
      <c r="V7" s="18">
        <v>2000</v>
      </c>
      <c r="W7" s="18">
        <v>0</v>
      </c>
      <c r="X7" s="18">
        <v>0</v>
      </c>
      <c r="Y7" s="18">
        <v>0</v>
      </c>
      <c r="Z7" s="18">
        <v>6</v>
      </c>
      <c r="AA7" s="18">
        <f t="shared" si="2"/>
        <v>6</v>
      </c>
      <c r="AB7" s="24">
        <v>10</v>
      </c>
      <c r="AC7" s="18">
        <v>0</v>
      </c>
      <c r="AD7" s="18">
        <v>0</v>
      </c>
      <c r="AE7" s="18">
        <v>0</v>
      </c>
      <c r="AF7" s="18">
        <f t="shared" si="0"/>
        <v>0</v>
      </c>
      <c r="AG7" s="25" t="s">
        <v>82</v>
      </c>
      <c r="AH7" s="25" t="s">
        <v>82</v>
      </c>
      <c r="AI7" s="18">
        <v>0</v>
      </c>
      <c r="AJ7" s="25"/>
    </row>
    <row r="8" spans="1:35">
      <c r="A8" s="2">
        <v>3001</v>
      </c>
      <c r="B8" s="2">
        <f>A8</f>
        <v>3001</v>
      </c>
      <c r="C8" s="2">
        <v>0</v>
      </c>
      <c r="D8" s="2" t="s">
        <v>83</v>
      </c>
      <c r="E8" s="1">
        <v>1</v>
      </c>
      <c r="F8" s="2">
        <v>1031</v>
      </c>
      <c r="G8" s="2">
        <v>12</v>
      </c>
      <c r="H8" s="2">
        <v>1</v>
      </c>
      <c r="I8" s="2">
        <v>0</v>
      </c>
      <c r="J8" s="2">
        <v>1</v>
      </c>
      <c r="K8" s="2">
        <v>300</v>
      </c>
      <c r="L8" s="2">
        <v>0</v>
      </c>
      <c r="M8" s="2">
        <v>0</v>
      </c>
      <c r="N8" s="2">
        <v>0</v>
      </c>
      <c r="O8" s="2">
        <v>2</v>
      </c>
      <c r="P8" s="2">
        <v>3</v>
      </c>
      <c r="Q8" s="2" t="s">
        <v>84</v>
      </c>
      <c r="R8" s="2" t="s">
        <v>84</v>
      </c>
      <c r="S8" s="5">
        <v>1</v>
      </c>
      <c r="T8" s="5">
        <v>0</v>
      </c>
      <c r="U8" s="5">
        <f>U5</f>
        <v>15</v>
      </c>
      <c r="V8" s="2">
        <v>2000</v>
      </c>
      <c r="W8" s="2">
        <v>0</v>
      </c>
      <c r="X8" s="2">
        <v>0</v>
      </c>
      <c r="Y8" s="2">
        <v>0</v>
      </c>
      <c r="Z8" s="2">
        <f>Z5</f>
        <v>25</v>
      </c>
      <c r="AA8" s="2">
        <f t="shared" si="2"/>
        <v>25</v>
      </c>
      <c r="AB8" s="2">
        <f>AB5</f>
        <v>10</v>
      </c>
      <c r="AC8" s="2">
        <v>0</v>
      </c>
      <c r="AD8" s="2">
        <v>0</v>
      </c>
      <c r="AE8" s="2">
        <v>0</v>
      </c>
      <c r="AF8" s="2">
        <f t="shared" si="0"/>
        <v>75</v>
      </c>
      <c r="AG8" s="10" t="s">
        <v>85</v>
      </c>
      <c r="AH8" s="10" t="s">
        <v>85</v>
      </c>
      <c r="AI8" s="2">
        <v>0</v>
      </c>
    </row>
    <row r="9" spans="1:35">
      <c r="A9" s="2">
        <v>4001</v>
      </c>
      <c r="B9" s="2">
        <f>A9</f>
        <v>4001</v>
      </c>
      <c r="C9" s="2">
        <v>0</v>
      </c>
      <c r="D9" s="2" t="s">
        <v>86</v>
      </c>
      <c r="E9" s="1">
        <v>1</v>
      </c>
      <c r="F9" s="2">
        <v>1040</v>
      </c>
      <c r="G9" s="2">
        <v>12</v>
      </c>
      <c r="H9" s="2">
        <v>1</v>
      </c>
      <c r="I9" s="2">
        <v>0</v>
      </c>
      <c r="J9" s="2">
        <v>1</v>
      </c>
      <c r="K9" s="2">
        <v>300</v>
      </c>
      <c r="L9" s="2">
        <v>0</v>
      </c>
      <c r="M9" s="2">
        <v>0</v>
      </c>
      <c r="N9" s="2">
        <v>0</v>
      </c>
      <c r="O9" s="2">
        <v>2</v>
      </c>
      <c r="P9" s="2">
        <v>4</v>
      </c>
      <c r="Q9" s="2" t="s">
        <v>87</v>
      </c>
      <c r="R9" s="2" t="str">
        <f>"b"&amp;B9&amp;J9</f>
        <v>b40011</v>
      </c>
      <c r="S9" s="5" t="s">
        <v>88</v>
      </c>
      <c r="T9" s="5">
        <v>0</v>
      </c>
      <c r="U9" s="5">
        <f>U8</f>
        <v>15</v>
      </c>
      <c r="V9" s="2">
        <v>2000</v>
      </c>
      <c r="W9" s="2">
        <v>0</v>
      </c>
      <c r="X9" s="2">
        <v>0</v>
      </c>
      <c r="Y9" s="2">
        <v>0</v>
      </c>
      <c r="Z9" s="2">
        <f>Z8</f>
        <v>25</v>
      </c>
      <c r="AA9" s="2">
        <f t="shared" si="2"/>
        <v>25</v>
      </c>
      <c r="AB9" s="2">
        <f>AB8</f>
        <v>10</v>
      </c>
      <c r="AC9" s="2">
        <v>0</v>
      </c>
      <c r="AD9" s="2">
        <v>0</v>
      </c>
      <c r="AE9" s="2">
        <v>0</v>
      </c>
      <c r="AF9" s="2">
        <f t="shared" si="0"/>
        <v>75</v>
      </c>
      <c r="AG9" s="10" t="s">
        <v>89</v>
      </c>
      <c r="AH9" s="10" t="s">
        <v>89</v>
      </c>
      <c r="AI9" s="2">
        <v>1</v>
      </c>
    </row>
    <row r="10" ht="17.25" spans="1:35">
      <c r="A10" s="2">
        <v>5001</v>
      </c>
      <c r="B10" s="2">
        <f t="shared" ref="B10:B15" si="3">A10</f>
        <v>5001</v>
      </c>
      <c r="C10" s="2">
        <v>0</v>
      </c>
      <c r="D10" s="2" t="s">
        <v>90</v>
      </c>
      <c r="E10" s="1">
        <v>1</v>
      </c>
      <c r="F10" s="2">
        <v>1080</v>
      </c>
      <c r="G10" s="2">
        <v>16</v>
      </c>
      <c r="H10" s="2">
        <v>1</v>
      </c>
      <c r="I10" s="2">
        <v>1</v>
      </c>
      <c r="J10" s="2">
        <v>1</v>
      </c>
      <c r="K10" s="2">
        <v>250</v>
      </c>
      <c r="L10" s="2">
        <v>0</v>
      </c>
      <c r="M10" s="2">
        <v>0</v>
      </c>
      <c r="N10" s="2">
        <v>0</v>
      </c>
      <c r="O10" s="2">
        <v>2</v>
      </c>
      <c r="P10" s="2">
        <v>8</v>
      </c>
      <c r="Q10" s="2" t="s">
        <v>91</v>
      </c>
      <c r="R10" s="2" t="str">
        <f>"b"&amp;B10&amp;J10</f>
        <v>b50011</v>
      </c>
      <c r="S10" s="5">
        <v>0</v>
      </c>
      <c r="T10" s="9">
        <v>60011</v>
      </c>
      <c r="U10" s="5">
        <f t="shared" ref="U10:U15" si="4">U9</f>
        <v>15</v>
      </c>
      <c r="V10" s="2">
        <v>2000</v>
      </c>
      <c r="W10" s="2">
        <v>0</v>
      </c>
      <c r="X10" s="2">
        <v>0</v>
      </c>
      <c r="Y10" s="2">
        <v>0</v>
      </c>
      <c r="Z10" s="2">
        <f t="shared" ref="Z10:Z15" si="5">Z9</f>
        <v>25</v>
      </c>
      <c r="AA10" s="2">
        <f t="shared" ref="AA10:AA15" si="6">Z10</f>
        <v>25</v>
      </c>
      <c r="AB10" s="2">
        <f t="shared" ref="AB10:AB15" si="7">AB9</f>
        <v>10</v>
      </c>
      <c r="AC10" s="2">
        <v>0</v>
      </c>
      <c r="AD10" s="2">
        <v>0</v>
      </c>
      <c r="AE10" s="2">
        <v>0</v>
      </c>
      <c r="AF10" s="2">
        <f t="shared" ref="AF10:AF15" si="8">INT(K10/4)</f>
        <v>62</v>
      </c>
      <c r="AG10" s="10" t="s">
        <v>92</v>
      </c>
      <c r="AH10" s="10" t="s">
        <v>92</v>
      </c>
      <c r="AI10" s="2">
        <v>1</v>
      </c>
    </row>
    <row r="11" ht="17.25" spans="1:35">
      <c r="A11" s="2">
        <v>6001</v>
      </c>
      <c r="B11" s="2">
        <f t="shared" si="3"/>
        <v>6001</v>
      </c>
      <c r="C11" s="2">
        <v>0</v>
      </c>
      <c r="D11" s="2" t="s">
        <v>93</v>
      </c>
      <c r="E11" s="1">
        <v>2</v>
      </c>
      <c r="F11" s="2">
        <v>1090</v>
      </c>
      <c r="G11" s="2">
        <v>11</v>
      </c>
      <c r="H11" s="2">
        <v>1</v>
      </c>
      <c r="I11" s="2">
        <v>1</v>
      </c>
      <c r="J11" s="2">
        <v>1</v>
      </c>
      <c r="K11" s="2">
        <v>200</v>
      </c>
      <c r="L11" s="2">
        <v>0</v>
      </c>
      <c r="M11" s="2">
        <v>0</v>
      </c>
      <c r="N11" s="2">
        <v>0</v>
      </c>
      <c r="O11" s="2">
        <v>2</v>
      </c>
      <c r="P11" s="2">
        <v>9</v>
      </c>
      <c r="Q11" s="2" t="s">
        <v>94</v>
      </c>
      <c r="R11" s="2" t="str">
        <f>"b"&amp;B11&amp;J11</f>
        <v>b60011</v>
      </c>
      <c r="S11" s="5">
        <v>0</v>
      </c>
      <c r="T11" s="9">
        <v>60111</v>
      </c>
      <c r="U11" s="5">
        <f t="shared" si="4"/>
        <v>15</v>
      </c>
      <c r="V11" s="2">
        <v>2000</v>
      </c>
      <c r="W11" s="2">
        <v>0</v>
      </c>
      <c r="X11" s="2">
        <v>0</v>
      </c>
      <c r="Y11" s="2">
        <v>0</v>
      </c>
      <c r="Z11" s="2">
        <f t="shared" si="5"/>
        <v>25</v>
      </c>
      <c r="AA11" s="2">
        <f t="shared" si="6"/>
        <v>25</v>
      </c>
      <c r="AB11" s="2">
        <f t="shared" si="7"/>
        <v>10</v>
      </c>
      <c r="AC11" s="2">
        <v>0</v>
      </c>
      <c r="AD11" s="2">
        <v>0</v>
      </c>
      <c r="AE11" s="2">
        <v>0</v>
      </c>
      <c r="AF11" s="2">
        <f t="shared" si="8"/>
        <v>50</v>
      </c>
      <c r="AG11" s="10" t="s">
        <v>95</v>
      </c>
      <c r="AH11" s="10" t="s">
        <v>95</v>
      </c>
      <c r="AI11" s="2">
        <v>1</v>
      </c>
    </row>
    <row r="12" spans="1:35">
      <c r="A12" s="2">
        <v>7001</v>
      </c>
      <c r="B12" s="2">
        <f t="shared" si="3"/>
        <v>7001</v>
      </c>
      <c r="C12" s="2">
        <v>0</v>
      </c>
      <c r="D12" s="2" t="s">
        <v>96</v>
      </c>
      <c r="E12" s="1">
        <v>1</v>
      </c>
      <c r="F12" s="2">
        <v>1050</v>
      </c>
      <c r="G12" s="2">
        <v>13</v>
      </c>
      <c r="H12" s="2">
        <v>1</v>
      </c>
      <c r="I12" s="2">
        <v>0</v>
      </c>
      <c r="J12" s="2">
        <v>1</v>
      </c>
      <c r="K12" s="2">
        <v>200</v>
      </c>
      <c r="L12" s="2">
        <v>0</v>
      </c>
      <c r="M12" s="2">
        <v>0</v>
      </c>
      <c r="N12" s="2">
        <v>0</v>
      </c>
      <c r="O12" s="2">
        <v>2</v>
      </c>
      <c r="P12" s="2">
        <v>7</v>
      </c>
      <c r="Q12" s="2" t="s">
        <v>97</v>
      </c>
      <c r="R12" s="2" t="str">
        <f>"b"&amp;B12&amp;J12</f>
        <v>b70011</v>
      </c>
      <c r="S12" s="6" t="s">
        <v>98</v>
      </c>
      <c r="T12" s="5">
        <v>0</v>
      </c>
      <c r="U12" s="5">
        <f t="shared" si="4"/>
        <v>15</v>
      </c>
      <c r="V12" s="2">
        <v>2000</v>
      </c>
      <c r="W12" s="2">
        <v>0</v>
      </c>
      <c r="X12" s="2">
        <v>0</v>
      </c>
      <c r="Y12" s="2">
        <v>0</v>
      </c>
      <c r="Z12" s="2">
        <f t="shared" si="5"/>
        <v>25</v>
      </c>
      <c r="AA12" s="2">
        <f t="shared" si="6"/>
        <v>25</v>
      </c>
      <c r="AB12" s="2">
        <f t="shared" si="7"/>
        <v>10</v>
      </c>
      <c r="AC12" s="2">
        <v>0</v>
      </c>
      <c r="AD12" s="2">
        <v>0</v>
      </c>
      <c r="AE12" s="2">
        <v>0</v>
      </c>
      <c r="AF12" s="2">
        <f t="shared" si="8"/>
        <v>50</v>
      </c>
      <c r="AG12" s="10" t="s">
        <v>99</v>
      </c>
      <c r="AH12" s="10" t="s">
        <v>99</v>
      </c>
      <c r="AI12" s="2">
        <v>1</v>
      </c>
    </row>
    <row r="13" spans="1:35">
      <c r="A13" s="2">
        <v>8001</v>
      </c>
      <c r="B13" s="2">
        <f t="shared" si="3"/>
        <v>8001</v>
      </c>
      <c r="C13" s="2">
        <v>0</v>
      </c>
      <c r="D13" s="2" t="s">
        <v>100</v>
      </c>
      <c r="E13" s="1">
        <v>1</v>
      </c>
      <c r="F13" s="2">
        <v>1030</v>
      </c>
      <c r="G13" s="2">
        <v>11</v>
      </c>
      <c r="H13" s="2">
        <v>1</v>
      </c>
      <c r="I13" s="2">
        <v>0</v>
      </c>
      <c r="J13" s="2">
        <v>1</v>
      </c>
      <c r="K13" s="2">
        <v>150</v>
      </c>
      <c r="L13" s="2">
        <v>0</v>
      </c>
      <c r="M13" s="2">
        <v>0</v>
      </c>
      <c r="N13" s="2">
        <v>0</v>
      </c>
      <c r="O13" s="2">
        <v>3</v>
      </c>
      <c r="P13" s="2">
        <v>5</v>
      </c>
      <c r="Q13" s="2" t="s">
        <v>101</v>
      </c>
      <c r="R13" s="2" t="str">
        <f>"b"&amp;B13&amp;J13</f>
        <v>b80011</v>
      </c>
      <c r="S13" s="6" t="s">
        <v>102</v>
      </c>
      <c r="T13" s="5">
        <v>0</v>
      </c>
      <c r="U13" s="5">
        <f t="shared" si="4"/>
        <v>15</v>
      </c>
      <c r="V13" s="2">
        <v>2000</v>
      </c>
      <c r="W13" s="2">
        <v>0</v>
      </c>
      <c r="X13" s="2">
        <v>15</v>
      </c>
      <c r="Y13" s="2">
        <v>1000</v>
      </c>
      <c r="Z13" s="2">
        <f t="shared" si="5"/>
        <v>25</v>
      </c>
      <c r="AA13" s="2">
        <f t="shared" si="6"/>
        <v>25</v>
      </c>
      <c r="AB13" s="2">
        <f t="shared" si="7"/>
        <v>10</v>
      </c>
      <c r="AC13" s="2">
        <v>0</v>
      </c>
      <c r="AD13" s="2">
        <v>0</v>
      </c>
      <c r="AE13" s="2">
        <v>0</v>
      </c>
      <c r="AF13" s="2">
        <f t="shared" si="8"/>
        <v>37</v>
      </c>
      <c r="AG13" s="10" t="s">
        <v>103</v>
      </c>
      <c r="AH13" s="10" t="s">
        <v>103</v>
      </c>
      <c r="AI13" s="2">
        <v>1</v>
      </c>
    </row>
    <row r="14" spans="1:35">
      <c r="A14" s="2">
        <v>9001</v>
      </c>
      <c r="B14" s="2">
        <f t="shared" si="3"/>
        <v>9001</v>
      </c>
      <c r="C14" s="2">
        <v>1001</v>
      </c>
      <c r="D14" s="2" t="s">
        <v>104</v>
      </c>
      <c r="E14" s="1">
        <v>1</v>
      </c>
      <c r="F14" s="2">
        <v>0</v>
      </c>
      <c r="G14" s="2">
        <v>11</v>
      </c>
      <c r="H14" s="2">
        <v>1</v>
      </c>
      <c r="I14" s="2">
        <v>0</v>
      </c>
      <c r="J14" s="2">
        <v>1</v>
      </c>
      <c r="K14" s="2">
        <v>500</v>
      </c>
      <c r="L14" s="2">
        <v>0</v>
      </c>
      <c r="M14" s="2">
        <v>0</v>
      </c>
      <c r="N14" s="2">
        <v>0</v>
      </c>
      <c r="O14" s="2">
        <v>4</v>
      </c>
      <c r="P14" s="2">
        <v>1</v>
      </c>
      <c r="Q14" s="2" t="s">
        <v>105</v>
      </c>
      <c r="R14" s="2" t="s">
        <v>105</v>
      </c>
      <c r="S14" s="2">
        <v>0</v>
      </c>
      <c r="T14" s="5">
        <v>0</v>
      </c>
      <c r="U14" s="5">
        <f t="shared" si="4"/>
        <v>15</v>
      </c>
      <c r="V14" s="2">
        <v>2000</v>
      </c>
      <c r="W14" s="2">
        <v>0</v>
      </c>
      <c r="X14" s="2">
        <v>0</v>
      </c>
      <c r="Y14" s="2">
        <v>0</v>
      </c>
      <c r="Z14" s="2">
        <f t="shared" si="5"/>
        <v>25</v>
      </c>
      <c r="AA14" s="2">
        <f t="shared" si="6"/>
        <v>25</v>
      </c>
      <c r="AB14" s="2">
        <f t="shared" si="7"/>
        <v>10</v>
      </c>
      <c r="AC14" s="2">
        <v>0</v>
      </c>
      <c r="AD14" s="2">
        <v>0</v>
      </c>
      <c r="AE14" s="2">
        <v>0</v>
      </c>
      <c r="AF14" s="2">
        <f t="shared" si="8"/>
        <v>125</v>
      </c>
      <c r="AG14" s="10" t="s">
        <v>106</v>
      </c>
      <c r="AH14" s="10" t="s">
        <v>106</v>
      </c>
      <c r="AI14" s="2">
        <v>0</v>
      </c>
    </row>
    <row r="15" spans="1:35">
      <c r="A15" s="2">
        <v>9101</v>
      </c>
      <c r="B15" s="2">
        <v>9001</v>
      </c>
      <c r="C15" s="2">
        <v>10091</v>
      </c>
      <c r="D15" s="2" t="s">
        <v>104</v>
      </c>
      <c r="E15" s="1">
        <v>1</v>
      </c>
      <c r="F15" s="2">
        <v>0</v>
      </c>
      <c r="G15" s="2">
        <v>11</v>
      </c>
      <c r="H15" s="2">
        <v>1</v>
      </c>
      <c r="I15" s="2">
        <v>0</v>
      </c>
      <c r="J15" s="2">
        <v>1</v>
      </c>
      <c r="K15" s="2">
        <v>500</v>
      </c>
      <c r="L15" s="2">
        <v>0</v>
      </c>
      <c r="M15" s="2">
        <v>0</v>
      </c>
      <c r="N15" s="2">
        <v>0</v>
      </c>
      <c r="O15" s="2">
        <v>4</v>
      </c>
      <c r="P15" s="2">
        <v>19</v>
      </c>
      <c r="Q15" s="2" t="s">
        <v>105</v>
      </c>
      <c r="R15" s="2" t="s">
        <v>105</v>
      </c>
      <c r="S15" s="2">
        <v>0</v>
      </c>
      <c r="T15" s="5">
        <v>0</v>
      </c>
      <c r="U15" s="5">
        <f t="shared" si="4"/>
        <v>15</v>
      </c>
      <c r="V15" s="2">
        <v>2000</v>
      </c>
      <c r="W15" s="2">
        <v>0</v>
      </c>
      <c r="X15" s="2">
        <v>0</v>
      </c>
      <c r="Y15" s="2">
        <v>0</v>
      </c>
      <c r="Z15" s="2">
        <f t="shared" si="5"/>
        <v>25</v>
      </c>
      <c r="AA15" s="2">
        <f t="shared" si="6"/>
        <v>25</v>
      </c>
      <c r="AB15" s="2">
        <f t="shared" si="7"/>
        <v>10</v>
      </c>
      <c r="AC15" s="2">
        <v>0</v>
      </c>
      <c r="AD15" s="2">
        <v>0</v>
      </c>
      <c r="AE15" s="2">
        <v>0</v>
      </c>
      <c r="AF15" s="2">
        <f t="shared" si="8"/>
        <v>125</v>
      </c>
      <c r="AG15" s="10" t="s">
        <v>106</v>
      </c>
      <c r="AH15" s="10" t="s">
        <v>106</v>
      </c>
      <c r="AI15" s="2">
        <v>0</v>
      </c>
    </row>
    <row r="16" ht="17.25" spans="1:35">
      <c r="A16" s="2">
        <v>10001</v>
      </c>
      <c r="B16" s="2">
        <f t="shared" ref="B16:B26" si="9">A16</f>
        <v>10001</v>
      </c>
      <c r="C16" s="2">
        <v>0</v>
      </c>
      <c r="D16" s="2" t="s">
        <v>107</v>
      </c>
      <c r="E16" s="1">
        <v>1</v>
      </c>
      <c r="F16" s="2">
        <v>2000</v>
      </c>
      <c r="G16" s="2">
        <v>17</v>
      </c>
      <c r="H16" s="2">
        <v>1</v>
      </c>
      <c r="I16" s="2">
        <v>1</v>
      </c>
      <c r="J16" s="2">
        <v>1</v>
      </c>
      <c r="K16" s="2">
        <v>250</v>
      </c>
      <c r="L16" s="2">
        <v>0</v>
      </c>
      <c r="M16" s="2">
        <v>0</v>
      </c>
      <c r="N16" s="2">
        <v>0</v>
      </c>
      <c r="O16" s="2">
        <v>2</v>
      </c>
      <c r="P16" s="2">
        <v>10</v>
      </c>
      <c r="Q16" s="2" t="s">
        <v>108</v>
      </c>
      <c r="R16" s="2" t="str">
        <f t="shared" ref="R16:R26" si="10">"b"&amp;B16&amp;J16</f>
        <v>b100011</v>
      </c>
      <c r="S16" s="2">
        <v>0</v>
      </c>
      <c r="T16" s="9">
        <v>60211</v>
      </c>
      <c r="U16" s="5">
        <f>U14</f>
        <v>15</v>
      </c>
      <c r="V16" s="2">
        <v>2000</v>
      </c>
      <c r="W16" s="2">
        <v>0</v>
      </c>
      <c r="X16" s="2">
        <v>0</v>
      </c>
      <c r="Y16" s="2">
        <v>0</v>
      </c>
      <c r="Z16" s="2">
        <f>Z14</f>
        <v>25</v>
      </c>
      <c r="AA16" s="2">
        <f t="shared" ref="AA16:AA26" si="11">Z16</f>
        <v>25</v>
      </c>
      <c r="AB16" s="2">
        <f>AB14</f>
        <v>10</v>
      </c>
      <c r="AC16" s="2">
        <v>0</v>
      </c>
      <c r="AD16" s="2">
        <v>0</v>
      </c>
      <c r="AE16" s="2">
        <v>0</v>
      </c>
      <c r="AF16" s="2">
        <f t="shared" ref="AF16:AF28" si="12">INT(K16/4)</f>
        <v>62</v>
      </c>
      <c r="AG16" s="10" t="s">
        <v>109</v>
      </c>
      <c r="AH16" s="10" t="s">
        <v>109</v>
      </c>
      <c r="AI16" s="2">
        <v>1</v>
      </c>
    </row>
    <row r="17" ht="17.25" spans="1:35">
      <c r="A17" s="2">
        <v>10011</v>
      </c>
      <c r="B17" s="2">
        <f t="shared" si="9"/>
        <v>10011</v>
      </c>
      <c r="C17" s="2">
        <v>0</v>
      </c>
      <c r="D17" s="2" t="s">
        <v>110</v>
      </c>
      <c r="E17" s="1">
        <v>1</v>
      </c>
      <c r="F17" s="2">
        <v>2020</v>
      </c>
      <c r="G17" s="2">
        <v>18</v>
      </c>
      <c r="H17" s="2">
        <v>1</v>
      </c>
      <c r="I17" s="2">
        <v>1</v>
      </c>
      <c r="J17" s="2">
        <v>1</v>
      </c>
      <c r="K17" s="2">
        <v>150</v>
      </c>
      <c r="L17" s="2">
        <v>0</v>
      </c>
      <c r="M17" s="2">
        <v>0</v>
      </c>
      <c r="N17" s="2">
        <v>0</v>
      </c>
      <c r="O17" s="2">
        <v>2</v>
      </c>
      <c r="P17" s="2">
        <v>11</v>
      </c>
      <c r="Q17" s="2" t="s">
        <v>111</v>
      </c>
      <c r="R17" s="2" t="str">
        <f t="shared" si="10"/>
        <v>b100111</v>
      </c>
      <c r="S17" s="2">
        <v>0</v>
      </c>
      <c r="T17" s="9">
        <v>60311</v>
      </c>
      <c r="U17" s="5">
        <f t="shared" ref="U16:U26" si="13">U16</f>
        <v>15</v>
      </c>
      <c r="V17" s="2">
        <v>2000</v>
      </c>
      <c r="W17" s="2">
        <v>0</v>
      </c>
      <c r="X17" s="2">
        <v>0</v>
      </c>
      <c r="Y17" s="2">
        <v>0</v>
      </c>
      <c r="Z17" s="2">
        <f t="shared" ref="Z16:Z26" si="14">Z16</f>
        <v>25</v>
      </c>
      <c r="AA17" s="2">
        <f t="shared" si="11"/>
        <v>25</v>
      </c>
      <c r="AB17" s="2">
        <f t="shared" ref="AB16:AB26" si="15">AB16</f>
        <v>10</v>
      </c>
      <c r="AC17" s="2">
        <v>0</v>
      </c>
      <c r="AD17" s="2">
        <v>0</v>
      </c>
      <c r="AE17" s="2">
        <v>0</v>
      </c>
      <c r="AF17" s="2">
        <f t="shared" si="12"/>
        <v>37</v>
      </c>
      <c r="AG17" s="10" t="s">
        <v>112</v>
      </c>
      <c r="AH17" s="10" t="s">
        <v>112</v>
      </c>
      <c r="AI17" s="2">
        <v>1</v>
      </c>
    </row>
    <row r="18" ht="17.25" spans="1:35">
      <c r="A18" s="2">
        <v>10021</v>
      </c>
      <c r="B18" s="2">
        <f t="shared" si="9"/>
        <v>10021</v>
      </c>
      <c r="C18" s="2">
        <v>0</v>
      </c>
      <c r="D18" s="2" t="s">
        <v>113</v>
      </c>
      <c r="E18" s="1">
        <v>1</v>
      </c>
      <c r="F18" s="2">
        <v>2030</v>
      </c>
      <c r="G18" s="2">
        <v>19</v>
      </c>
      <c r="H18" s="2">
        <v>1</v>
      </c>
      <c r="I18" s="2">
        <v>1</v>
      </c>
      <c r="J18" s="2">
        <v>1</v>
      </c>
      <c r="K18" s="2">
        <v>600</v>
      </c>
      <c r="L18" s="2">
        <v>0</v>
      </c>
      <c r="M18" s="2">
        <v>0</v>
      </c>
      <c r="N18" s="2">
        <v>0</v>
      </c>
      <c r="O18" s="2">
        <v>2</v>
      </c>
      <c r="P18" s="2">
        <v>14</v>
      </c>
      <c r="Q18" s="2" t="s">
        <v>114</v>
      </c>
      <c r="R18" s="2" t="str">
        <f t="shared" si="10"/>
        <v>b100211</v>
      </c>
      <c r="S18" s="2">
        <v>0</v>
      </c>
      <c r="T18" s="9">
        <v>60611</v>
      </c>
      <c r="U18" s="5">
        <f t="shared" si="13"/>
        <v>15</v>
      </c>
      <c r="V18" s="2">
        <v>2000</v>
      </c>
      <c r="W18" s="2">
        <v>0</v>
      </c>
      <c r="X18" s="2">
        <v>0</v>
      </c>
      <c r="Y18" s="2">
        <v>0</v>
      </c>
      <c r="Z18" s="2">
        <f t="shared" si="14"/>
        <v>25</v>
      </c>
      <c r="AA18" s="2">
        <f t="shared" si="11"/>
        <v>25</v>
      </c>
      <c r="AB18" s="2">
        <f t="shared" si="15"/>
        <v>10</v>
      </c>
      <c r="AC18" s="2">
        <v>0</v>
      </c>
      <c r="AD18" s="2">
        <v>0</v>
      </c>
      <c r="AE18" s="2">
        <v>0</v>
      </c>
      <c r="AF18" s="2">
        <f t="shared" si="12"/>
        <v>150</v>
      </c>
      <c r="AG18" s="10" t="s">
        <v>115</v>
      </c>
      <c r="AH18" s="10" t="s">
        <v>115</v>
      </c>
      <c r="AI18" s="2">
        <v>1</v>
      </c>
    </row>
    <row r="19" ht="17.25" spans="1:35">
      <c r="A19" s="2">
        <v>10031</v>
      </c>
      <c r="B19" s="2">
        <f t="shared" si="9"/>
        <v>10031</v>
      </c>
      <c r="C19" s="2">
        <v>0</v>
      </c>
      <c r="D19" s="2" t="s">
        <v>116</v>
      </c>
      <c r="E19" s="1">
        <v>2</v>
      </c>
      <c r="F19" s="2">
        <v>2040</v>
      </c>
      <c r="G19" s="2">
        <v>20</v>
      </c>
      <c r="H19" s="2">
        <v>1</v>
      </c>
      <c r="I19" s="2">
        <v>1</v>
      </c>
      <c r="J19" s="2">
        <v>1</v>
      </c>
      <c r="K19" s="2">
        <v>600</v>
      </c>
      <c r="L19" s="2">
        <v>0</v>
      </c>
      <c r="M19" s="2">
        <v>0</v>
      </c>
      <c r="N19" s="2">
        <v>0</v>
      </c>
      <c r="O19" s="2">
        <v>2</v>
      </c>
      <c r="P19" s="2">
        <v>13</v>
      </c>
      <c r="Q19" s="2" t="s">
        <v>117</v>
      </c>
      <c r="R19" s="2" t="str">
        <f t="shared" si="10"/>
        <v>b100311</v>
      </c>
      <c r="S19" s="2">
        <v>0</v>
      </c>
      <c r="T19" s="9">
        <v>60511</v>
      </c>
      <c r="U19" s="5">
        <f t="shared" si="13"/>
        <v>15</v>
      </c>
      <c r="V19" s="2">
        <v>2000</v>
      </c>
      <c r="W19" s="2">
        <v>0</v>
      </c>
      <c r="X19" s="2">
        <v>0</v>
      </c>
      <c r="Y19" s="2">
        <v>0</v>
      </c>
      <c r="Z19" s="2">
        <f t="shared" si="14"/>
        <v>25</v>
      </c>
      <c r="AA19" s="2">
        <f t="shared" si="11"/>
        <v>25</v>
      </c>
      <c r="AB19" s="2">
        <f t="shared" si="15"/>
        <v>10</v>
      </c>
      <c r="AC19" s="2">
        <v>0</v>
      </c>
      <c r="AD19" s="2">
        <v>0</v>
      </c>
      <c r="AE19" s="2">
        <v>0</v>
      </c>
      <c r="AF19" s="2">
        <f t="shared" si="12"/>
        <v>150</v>
      </c>
      <c r="AG19" s="10" t="s">
        <v>118</v>
      </c>
      <c r="AH19" s="10" t="s">
        <v>118</v>
      </c>
      <c r="AI19" s="2">
        <v>1</v>
      </c>
    </row>
    <row r="20" ht="17.25" spans="1:35">
      <c r="A20" s="2">
        <v>10041</v>
      </c>
      <c r="B20" s="2">
        <f t="shared" si="9"/>
        <v>10041</v>
      </c>
      <c r="C20" s="2">
        <v>0</v>
      </c>
      <c r="D20" s="2" t="s">
        <v>119</v>
      </c>
      <c r="E20" s="1">
        <v>2</v>
      </c>
      <c r="F20" s="2">
        <v>2050</v>
      </c>
      <c r="G20" s="2">
        <v>21</v>
      </c>
      <c r="H20" s="2">
        <v>1</v>
      </c>
      <c r="I20" s="2">
        <v>1</v>
      </c>
      <c r="J20" s="2">
        <v>1</v>
      </c>
      <c r="K20" s="2">
        <v>600</v>
      </c>
      <c r="L20" s="2">
        <v>0</v>
      </c>
      <c r="M20" s="2">
        <v>0</v>
      </c>
      <c r="N20" s="2">
        <v>0</v>
      </c>
      <c r="O20" s="2">
        <v>2</v>
      </c>
      <c r="P20" s="2">
        <v>12</v>
      </c>
      <c r="Q20" s="2" t="s">
        <v>120</v>
      </c>
      <c r="R20" s="2" t="str">
        <f t="shared" si="10"/>
        <v>b100411</v>
      </c>
      <c r="S20" s="2">
        <v>0</v>
      </c>
      <c r="T20" s="9">
        <v>60411</v>
      </c>
      <c r="U20" s="5">
        <f t="shared" si="13"/>
        <v>15</v>
      </c>
      <c r="V20" s="2">
        <v>2000</v>
      </c>
      <c r="W20" s="2">
        <v>0</v>
      </c>
      <c r="X20" s="2">
        <v>0</v>
      </c>
      <c r="Y20" s="2">
        <v>0</v>
      </c>
      <c r="Z20" s="2">
        <f t="shared" si="14"/>
        <v>25</v>
      </c>
      <c r="AA20" s="2">
        <f t="shared" si="11"/>
        <v>25</v>
      </c>
      <c r="AB20" s="2">
        <f t="shared" si="15"/>
        <v>10</v>
      </c>
      <c r="AC20" s="2">
        <v>0</v>
      </c>
      <c r="AD20" s="2">
        <v>0</v>
      </c>
      <c r="AE20" s="2">
        <v>0</v>
      </c>
      <c r="AF20" s="2">
        <f t="shared" si="12"/>
        <v>150</v>
      </c>
      <c r="AG20" s="10" t="s">
        <v>121</v>
      </c>
      <c r="AH20" s="10" t="s">
        <v>121</v>
      </c>
      <c r="AI20" s="2">
        <v>1</v>
      </c>
    </row>
    <row r="21" ht="17.25" spans="1:35">
      <c r="A21" s="2">
        <v>10051</v>
      </c>
      <c r="B21" s="2">
        <f t="shared" si="9"/>
        <v>10051</v>
      </c>
      <c r="C21" s="2">
        <v>0</v>
      </c>
      <c r="D21" s="2" t="s">
        <v>122</v>
      </c>
      <c r="E21" s="1">
        <v>2</v>
      </c>
      <c r="F21" s="2">
        <v>2060</v>
      </c>
      <c r="G21" s="2">
        <v>22</v>
      </c>
      <c r="H21" s="2">
        <v>1</v>
      </c>
      <c r="I21" s="2">
        <v>1</v>
      </c>
      <c r="J21" s="2">
        <v>1</v>
      </c>
      <c r="K21" s="2">
        <v>600</v>
      </c>
      <c r="L21" s="2">
        <v>0</v>
      </c>
      <c r="M21" s="2">
        <v>0</v>
      </c>
      <c r="N21" s="2">
        <v>0</v>
      </c>
      <c r="O21" s="2">
        <v>2</v>
      </c>
      <c r="P21" s="2">
        <v>15</v>
      </c>
      <c r="Q21" s="2" t="s">
        <v>123</v>
      </c>
      <c r="R21" s="2" t="str">
        <f t="shared" si="10"/>
        <v>b100511</v>
      </c>
      <c r="S21" s="2">
        <v>0</v>
      </c>
      <c r="T21" s="9">
        <v>60711</v>
      </c>
      <c r="U21" s="5">
        <f t="shared" si="13"/>
        <v>15</v>
      </c>
      <c r="V21" s="2">
        <v>2000</v>
      </c>
      <c r="W21" s="2">
        <v>0</v>
      </c>
      <c r="X21" s="2">
        <v>0</v>
      </c>
      <c r="Y21" s="2">
        <v>0</v>
      </c>
      <c r="Z21" s="2">
        <f t="shared" si="14"/>
        <v>25</v>
      </c>
      <c r="AA21" s="2">
        <f t="shared" si="11"/>
        <v>25</v>
      </c>
      <c r="AB21" s="2">
        <f t="shared" si="15"/>
        <v>10</v>
      </c>
      <c r="AC21" s="2">
        <v>0</v>
      </c>
      <c r="AD21" s="2">
        <v>0</v>
      </c>
      <c r="AE21" s="2">
        <v>0</v>
      </c>
      <c r="AF21" s="2">
        <f t="shared" si="12"/>
        <v>150</v>
      </c>
      <c r="AG21" s="10" t="s">
        <v>124</v>
      </c>
      <c r="AH21" s="10" t="s">
        <v>124</v>
      </c>
      <c r="AI21" s="2">
        <v>1</v>
      </c>
    </row>
    <row r="22" ht="17.25" spans="1:35">
      <c r="A22" s="2">
        <v>10061</v>
      </c>
      <c r="B22" s="2">
        <f t="shared" si="9"/>
        <v>10061</v>
      </c>
      <c r="C22" s="2">
        <v>0</v>
      </c>
      <c r="D22" s="2" t="s">
        <v>125</v>
      </c>
      <c r="E22" s="1">
        <v>2</v>
      </c>
      <c r="F22" s="2">
        <v>2070</v>
      </c>
      <c r="G22" s="2">
        <v>23</v>
      </c>
      <c r="H22" s="2">
        <v>1</v>
      </c>
      <c r="I22" s="2">
        <v>1</v>
      </c>
      <c r="J22" s="2">
        <v>1</v>
      </c>
      <c r="K22" s="2">
        <v>1200</v>
      </c>
      <c r="L22" s="2">
        <v>0</v>
      </c>
      <c r="M22" s="2">
        <v>0</v>
      </c>
      <c r="N22" s="2">
        <v>0</v>
      </c>
      <c r="O22" s="2">
        <v>2</v>
      </c>
      <c r="P22" s="2">
        <v>16</v>
      </c>
      <c r="Q22" s="2" t="s">
        <v>126</v>
      </c>
      <c r="R22" s="2" t="str">
        <f t="shared" si="10"/>
        <v>b100611</v>
      </c>
      <c r="S22" s="2">
        <v>0</v>
      </c>
      <c r="T22" s="9">
        <v>60811</v>
      </c>
      <c r="U22" s="5">
        <f t="shared" si="13"/>
        <v>15</v>
      </c>
      <c r="V22" s="2">
        <v>2000</v>
      </c>
      <c r="W22" s="2">
        <v>0</v>
      </c>
      <c r="X22" s="2">
        <v>0</v>
      </c>
      <c r="Y22" s="2">
        <v>0</v>
      </c>
      <c r="Z22" s="2">
        <f t="shared" si="14"/>
        <v>25</v>
      </c>
      <c r="AA22" s="2">
        <f t="shared" si="11"/>
        <v>25</v>
      </c>
      <c r="AB22" s="2">
        <f t="shared" si="15"/>
        <v>10</v>
      </c>
      <c r="AC22" s="2">
        <v>0</v>
      </c>
      <c r="AD22" s="2">
        <v>0</v>
      </c>
      <c r="AE22" s="2">
        <v>0</v>
      </c>
      <c r="AF22" s="2">
        <f t="shared" si="12"/>
        <v>300</v>
      </c>
      <c r="AG22" s="10" t="s">
        <v>127</v>
      </c>
      <c r="AH22" s="10" t="s">
        <v>127</v>
      </c>
      <c r="AI22" s="2">
        <v>1</v>
      </c>
    </row>
    <row r="23" ht="17.25" spans="1:35">
      <c r="A23" s="2">
        <v>10071</v>
      </c>
      <c r="B23" s="2">
        <f t="shared" si="9"/>
        <v>10071</v>
      </c>
      <c r="C23" s="2">
        <v>0</v>
      </c>
      <c r="D23" s="2" t="s">
        <v>128</v>
      </c>
      <c r="E23" s="1">
        <v>2</v>
      </c>
      <c r="F23" s="2">
        <v>2080</v>
      </c>
      <c r="G23" s="2">
        <v>24</v>
      </c>
      <c r="H23" s="2">
        <v>1</v>
      </c>
      <c r="I23" s="2">
        <v>1</v>
      </c>
      <c r="J23" s="2">
        <v>1</v>
      </c>
      <c r="K23" s="2">
        <v>1000</v>
      </c>
      <c r="L23" s="2">
        <v>0</v>
      </c>
      <c r="M23" s="2">
        <v>0</v>
      </c>
      <c r="N23" s="2">
        <v>0</v>
      </c>
      <c r="O23" s="2">
        <v>2</v>
      </c>
      <c r="P23" s="2">
        <v>17</v>
      </c>
      <c r="Q23" s="2" t="s">
        <v>129</v>
      </c>
      <c r="R23" s="2" t="str">
        <f t="shared" si="10"/>
        <v>b100711</v>
      </c>
      <c r="S23" s="2">
        <v>0</v>
      </c>
      <c r="T23" s="9">
        <v>60911</v>
      </c>
      <c r="U23" s="5">
        <f t="shared" si="13"/>
        <v>15</v>
      </c>
      <c r="V23" s="2">
        <v>2000</v>
      </c>
      <c r="W23" s="2">
        <v>0</v>
      </c>
      <c r="X23" s="2">
        <v>0</v>
      </c>
      <c r="Y23" s="2">
        <v>0</v>
      </c>
      <c r="Z23" s="2">
        <f t="shared" si="14"/>
        <v>25</v>
      </c>
      <c r="AA23" s="2">
        <f t="shared" si="11"/>
        <v>25</v>
      </c>
      <c r="AB23" s="2">
        <f t="shared" si="15"/>
        <v>10</v>
      </c>
      <c r="AC23" s="2">
        <v>0</v>
      </c>
      <c r="AD23" s="2">
        <v>0</v>
      </c>
      <c r="AE23" s="2">
        <v>0</v>
      </c>
      <c r="AF23" s="2">
        <f t="shared" si="12"/>
        <v>250</v>
      </c>
      <c r="AG23" s="10" t="s">
        <v>130</v>
      </c>
      <c r="AH23" s="10" t="s">
        <v>130</v>
      </c>
      <c r="AI23" s="2">
        <v>1</v>
      </c>
    </row>
    <row r="24" ht="17.25" spans="1:35">
      <c r="A24" s="2">
        <v>10081</v>
      </c>
      <c r="B24" s="2">
        <f t="shared" si="9"/>
        <v>10081</v>
      </c>
      <c r="C24" s="2">
        <v>0</v>
      </c>
      <c r="D24" s="2" t="s">
        <v>131</v>
      </c>
      <c r="E24" s="1">
        <v>1</v>
      </c>
      <c r="F24" s="2">
        <v>1060</v>
      </c>
      <c r="G24" s="2">
        <v>14</v>
      </c>
      <c r="H24" s="2">
        <v>1</v>
      </c>
      <c r="I24" s="2">
        <v>0</v>
      </c>
      <c r="J24" s="2">
        <v>1</v>
      </c>
      <c r="K24" s="2">
        <v>200</v>
      </c>
      <c r="L24" s="2">
        <v>0</v>
      </c>
      <c r="M24" s="2">
        <v>0</v>
      </c>
      <c r="N24" s="2">
        <v>0</v>
      </c>
      <c r="O24" s="2">
        <v>2</v>
      </c>
      <c r="P24" s="2">
        <v>18</v>
      </c>
      <c r="Q24" s="2" t="s">
        <v>132</v>
      </c>
      <c r="R24" s="2" t="str">
        <f t="shared" si="10"/>
        <v>b100811</v>
      </c>
      <c r="S24" s="6" t="s">
        <v>98</v>
      </c>
      <c r="T24" s="9">
        <v>0</v>
      </c>
      <c r="U24" s="5">
        <f t="shared" si="13"/>
        <v>15</v>
      </c>
      <c r="V24" s="2">
        <v>2000</v>
      </c>
      <c r="W24" s="2">
        <v>0</v>
      </c>
      <c r="X24" s="2">
        <v>0</v>
      </c>
      <c r="Y24" s="2">
        <v>0</v>
      </c>
      <c r="Z24" s="2">
        <f t="shared" si="14"/>
        <v>25</v>
      </c>
      <c r="AA24" s="2">
        <f t="shared" si="11"/>
        <v>25</v>
      </c>
      <c r="AB24" s="2">
        <f t="shared" si="15"/>
        <v>10</v>
      </c>
      <c r="AC24" s="2">
        <v>0</v>
      </c>
      <c r="AD24" s="2">
        <v>0</v>
      </c>
      <c r="AE24" s="2">
        <v>0</v>
      </c>
      <c r="AF24" s="2">
        <f t="shared" si="12"/>
        <v>50</v>
      </c>
      <c r="AG24" s="10" t="s">
        <v>133</v>
      </c>
      <c r="AH24" s="10" t="s">
        <v>133</v>
      </c>
      <c r="AI24" s="2">
        <v>1</v>
      </c>
    </row>
    <row r="25" s="18" customFormat="1" ht="17.25" spans="1:35">
      <c r="A25" s="18">
        <v>10091</v>
      </c>
      <c r="B25" s="18">
        <f t="shared" si="9"/>
        <v>10091</v>
      </c>
      <c r="C25" s="18">
        <v>0</v>
      </c>
      <c r="D25" s="18" t="s">
        <v>134</v>
      </c>
      <c r="E25" s="19">
        <v>0</v>
      </c>
      <c r="F25" s="18">
        <v>16</v>
      </c>
      <c r="G25" s="18">
        <v>11</v>
      </c>
      <c r="H25" s="18">
        <v>1</v>
      </c>
      <c r="I25" s="18">
        <v>0</v>
      </c>
      <c r="J25" s="18">
        <v>1</v>
      </c>
      <c r="K25" s="18">
        <v>0</v>
      </c>
      <c r="L25" s="18">
        <v>0</v>
      </c>
      <c r="M25" s="18">
        <v>0</v>
      </c>
      <c r="N25" s="18">
        <v>0</v>
      </c>
      <c r="O25" s="18">
        <v>1</v>
      </c>
      <c r="P25" s="18">
        <v>19</v>
      </c>
      <c r="Q25" s="18" t="s">
        <v>135</v>
      </c>
      <c r="R25" s="18" t="str">
        <f t="shared" si="10"/>
        <v>b100911</v>
      </c>
      <c r="S25" s="22" t="s">
        <v>136</v>
      </c>
      <c r="T25" s="23">
        <v>0</v>
      </c>
      <c r="U25" s="20">
        <f t="shared" si="13"/>
        <v>15</v>
      </c>
      <c r="V25" s="18">
        <v>1500</v>
      </c>
      <c r="W25" s="18">
        <v>0</v>
      </c>
      <c r="X25" s="18">
        <v>0</v>
      </c>
      <c r="Y25" s="18">
        <v>0</v>
      </c>
      <c r="Z25" s="18">
        <f t="shared" si="14"/>
        <v>25</v>
      </c>
      <c r="AA25" s="18">
        <f t="shared" si="11"/>
        <v>25</v>
      </c>
      <c r="AB25" s="18">
        <f t="shared" si="15"/>
        <v>10</v>
      </c>
      <c r="AC25" s="18">
        <v>0</v>
      </c>
      <c r="AD25" s="18">
        <v>0</v>
      </c>
      <c r="AE25" s="18">
        <v>0</v>
      </c>
      <c r="AF25" s="18">
        <f t="shared" si="12"/>
        <v>0</v>
      </c>
      <c r="AG25" s="25" t="s">
        <v>137</v>
      </c>
      <c r="AH25" s="25" t="s">
        <v>133</v>
      </c>
      <c r="AI25" s="18">
        <v>0</v>
      </c>
    </row>
    <row r="26" ht="17.25" spans="1:35">
      <c r="A26" s="2">
        <v>20001</v>
      </c>
      <c r="B26" s="2">
        <f t="shared" si="9"/>
        <v>20001</v>
      </c>
      <c r="C26" s="2">
        <v>0</v>
      </c>
      <c r="D26" s="2" t="s">
        <v>138</v>
      </c>
      <c r="E26" s="1">
        <v>0</v>
      </c>
      <c r="F26" s="2">
        <v>0</v>
      </c>
      <c r="G26" s="2">
        <v>11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20</v>
      </c>
      <c r="Q26" s="2" t="s">
        <v>139</v>
      </c>
      <c r="R26" s="2" t="str">
        <f t="shared" si="10"/>
        <v>b200011</v>
      </c>
      <c r="S26" s="6" t="s">
        <v>136</v>
      </c>
      <c r="T26" s="9">
        <v>0</v>
      </c>
      <c r="U26" s="5">
        <f t="shared" si="13"/>
        <v>15</v>
      </c>
      <c r="V26" s="2">
        <v>2000</v>
      </c>
      <c r="W26" s="2">
        <v>0</v>
      </c>
      <c r="X26" s="2">
        <v>0</v>
      </c>
      <c r="Y26" s="2">
        <v>0</v>
      </c>
      <c r="Z26" s="2">
        <f t="shared" si="14"/>
        <v>25</v>
      </c>
      <c r="AA26" s="2">
        <f t="shared" si="11"/>
        <v>25</v>
      </c>
      <c r="AB26" s="2">
        <f t="shared" si="15"/>
        <v>10</v>
      </c>
      <c r="AC26" s="2">
        <v>0</v>
      </c>
      <c r="AD26" s="2">
        <v>0</v>
      </c>
      <c r="AE26" s="2">
        <v>0</v>
      </c>
      <c r="AF26" s="2">
        <f t="shared" si="12"/>
        <v>0</v>
      </c>
      <c r="AG26" s="25" t="s">
        <v>137</v>
      </c>
      <c r="AH26" s="10" t="s">
        <v>133</v>
      </c>
      <c r="AI26" s="2">
        <v>0</v>
      </c>
    </row>
    <row r="27" spans="1:35">
      <c r="A27" s="2">
        <v>1100</v>
      </c>
      <c r="B27" s="2">
        <v>101</v>
      </c>
      <c r="C27" s="2">
        <v>1001</v>
      </c>
      <c r="D27" s="2" t="s">
        <v>140</v>
      </c>
      <c r="E27" s="1">
        <v>0</v>
      </c>
      <c r="F27" s="2">
        <v>0</v>
      </c>
      <c r="G27" s="2">
        <v>11</v>
      </c>
      <c r="H27" s="2">
        <v>1</v>
      </c>
      <c r="I27" s="2">
        <v>0</v>
      </c>
      <c r="J27" s="2">
        <v>1</v>
      </c>
      <c r="K27" s="2">
        <v>100</v>
      </c>
      <c r="L27" s="2">
        <v>0</v>
      </c>
      <c r="M27" s="2">
        <v>0</v>
      </c>
      <c r="N27" s="2">
        <v>1</v>
      </c>
      <c r="O27" s="2">
        <v>5</v>
      </c>
      <c r="P27" s="2">
        <v>1</v>
      </c>
      <c r="Q27" s="2">
        <v>0</v>
      </c>
      <c r="R27" s="2">
        <v>0</v>
      </c>
      <c r="S27" s="2" t="s">
        <v>74</v>
      </c>
      <c r="T27" s="5">
        <v>0</v>
      </c>
      <c r="U27" s="5">
        <v>0</v>
      </c>
      <c r="V27" s="2">
        <v>1000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f t="shared" si="12"/>
        <v>25</v>
      </c>
      <c r="AG27" s="10" t="s">
        <v>141</v>
      </c>
      <c r="AH27" s="10" t="s">
        <v>141</v>
      </c>
      <c r="AI27" s="2">
        <v>0</v>
      </c>
    </row>
    <row r="28" spans="1:35">
      <c r="A28" s="2">
        <v>1101</v>
      </c>
      <c r="B28" s="2">
        <v>102</v>
      </c>
      <c r="C28" s="2">
        <v>1001</v>
      </c>
      <c r="D28" s="2" t="s">
        <v>142</v>
      </c>
      <c r="E28" s="1">
        <v>0</v>
      </c>
      <c r="F28" s="2">
        <v>0</v>
      </c>
      <c r="G28" s="2">
        <v>11</v>
      </c>
      <c r="H28" s="2">
        <v>1</v>
      </c>
      <c r="I28" s="2">
        <v>0</v>
      </c>
      <c r="J28" s="2">
        <v>1</v>
      </c>
      <c r="K28" s="2">
        <v>100</v>
      </c>
      <c r="L28" s="2">
        <v>0</v>
      </c>
      <c r="M28" s="2">
        <v>0</v>
      </c>
      <c r="N28" s="2">
        <v>1</v>
      </c>
      <c r="O28" s="2">
        <v>5</v>
      </c>
      <c r="P28" s="2">
        <v>1</v>
      </c>
      <c r="Q28" s="2">
        <v>0</v>
      </c>
      <c r="R28" s="2">
        <v>0</v>
      </c>
      <c r="S28" s="2" t="s">
        <v>74</v>
      </c>
      <c r="T28" s="5">
        <v>0</v>
      </c>
      <c r="U28" s="5">
        <v>0</v>
      </c>
      <c r="V28" s="2">
        <v>1000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f t="shared" ref="AF28:AF30" si="16">INT(K28/4)</f>
        <v>25</v>
      </c>
      <c r="AG28" s="10" t="s">
        <v>143</v>
      </c>
      <c r="AH28" s="10" t="s">
        <v>143</v>
      </c>
      <c r="AI28" s="2">
        <v>0</v>
      </c>
    </row>
    <row r="29" spans="1:35">
      <c r="A29" s="2">
        <v>1102</v>
      </c>
      <c r="B29" s="2">
        <v>101</v>
      </c>
      <c r="C29" s="2">
        <v>10091</v>
      </c>
      <c r="D29" s="2" t="s">
        <v>144</v>
      </c>
      <c r="E29" s="1">
        <v>0</v>
      </c>
      <c r="F29" s="2">
        <v>0</v>
      </c>
      <c r="G29" s="2">
        <v>11</v>
      </c>
      <c r="H29" s="2">
        <v>1</v>
      </c>
      <c r="I29" s="2">
        <v>0</v>
      </c>
      <c r="J29" s="2">
        <v>1</v>
      </c>
      <c r="K29" s="2">
        <v>100</v>
      </c>
      <c r="L29" s="2">
        <v>0</v>
      </c>
      <c r="M29" s="2">
        <v>0</v>
      </c>
      <c r="N29" s="2">
        <v>1</v>
      </c>
      <c r="O29" s="2">
        <v>5</v>
      </c>
      <c r="P29" s="2">
        <v>19</v>
      </c>
      <c r="Q29" s="2">
        <v>0</v>
      </c>
      <c r="R29" s="2">
        <v>0</v>
      </c>
      <c r="S29" s="2" t="s">
        <v>74</v>
      </c>
      <c r="T29" s="5">
        <v>0</v>
      </c>
      <c r="U29" s="5">
        <v>0</v>
      </c>
      <c r="V29" s="2">
        <v>1000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f t="shared" si="16"/>
        <v>25</v>
      </c>
      <c r="AG29" s="10" t="s">
        <v>145</v>
      </c>
      <c r="AH29" s="10" t="s">
        <v>145</v>
      </c>
      <c r="AI29" s="2">
        <v>0</v>
      </c>
    </row>
    <row r="30" spans="1:35">
      <c r="A30" s="2">
        <v>1103</v>
      </c>
      <c r="B30" s="2">
        <v>102</v>
      </c>
      <c r="C30" s="2">
        <v>10091</v>
      </c>
      <c r="D30" s="2" t="s">
        <v>146</v>
      </c>
      <c r="E30" s="1">
        <v>0</v>
      </c>
      <c r="F30" s="2">
        <v>0</v>
      </c>
      <c r="G30" s="2">
        <v>11</v>
      </c>
      <c r="H30" s="2">
        <v>1</v>
      </c>
      <c r="I30" s="2">
        <v>0</v>
      </c>
      <c r="J30" s="2">
        <v>1</v>
      </c>
      <c r="K30" s="2">
        <v>100</v>
      </c>
      <c r="L30" s="2">
        <v>0</v>
      </c>
      <c r="M30" s="2">
        <v>0</v>
      </c>
      <c r="N30" s="2">
        <v>1</v>
      </c>
      <c r="O30" s="2">
        <v>5</v>
      </c>
      <c r="P30" s="2">
        <v>19</v>
      </c>
      <c r="Q30" s="2">
        <v>0</v>
      </c>
      <c r="R30" s="2">
        <v>0</v>
      </c>
      <c r="S30" s="2" t="s">
        <v>74</v>
      </c>
      <c r="T30" s="5">
        <v>0</v>
      </c>
      <c r="U30" s="5">
        <v>0</v>
      </c>
      <c r="V30" s="2">
        <v>1000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f t="shared" si="16"/>
        <v>25</v>
      </c>
      <c r="AG30" s="10" t="s">
        <v>147</v>
      </c>
      <c r="AH30" s="10" t="s">
        <v>147</v>
      </c>
      <c r="AI30" s="2">
        <v>0</v>
      </c>
    </row>
  </sheetData>
  <autoFilter ref="A1:AJ3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workbookViewId="0">
      <selection activeCell="H27" sqref="H27:H29"/>
    </sheetView>
  </sheetViews>
  <sheetFormatPr defaultColWidth="9" defaultRowHeight="16.5"/>
  <cols>
    <col min="1" max="3" width="9" style="12"/>
    <col min="4" max="4" width="11.5" style="12"/>
    <col min="5" max="5" width="13" style="12" customWidth="1"/>
    <col min="6" max="6" width="9" style="12"/>
    <col min="7" max="7" width="9.25" style="12"/>
    <col min="8" max="9" width="9" style="12"/>
    <col min="10" max="10" width="9.125" style="12"/>
    <col min="11" max="11" width="9" style="12"/>
    <col min="12" max="12" width="9.125" style="12"/>
    <col min="13" max="13" width="9.25" style="12"/>
    <col min="14" max="16384" width="9" style="12"/>
  </cols>
  <sheetData>
    <row r="1" spans="1:17">
      <c r="A1" s="10" t="s">
        <v>148</v>
      </c>
      <c r="B1" s="2"/>
      <c r="C1" s="2"/>
      <c r="D1" s="2"/>
      <c r="E1" s="2"/>
      <c r="F1" s="2"/>
      <c r="G1" s="2"/>
      <c r="H1" s="2" t="s">
        <v>149</v>
      </c>
      <c r="I1" s="2"/>
      <c r="J1" s="2"/>
      <c r="K1" s="2"/>
      <c r="L1" s="2" t="s">
        <v>150</v>
      </c>
      <c r="M1" s="2"/>
      <c r="N1" s="2"/>
      <c r="O1" s="2" t="s">
        <v>151</v>
      </c>
      <c r="P1" s="2"/>
      <c r="Q1" s="2"/>
    </row>
    <row r="2" spans="1:17">
      <c r="A2" s="2"/>
      <c r="B2" s="2" t="s">
        <v>152</v>
      </c>
      <c r="C2" s="2"/>
      <c r="D2" s="13">
        <v>0.1</v>
      </c>
      <c r="E2" s="13">
        <v>0.2</v>
      </c>
      <c r="F2" s="2"/>
      <c r="G2" s="2" t="s">
        <v>153</v>
      </c>
      <c r="H2" s="13">
        <v>0.1</v>
      </c>
      <c r="I2" s="13">
        <v>0.15</v>
      </c>
      <c r="J2" s="2"/>
      <c r="K2" s="2" t="s">
        <v>153</v>
      </c>
      <c r="L2" s="13">
        <v>0.05</v>
      </c>
      <c r="M2" s="13">
        <v>0.1</v>
      </c>
      <c r="N2" s="2"/>
      <c r="O2" s="2" t="s">
        <v>153</v>
      </c>
      <c r="P2" s="13">
        <v>0.03</v>
      </c>
      <c r="Q2" s="13">
        <v>0.06</v>
      </c>
    </row>
    <row r="3" spans="1:17">
      <c r="A3" s="2"/>
      <c r="B3" s="2" t="s">
        <v>154</v>
      </c>
      <c r="C3" s="2"/>
      <c r="D3" s="13">
        <v>0.1</v>
      </c>
      <c r="E3" s="13">
        <v>0.15</v>
      </c>
      <c r="F3" s="2"/>
      <c r="G3" s="2" t="s">
        <v>155</v>
      </c>
      <c r="H3" s="13">
        <v>0.15</v>
      </c>
      <c r="I3" s="13">
        <v>0.2</v>
      </c>
      <c r="J3" s="2"/>
      <c r="K3" s="2" t="s">
        <v>155</v>
      </c>
      <c r="L3" s="13">
        <v>0.1</v>
      </c>
      <c r="M3" s="13">
        <v>0.15</v>
      </c>
      <c r="N3" s="2"/>
      <c r="O3" s="2" t="s">
        <v>155</v>
      </c>
      <c r="P3" s="13">
        <v>0.06</v>
      </c>
      <c r="Q3" s="13">
        <v>0.09</v>
      </c>
    </row>
    <row r="4" spans="1:17">
      <c r="A4" s="2"/>
      <c r="B4" s="2" t="s">
        <v>156</v>
      </c>
      <c r="C4" s="2"/>
      <c r="D4" s="13">
        <v>0.3</v>
      </c>
      <c r="E4" s="13">
        <v>0.5</v>
      </c>
      <c r="F4" s="2"/>
      <c r="G4" s="2" t="s">
        <v>157</v>
      </c>
      <c r="H4" s="13">
        <v>0.2</v>
      </c>
      <c r="I4" s="13">
        <v>0.25</v>
      </c>
      <c r="J4" s="2"/>
      <c r="K4" s="2" t="s">
        <v>157</v>
      </c>
      <c r="L4" s="13">
        <v>0.15</v>
      </c>
      <c r="M4" s="13">
        <v>0.2</v>
      </c>
      <c r="N4" s="2"/>
      <c r="O4" s="2" t="s">
        <v>157</v>
      </c>
      <c r="P4" s="13">
        <v>0.09</v>
      </c>
      <c r="Q4" s="13">
        <v>0.12</v>
      </c>
    </row>
    <row r="5" spans="1:2">
      <c r="A5" s="10"/>
      <c r="B5" s="10"/>
    </row>
    <row r="6" spans="1:2">
      <c r="A6" s="10"/>
      <c r="B6" s="10"/>
    </row>
    <row r="7" spans="7:9">
      <c r="G7" s="2"/>
      <c r="H7" s="2">
        <v>100</v>
      </c>
      <c r="I7" s="2">
        <v>2</v>
      </c>
    </row>
    <row r="8" spans="1:15">
      <c r="A8" s="2" t="s">
        <v>158</v>
      </c>
      <c r="B8" s="2" t="s">
        <v>159</v>
      </c>
      <c r="C8" s="2" t="s">
        <v>47</v>
      </c>
      <c r="D8" s="2" t="s">
        <v>160</v>
      </c>
      <c r="E8" s="2" t="s">
        <v>161</v>
      </c>
      <c r="F8" s="2" t="s">
        <v>162</v>
      </c>
      <c r="G8" s="2" t="s">
        <v>163</v>
      </c>
      <c r="H8" s="2" t="s">
        <v>164</v>
      </c>
      <c r="I8" s="2" t="s">
        <v>165</v>
      </c>
      <c r="J8" s="12" t="s">
        <v>166</v>
      </c>
      <c r="K8" s="10" t="s">
        <v>167</v>
      </c>
      <c r="M8" s="2"/>
      <c r="N8" s="2"/>
      <c r="O8" s="2"/>
    </row>
    <row r="9" spans="1:15">
      <c r="A9" s="2" t="s">
        <v>90</v>
      </c>
      <c r="B9" s="2" t="s">
        <v>153</v>
      </c>
      <c r="C9" s="2">
        <v>1</v>
      </c>
      <c r="D9" s="14">
        <v>0.45</v>
      </c>
      <c r="E9" s="14">
        <v>0.25</v>
      </c>
      <c r="F9" s="2">
        <v>1</v>
      </c>
      <c r="G9" s="15">
        <f t="shared" ref="G9:G16" si="0">D9*E9*F9</f>
        <v>0.1125</v>
      </c>
      <c r="H9" s="2">
        <v>250</v>
      </c>
      <c r="I9" s="14">
        <f t="shared" ref="I9:I29" si="1">G9/H9*$H$7</f>
        <v>0.045</v>
      </c>
      <c r="J9" s="15">
        <f>G9+I9*$I$7</f>
        <v>0.2025</v>
      </c>
      <c r="K9" s="14">
        <f>G9</f>
        <v>0.1125</v>
      </c>
      <c r="M9" s="16" t="s">
        <v>168</v>
      </c>
      <c r="O9" s="14"/>
    </row>
    <row r="10" spans="1:15">
      <c r="A10" s="2" t="str">
        <f>A9</f>
        <v>雷塔</v>
      </c>
      <c r="B10" s="2" t="s">
        <v>153</v>
      </c>
      <c r="C10" s="2">
        <v>2</v>
      </c>
      <c r="D10" s="14">
        <v>0.5</v>
      </c>
      <c r="E10" s="14">
        <v>0.4</v>
      </c>
      <c r="F10" s="2">
        <v>1</v>
      </c>
      <c r="G10" s="15">
        <f t="shared" si="0"/>
        <v>0.2</v>
      </c>
      <c r="H10" s="2">
        <v>350</v>
      </c>
      <c r="I10" s="14">
        <f t="shared" si="1"/>
        <v>0.0571428571428571</v>
      </c>
      <c r="J10" s="15">
        <f t="shared" ref="J10:J17" si="2">G10+I10*$I$7</f>
        <v>0.314285714285714</v>
      </c>
      <c r="K10" s="14">
        <f t="shared" ref="K10:K14" si="3">G10-G9</f>
        <v>0.0875</v>
      </c>
      <c r="M10" s="10"/>
      <c r="O10" s="14"/>
    </row>
    <row r="11" spans="1:15">
      <c r="A11" s="2" t="str">
        <f>A10</f>
        <v>雷塔</v>
      </c>
      <c r="B11" s="2" t="s">
        <v>153</v>
      </c>
      <c r="C11" s="2">
        <v>3</v>
      </c>
      <c r="D11" s="14">
        <v>0.6</v>
      </c>
      <c r="E11" s="14">
        <v>0.5</v>
      </c>
      <c r="F11" s="2">
        <v>1</v>
      </c>
      <c r="G11" s="15">
        <f t="shared" si="0"/>
        <v>0.3</v>
      </c>
      <c r="H11" s="2">
        <v>550</v>
      </c>
      <c r="I11" s="14">
        <f t="shared" si="1"/>
        <v>0.0545454545454545</v>
      </c>
      <c r="J11" s="15">
        <f t="shared" si="2"/>
        <v>0.409090909090909</v>
      </c>
      <c r="K11" s="14">
        <f t="shared" si="3"/>
        <v>0.1</v>
      </c>
      <c r="M11" s="10"/>
      <c r="O11" s="14"/>
    </row>
    <row r="12" spans="1:15">
      <c r="A12" s="2" t="s">
        <v>93</v>
      </c>
      <c r="B12" s="2" t="s">
        <v>153</v>
      </c>
      <c r="C12" s="2">
        <v>1</v>
      </c>
      <c r="D12" s="14">
        <v>1</v>
      </c>
      <c r="E12" s="14">
        <v>0.15</v>
      </c>
      <c r="F12" s="2">
        <v>1</v>
      </c>
      <c r="G12" s="15">
        <f t="shared" si="0"/>
        <v>0.15</v>
      </c>
      <c r="H12" s="2">
        <v>200</v>
      </c>
      <c r="I12" s="14">
        <f t="shared" si="1"/>
        <v>0.075</v>
      </c>
      <c r="J12" s="15">
        <f t="shared" si="2"/>
        <v>0.3</v>
      </c>
      <c r="K12" s="14">
        <f>G12</f>
        <v>0.15</v>
      </c>
      <c r="M12" s="10" t="s">
        <v>169</v>
      </c>
      <c r="O12" s="14"/>
    </row>
    <row r="13" spans="1:15">
      <c r="A13" s="2" t="s">
        <v>93</v>
      </c>
      <c r="B13" s="2" t="s">
        <v>153</v>
      </c>
      <c r="C13" s="2">
        <v>2</v>
      </c>
      <c r="D13" s="14">
        <v>1</v>
      </c>
      <c r="E13" s="14">
        <v>0.25</v>
      </c>
      <c r="F13" s="2">
        <v>1</v>
      </c>
      <c r="G13" s="15">
        <f t="shared" si="0"/>
        <v>0.25</v>
      </c>
      <c r="H13" s="2">
        <v>300</v>
      </c>
      <c r="I13" s="14">
        <f t="shared" si="1"/>
        <v>0.0833333333333333</v>
      </c>
      <c r="J13" s="15">
        <f t="shared" si="2"/>
        <v>0.416666666666667</v>
      </c>
      <c r="K13" s="14">
        <f t="shared" si="3"/>
        <v>0.1</v>
      </c>
      <c r="M13" s="10"/>
      <c r="O13" s="14"/>
    </row>
    <row r="14" spans="1:15">
      <c r="A14" s="2" t="s">
        <v>93</v>
      </c>
      <c r="B14" s="2" t="s">
        <v>153</v>
      </c>
      <c r="C14" s="2">
        <v>3</v>
      </c>
      <c r="D14" s="14">
        <v>1</v>
      </c>
      <c r="E14" s="14">
        <v>0.35</v>
      </c>
      <c r="F14" s="2">
        <v>1</v>
      </c>
      <c r="G14" s="15">
        <f t="shared" ref="G14:G29" si="4">D14*E14*F14</f>
        <v>0.35</v>
      </c>
      <c r="H14" s="2">
        <v>400</v>
      </c>
      <c r="I14" s="14">
        <f t="shared" si="1"/>
        <v>0.0875</v>
      </c>
      <c r="J14" s="15">
        <f t="shared" si="2"/>
        <v>0.525</v>
      </c>
      <c r="K14" s="14">
        <f t="shared" si="3"/>
        <v>0.1</v>
      </c>
      <c r="M14" s="10"/>
      <c r="O14" s="14"/>
    </row>
    <row r="15" spans="1:15">
      <c r="A15" s="2" t="s">
        <v>107</v>
      </c>
      <c r="B15" s="2" t="s">
        <v>153</v>
      </c>
      <c r="C15" s="2">
        <v>1</v>
      </c>
      <c r="D15" s="14">
        <v>0.25</v>
      </c>
      <c r="E15" s="14">
        <v>0.5</v>
      </c>
      <c r="F15" s="2">
        <v>1</v>
      </c>
      <c r="G15" s="15">
        <f t="shared" si="4"/>
        <v>0.125</v>
      </c>
      <c r="H15" s="2">
        <v>250</v>
      </c>
      <c r="I15" s="14">
        <f t="shared" si="1"/>
        <v>0.05</v>
      </c>
      <c r="J15" s="15">
        <f t="shared" si="2"/>
        <v>0.225</v>
      </c>
      <c r="K15" s="14">
        <f>G15</f>
        <v>0.125</v>
      </c>
      <c r="M15" s="16" t="s">
        <v>170</v>
      </c>
      <c r="O15" s="14"/>
    </row>
    <row r="16" spans="1:15">
      <c r="A16" s="2" t="s">
        <v>107</v>
      </c>
      <c r="B16" s="2" t="s">
        <v>153</v>
      </c>
      <c r="C16" s="2">
        <v>2</v>
      </c>
      <c r="D16" s="14">
        <v>0.35</v>
      </c>
      <c r="E16" s="14">
        <v>0.6</v>
      </c>
      <c r="F16" s="2">
        <v>1</v>
      </c>
      <c r="G16" s="15">
        <f t="shared" si="4"/>
        <v>0.21</v>
      </c>
      <c r="H16" s="2">
        <v>400</v>
      </c>
      <c r="I16" s="14">
        <f t="shared" si="1"/>
        <v>0.0525</v>
      </c>
      <c r="J16" s="15">
        <f t="shared" si="2"/>
        <v>0.315</v>
      </c>
      <c r="K16" s="14">
        <f t="shared" ref="K16:K20" si="5">G16-G15</f>
        <v>0.085</v>
      </c>
      <c r="N16" s="10"/>
      <c r="O16" s="14"/>
    </row>
    <row r="17" spans="1:15">
      <c r="A17" s="2" t="s">
        <v>107</v>
      </c>
      <c r="B17" s="2" t="s">
        <v>153</v>
      </c>
      <c r="C17" s="2">
        <v>3</v>
      </c>
      <c r="D17" s="14">
        <v>0.45</v>
      </c>
      <c r="E17" s="14">
        <v>0.7</v>
      </c>
      <c r="F17" s="2">
        <v>1</v>
      </c>
      <c r="G17" s="15">
        <f t="shared" si="4"/>
        <v>0.315</v>
      </c>
      <c r="H17" s="2">
        <v>600</v>
      </c>
      <c r="I17" s="14">
        <f t="shared" si="1"/>
        <v>0.0525</v>
      </c>
      <c r="J17" s="15">
        <f t="shared" si="2"/>
        <v>0.42</v>
      </c>
      <c r="K17" s="14">
        <f t="shared" si="5"/>
        <v>0.105</v>
      </c>
      <c r="N17" s="10"/>
      <c r="O17" s="14"/>
    </row>
    <row r="18" spans="1:15">
      <c r="A18" s="2" t="s">
        <v>113</v>
      </c>
      <c r="B18" s="2" t="s">
        <v>155</v>
      </c>
      <c r="C18" s="2">
        <v>1</v>
      </c>
      <c r="D18" s="14">
        <v>0.2</v>
      </c>
      <c r="E18" s="13">
        <v>0.5</v>
      </c>
      <c r="F18" s="2">
        <v>2</v>
      </c>
      <c r="G18" s="15">
        <f t="shared" si="4"/>
        <v>0.2</v>
      </c>
      <c r="H18" s="2">
        <v>600</v>
      </c>
      <c r="I18" s="14">
        <f t="shared" si="1"/>
        <v>0.0333333333333333</v>
      </c>
      <c r="J18" s="15">
        <f t="shared" ref="J18:J29" si="6">G18+I18*$I$7</f>
        <v>0.266666666666667</v>
      </c>
      <c r="K18" s="14">
        <f>G18</f>
        <v>0.2</v>
      </c>
      <c r="M18" s="17" t="s">
        <v>171</v>
      </c>
      <c r="N18" s="10"/>
      <c r="O18" s="14"/>
    </row>
    <row r="19" spans="1:15">
      <c r="A19" s="2" t="s">
        <v>113</v>
      </c>
      <c r="B19" s="2" t="s">
        <v>155</v>
      </c>
      <c r="C19" s="2">
        <v>2</v>
      </c>
      <c r="D19" s="14">
        <v>0.25</v>
      </c>
      <c r="E19" s="13">
        <v>0.7</v>
      </c>
      <c r="F19" s="2">
        <v>2</v>
      </c>
      <c r="G19" s="15">
        <f t="shared" si="4"/>
        <v>0.35</v>
      </c>
      <c r="H19" s="2">
        <v>900</v>
      </c>
      <c r="I19" s="14">
        <f t="shared" si="1"/>
        <v>0.0388888888888889</v>
      </c>
      <c r="J19" s="15">
        <f t="shared" si="6"/>
        <v>0.427777777777778</v>
      </c>
      <c r="K19" s="14">
        <f t="shared" si="5"/>
        <v>0.15</v>
      </c>
      <c r="N19" s="10"/>
      <c r="O19" s="14"/>
    </row>
    <row r="20" spans="1:15">
      <c r="A20" s="2" t="s">
        <v>113</v>
      </c>
      <c r="B20" s="2" t="s">
        <v>155</v>
      </c>
      <c r="C20" s="2">
        <v>3</v>
      </c>
      <c r="D20" s="14">
        <v>0.25</v>
      </c>
      <c r="E20" s="13">
        <v>0.7</v>
      </c>
      <c r="F20" s="2">
        <v>3</v>
      </c>
      <c r="G20" s="15">
        <f t="shared" si="4"/>
        <v>0.525</v>
      </c>
      <c r="H20" s="2">
        <v>1200</v>
      </c>
      <c r="I20" s="14">
        <f t="shared" si="1"/>
        <v>0.04375</v>
      </c>
      <c r="J20" s="15">
        <f t="shared" si="6"/>
        <v>0.6125</v>
      </c>
      <c r="K20" s="14">
        <f t="shared" si="5"/>
        <v>0.175</v>
      </c>
      <c r="N20" s="10"/>
      <c r="O20" s="14"/>
    </row>
    <row r="21" spans="1:15">
      <c r="A21" s="2" t="s">
        <v>116</v>
      </c>
      <c r="B21" s="2" t="s">
        <v>155</v>
      </c>
      <c r="C21" s="2">
        <v>1</v>
      </c>
      <c r="D21" s="14">
        <v>0.15</v>
      </c>
      <c r="E21" s="13">
        <v>0.4</v>
      </c>
      <c r="F21" s="2">
        <v>3</v>
      </c>
      <c r="G21" s="15">
        <f t="shared" si="4"/>
        <v>0.18</v>
      </c>
      <c r="H21" s="2">
        <v>600</v>
      </c>
      <c r="I21" s="14">
        <f t="shared" si="1"/>
        <v>0.03</v>
      </c>
      <c r="J21" s="15">
        <f t="shared" si="6"/>
        <v>0.24</v>
      </c>
      <c r="K21" s="14">
        <f>G21</f>
        <v>0.18</v>
      </c>
      <c r="M21" s="17" t="s">
        <v>172</v>
      </c>
      <c r="N21" s="10"/>
      <c r="O21" s="14"/>
    </row>
    <row r="22" spans="1:15">
      <c r="A22" s="2" t="s">
        <v>116</v>
      </c>
      <c r="B22" s="2" t="s">
        <v>155</v>
      </c>
      <c r="C22" s="2">
        <v>2</v>
      </c>
      <c r="D22" s="14">
        <v>0.2</v>
      </c>
      <c r="E22" s="13">
        <v>0.5</v>
      </c>
      <c r="F22" s="2">
        <v>3</v>
      </c>
      <c r="G22" s="15">
        <f t="shared" si="4"/>
        <v>0.3</v>
      </c>
      <c r="H22" s="2">
        <v>800</v>
      </c>
      <c r="I22" s="14">
        <f t="shared" si="1"/>
        <v>0.0375</v>
      </c>
      <c r="J22" s="15">
        <f t="shared" si="6"/>
        <v>0.375</v>
      </c>
      <c r="K22" s="14">
        <f t="shared" ref="K22:K26" si="7">G22-G21</f>
        <v>0.12</v>
      </c>
      <c r="N22" s="10"/>
      <c r="O22" s="14"/>
    </row>
    <row r="23" spans="1:15">
      <c r="A23" s="2" t="s">
        <v>116</v>
      </c>
      <c r="B23" s="2" t="s">
        <v>155</v>
      </c>
      <c r="C23" s="2">
        <v>3</v>
      </c>
      <c r="D23" s="14">
        <v>0.3</v>
      </c>
      <c r="E23" s="13">
        <v>0.5</v>
      </c>
      <c r="F23" s="2">
        <v>3</v>
      </c>
      <c r="G23" s="15">
        <f t="shared" si="4"/>
        <v>0.45</v>
      </c>
      <c r="H23" s="2">
        <v>1000</v>
      </c>
      <c r="I23" s="14">
        <f t="shared" si="1"/>
        <v>0.045</v>
      </c>
      <c r="J23" s="15">
        <f t="shared" si="6"/>
        <v>0.54</v>
      </c>
      <c r="K23" s="14">
        <f t="shared" si="7"/>
        <v>0.15</v>
      </c>
      <c r="N23" s="10"/>
      <c r="O23" s="14"/>
    </row>
    <row r="24" spans="1:15">
      <c r="A24" s="2" t="s">
        <v>122</v>
      </c>
      <c r="B24" s="2" t="s">
        <v>157</v>
      </c>
      <c r="C24" s="2">
        <v>1</v>
      </c>
      <c r="D24" s="14">
        <v>0.4</v>
      </c>
      <c r="E24" s="14">
        <v>0.5</v>
      </c>
      <c r="F24" s="2">
        <v>1</v>
      </c>
      <c r="G24" s="15">
        <f t="shared" si="4"/>
        <v>0.2</v>
      </c>
      <c r="H24" s="2">
        <v>600</v>
      </c>
      <c r="I24" s="14">
        <f t="shared" si="1"/>
        <v>0.0333333333333333</v>
      </c>
      <c r="J24" s="15">
        <f t="shared" si="6"/>
        <v>0.266666666666667</v>
      </c>
      <c r="K24" s="14">
        <f>G24</f>
        <v>0.2</v>
      </c>
      <c r="M24" s="17" t="s">
        <v>173</v>
      </c>
      <c r="N24" s="10"/>
      <c r="O24" s="14"/>
    </row>
    <row r="25" spans="1:15">
      <c r="A25" s="2" t="s">
        <v>122</v>
      </c>
      <c r="B25" s="2" t="s">
        <v>157</v>
      </c>
      <c r="C25" s="2">
        <v>2</v>
      </c>
      <c r="D25" s="14">
        <v>0.5</v>
      </c>
      <c r="E25" s="14">
        <v>0.7</v>
      </c>
      <c r="F25" s="2">
        <v>1</v>
      </c>
      <c r="G25" s="15">
        <f t="shared" si="4"/>
        <v>0.35</v>
      </c>
      <c r="H25" s="2">
        <v>800</v>
      </c>
      <c r="I25" s="14">
        <f t="shared" si="1"/>
        <v>0.04375</v>
      </c>
      <c r="J25" s="15">
        <f t="shared" si="6"/>
        <v>0.4375</v>
      </c>
      <c r="K25" s="14">
        <f t="shared" si="7"/>
        <v>0.15</v>
      </c>
      <c r="N25" s="10"/>
      <c r="O25" s="14"/>
    </row>
    <row r="26" spans="1:15">
      <c r="A26" s="2" t="s">
        <v>122</v>
      </c>
      <c r="B26" s="2" t="s">
        <v>157</v>
      </c>
      <c r="C26" s="2">
        <v>3</v>
      </c>
      <c r="D26" s="14">
        <v>0.5</v>
      </c>
      <c r="E26" s="14">
        <v>1</v>
      </c>
      <c r="F26" s="2">
        <v>1</v>
      </c>
      <c r="G26" s="15">
        <f t="shared" si="4"/>
        <v>0.5</v>
      </c>
      <c r="H26" s="2">
        <v>1000</v>
      </c>
      <c r="I26" s="14">
        <f t="shared" si="1"/>
        <v>0.05</v>
      </c>
      <c r="J26" s="15">
        <f t="shared" si="6"/>
        <v>0.6</v>
      </c>
      <c r="K26" s="14">
        <f t="shared" si="7"/>
        <v>0.15</v>
      </c>
      <c r="N26" s="10"/>
      <c r="O26" s="14"/>
    </row>
    <row r="27" spans="1:15">
      <c r="A27" s="2" t="s">
        <v>125</v>
      </c>
      <c r="B27" s="2" t="s">
        <v>157</v>
      </c>
      <c r="C27" s="2">
        <v>1</v>
      </c>
      <c r="D27" s="14">
        <v>0.2</v>
      </c>
      <c r="E27" s="14">
        <v>1</v>
      </c>
      <c r="F27" s="2">
        <v>1</v>
      </c>
      <c r="G27" s="15">
        <f t="shared" si="4"/>
        <v>0.2</v>
      </c>
      <c r="H27" s="2">
        <v>1200</v>
      </c>
      <c r="I27" s="14">
        <f t="shared" si="1"/>
        <v>0.0166666666666667</v>
      </c>
      <c r="J27" s="15">
        <f t="shared" si="6"/>
        <v>0.233333333333333</v>
      </c>
      <c r="K27" s="14">
        <f>G27</f>
        <v>0.2</v>
      </c>
      <c r="M27" s="17" t="s">
        <v>174</v>
      </c>
      <c r="N27" s="10"/>
      <c r="O27" s="14"/>
    </row>
    <row r="28" spans="1:15">
      <c r="A28" s="2" t="s">
        <v>125</v>
      </c>
      <c r="B28" s="2" t="s">
        <v>157</v>
      </c>
      <c r="C28" s="2">
        <v>2</v>
      </c>
      <c r="D28" s="14">
        <v>0.2</v>
      </c>
      <c r="E28" s="14">
        <v>2</v>
      </c>
      <c r="F28" s="2">
        <v>1</v>
      </c>
      <c r="G28" s="15">
        <f t="shared" si="4"/>
        <v>0.4</v>
      </c>
      <c r="H28" s="2">
        <v>1500</v>
      </c>
      <c r="I28" s="14">
        <f t="shared" si="1"/>
        <v>0.0266666666666667</v>
      </c>
      <c r="J28" s="15">
        <f t="shared" si="6"/>
        <v>0.453333333333333</v>
      </c>
      <c r="K28" s="14">
        <f>G28-G27</f>
        <v>0.2</v>
      </c>
      <c r="N28" s="10"/>
      <c r="O28" s="14"/>
    </row>
    <row r="29" spans="1:15">
      <c r="A29" s="2" t="s">
        <v>125</v>
      </c>
      <c r="B29" s="2" t="s">
        <v>157</v>
      </c>
      <c r="C29" s="2">
        <v>3</v>
      </c>
      <c r="D29" s="14">
        <v>0.2</v>
      </c>
      <c r="E29" s="14">
        <v>3</v>
      </c>
      <c r="F29" s="2">
        <v>1</v>
      </c>
      <c r="G29" s="15">
        <f t="shared" si="4"/>
        <v>0.6</v>
      </c>
      <c r="H29" s="2">
        <v>1800</v>
      </c>
      <c r="I29" s="14">
        <f t="shared" si="1"/>
        <v>0.0333333333333333</v>
      </c>
      <c r="J29" s="15">
        <f t="shared" si="6"/>
        <v>0.666666666666667</v>
      </c>
      <c r="K29" s="14">
        <f>G29-G28</f>
        <v>0.2</v>
      </c>
      <c r="N29" s="10"/>
      <c r="O29" s="14"/>
    </row>
    <row r="30" spans="12:12">
      <c r="L30" s="14"/>
    </row>
    <row r="31" spans="12:12">
      <c r="L31" s="14"/>
    </row>
    <row r="32" spans="12:12">
      <c r="L32" s="14"/>
    </row>
    <row r="33" spans="12:12">
      <c r="L33" s="14"/>
    </row>
    <row r="34" spans="12:12">
      <c r="L34" s="14"/>
    </row>
    <row r="35" spans="12:12">
      <c r="L35" s="14"/>
    </row>
    <row r="36" spans="12:12">
      <c r="L36" s="14"/>
    </row>
    <row r="37" spans="12:12">
      <c r="L37" s="14"/>
    </row>
    <row r="38" spans="12:12">
      <c r="L38" s="14"/>
    </row>
    <row r="39" spans="12:12">
      <c r="L39" s="14"/>
    </row>
    <row r="40" spans="12:12">
      <c r="L40" s="14"/>
    </row>
    <row r="41" spans="12:12">
      <c r="L41" s="14"/>
    </row>
    <row r="42" spans="12:12">
      <c r="L42" s="14"/>
    </row>
    <row r="43" spans="12:12">
      <c r="L43" s="14"/>
    </row>
    <row r="44" spans="12:12">
      <c r="L44" s="1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8"/>
  <sheetViews>
    <sheetView topLeftCell="A48" workbookViewId="0">
      <selection activeCell="F4" sqref="F4:F68"/>
    </sheetView>
  </sheetViews>
  <sheetFormatPr defaultColWidth="9" defaultRowHeight="16.5"/>
  <cols>
    <col min="1" max="4" width="9" style="2"/>
    <col min="5" max="6" width="7.75" style="2" customWidth="1"/>
    <col min="7" max="7" width="11.75" style="2" customWidth="1"/>
    <col min="8" max="13" width="7.75" style="2" customWidth="1"/>
    <col min="14" max="15" width="10.875" style="2" customWidth="1"/>
    <col min="16" max="16" width="9.625" style="2" customWidth="1"/>
    <col min="17" max="18" width="10.875" style="2" customWidth="1"/>
    <col min="19" max="24" width="9" style="2" customWidth="1"/>
    <col min="25" max="26" width="8.125" style="2" customWidth="1"/>
    <col min="27" max="29" width="10.875" style="2" customWidth="1"/>
    <col min="30" max="31" width="27.125" style="2" customWidth="1"/>
    <col min="32" max="16384" width="9" style="2"/>
  </cols>
  <sheetData>
    <row r="1" s="1" customForma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4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7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</row>
    <row r="2" s="1" customFormat="1" spans="1:32">
      <c r="A2" s="3" t="s">
        <v>35</v>
      </c>
      <c r="B2" s="3" t="s">
        <v>35</v>
      </c>
      <c r="C2" s="3" t="s">
        <v>35</v>
      </c>
      <c r="D2" s="1" t="s">
        <v>36</v>
      </c>
      <c r="E2" s="3" t="s">
        <v>35</v>
      </c>
      <c r="F2" s="1" t="s">
        <v>36</v>
      </c>
      <c r="G2" s="1" t="s">
        <v>36</v>
      </c>
      <c r="H2" s="3" t="s">
        <v>35</v>
      </c>
      <c r="I2" s="3" t="s">
        <v>35</v>
      </c>
      <c r="J2" s="3" t="s">
        <v>35</v>
      </c>
      <c r="K2" s="3" t="s">
        <v>35</v>
      </c>
      <c r="L2" s="3" t="s">
        <v>35</v>
      </c>
      <c r="M2" s="3" t="s">
        <v>35</v>
      </c>
      <c r="N2" s="1" t="s">
        <v>36</v>
      </c>
      <c r="O2" s="1" t="s">
        <v>36</v>
      </c>
      <c r="P2" s="4" t="s">
        <v>36</v>
      </c>
      <c r="Q2" s="4" t="s">
        <v>36</v>
      </c>
      <c r="R2" s="3" t="s">
        <v>37</v>
      </c>
      <c r="S2" s="3" t="s">
        <v>35</v>
      </c>
      <c r="T2" s="1" t="s">
        <v>35</v>
      </c>
      <c r="U2" s="1" t="s">
        <v>35</v>
      </c>
      <c r="V2" s="1" t="s">
        <v>35</v>
      </c>
      <c r="W2" s="3" t="s">
        <v>35</v>
      </c>
      <c r="X2" s="3" t="s">
        <v>35</v>
      </c>
      <c r="Y2" s="3" t="s">
        <v>35</v>
      </c>
      <c r="Z2" s="3" t="s">
        <v>37</v>
      </c>
      <c r="AA2" s="3" t="s">
        <v>35</v>
      </c>
      <c r="AB2" s="3" t="s">
        <v>35</v>
      </c>
      <c r="AC2" s="3" t="s">
        <v>35</v>
      </c>
      <c r="AD2" s="4" t="s">
        <v>36</v>
      </c>
      <c r="AE2" s="4" t="s">
        <v>36</v>
      </c>
      <c r="AF2" s="3" t="s">
        <v>35</v>
      </c>
    </row>
    <row r="3" s="1" customFormat="1" spans="1:32">
      <c r="A3" s="1" t="s">
        <v>38</v>
      </c>
      <c r="B3" s="1" t="s">
        <v>39</v>
      </c>
      <c r="C3" s="1" t="s">
        <v>40</v>
      </c>
      <c r="D3" s="1" t="s">
        <v>41</v>
      </c>
      <c r="E3" s="1" t="s">
        <v>43</v>
      </c>
      <c r="F3" s="1" t="s">
        <v>44</v>
      </c>
      <c r="G3" s="1" t="s">
        <v>45</v>
      </c>
      <c r="H3" s="1" t="s">
        <v>46</v>
      </c>
      <c r="I3" s="4" t="s">
        <v>47</v>
      </c>
      <c r="J3" s="4" t="s">
        <v>175</v>
      </c>
      <c r="K3" s="1" t="s">
        <v>51</v>
      </c>
      <c r="L3" s="4" t="s">
        <v>52</v>
      </c>
      <c r="M3" s="4" t="s">
        <v>52</v>
      </c>
      <c r="N3" s="4" t="s">
        <v>53</v>
      </c>
      <c r="O3" s="4" t="s">
        <v>54</v>
      </c>
      <c r="P3" s="4" t="s">
        <v>55</v>
      </c>
      <c r="Q3" s="4" t="s">
        <v>56</v>
      </c>
      <c r="R3" s="4" t="s">
        <v>57</v>
      </c>
      <c r="S3" s="1" t="s">
        <v>58</v>
      </c>
      <c r="T3" s="1" t="s">
        <v>59</v>
      </c>
      <c r="U3" s="1" t="s">
        <v>60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65</v>
      </c>
      <c r="AA3" s="1" t="s">
        <v>66</v>
      </c>
      <c r="AB3" s="1" t="s">
        <v>67</v>
      </c>
      <c r="AC3" s="3" t="s">
        <v>68</v>
      </c>
      <c r="AD3" s="1" t="s">
        <v>69</v>
      </c>
      <c r="AE3" s="1" t="s">
        <v>70</v>
      </c>
      <c r="AF3" s="1" t="s">
        <v>71</v>
      </c>
    </row>
    <row r="4" s="2" customFormat="1" spans="1:32">
      <c r="A4" s="2">
        <v>1001</v>
      </c>
      <c r="B4" s="2">
        <f>A4</f>
        <v>1001</v>
      </c>
      <c r="C4" s="2">
        <v>0</v>
      </c>
      <c r="D4" s="2" t="s">
        <v>72</v>
      </c>
      <c r="E4" s="2">
        <v>0</v>
      </c>
      <c r="F4" s="2">
        <v>11</v>
      </c>
      <c r="G4" s="2">
        <v>1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0</v>
      </c>
      <c r="P4" s="5" t="s">
        <v>74</v>
      </c>
      <c r="Q4" s="5">
        <v>0</v>
      </c>
      <c r="R4" s="5">
        <v>5</v>
      </c>
      <c r="S4" s="2">
        <v>1500</v>
      </c>
      <c r="T4" s="2">
        <v>0</v>
      </c>
      <c r="U4" s="2">
        <v>0</v>
      </c>
      <c r="V4" s="2">
        <v>0</v>
      </c>
      <c r="W4" s="2">
        <v>50</v>
      </c>
      <c r="X4" s="2">
        <v>50</v>
      </c>
      <c r="Y4" s="2">
        <v>5</v>
      </c>
      <c r="Z4" s="2">
        <v>0.01</v>
      </c>
      <c r="AA4" s="2">
        <v>800</v>
      </c>
      <c r="AB4" s="2">
        <v>1</v>
      </c>
      <c r="AC4" s="2">
        <f t="shared" ref="AC4:AC68" si="0">J4/2</f>
        <v>0</v>
      </c>
      <c r="AD4" s="10" t="s">
        <v>176</v>
      </c>
      <c r="AE4" s="10" t="s">
        <v>177</v>
      </c>
      <c r="AF4" s="2">
        <v>0</v>
      </c>
    </row>
    <row r="5" s="2" customFormat="1" spans="1:32">
      <c r="A5" s="2">
        <v>1002</v>
      </c>
      <c r="B5" s="2">
        <f t="shared" ref="B5:B9" si="1">B4</f>
        <v>1001</v>
      </c>
      <c r="C5" s="2">
        <v>0</v>
      </c>
      <c r="D5" s="2" t="str">
        <f t="shared" ref="D5:D9" si="2">D4</f>
        <v>基地</v>
      </c>
      <c r="E5" s="2">
        <f t="shared" ref="E5:E9" si="3">E4</f>
        <v>0</v>
      </c>
      <c r="F5" s="2">
        <v>11</v>
      </c>
      <c r="G5" s="2">
        <v>1</v>
      </c>
      <c r="H5" s="2">
        <v>0</v>
      </c>
      <c r="I5" s="2">
        <v>2</v>
      </c>
      <c r="J5" s="2">
        <v>100</v>
      </c>
      <c r="K5" s="2">
        <v>0</v>
      </c>
      <c r="L5" s="2">
        <v>1</v>
      </c>
      <c r="M5" s="2">
        <v>1</v>
      </c>
      <c r="N5" s="2">
        <v>0</v>
      </c>
      <c r="O5" s="2">
        <v>0</v>
      </c>
      <c r="P5" s="5" t="s">
        <v>178</v>
      </c>
      <c r="Q5" s="5">
        <v>0</v>
      </c>
      <c r="R5" s="5">
        <v>10</v>
      </c>
      <c r="S5" s="2">
        <v>2000</v>
      </c>
      <c r="T5" s="2">
        <v>0</v>
      </c>
      <c r="U5" s="2">
        <v>0</v>
      </c>
      <c r="V5" s="2">
        <v>0</v>
      </c>
      <c r="W5" s="2">
        <v>60</v>
      </c>
      <c r="X5" s="2">
        <v>60</v>
      </c>
      <c r="Y5" s="2">
        <v>10</v>
      </c>
      <c r="Z5" s="2">
        <v>0.015</v>
      </c>
      <c r="AA5" s="2">
        <v>800</v>
      </c>
      <c r="AB5" s="2">
        <v>2</v>
      </c>
      <c r="AC5" s="2">
        <v>0</v>
      </c>
      <c r="AD5" s="10" t="s">
        <v>179</v>
      </c>
      <c r="AE5" s="10" t="s">
        <v>180</v>
      </c>
      <c r="AF5" s="2">
        <v>0</v>
      </c>
    </row>
    <row r="6" s="2" customFormat="1" spans="1:32">
      <c r="A6" s="2">
        <v>1003</v>
      </c>
      <c r="B6" s="2">
        <f t="shared" si="1"/>
        <v>1001</v>
      </c>
      <c r="C6" s="2">
        <v>0</v>
      </c>
      <c r="D6" s="2" t="str">
        <f t="shared" si="2"/>
        <v>基地</v>
      </c>
      <c r="E6" s="2">
        <f t="shared" si="3"/>
        <v>0</v>
      </c>
      <c r="F6" s="2">
        <v>11</v>
      </c>
      <c r="G6" s="2">
        <v>1</v>
      </c>
      <c r="H6" s="2">
        <v>0</v>
      </c>
      <c r="I6" s="2">
        <v>3</v>
      </c>
      <c r="J6" s="2">
        <v>300</v>
      </c>
      <c r="K6" s="2">
        <v>0</v>
      </c>
      <c r="L6" s="2">
        <v>1</v>
      </c>
      <c r="M6" s="2">
        <v>1</v>
      </c>
      <c r="N6" s="2">
        <v>0</v>
      </c>
      <c r="O6" s="2">
        <v>0</v>
      </c>
      <c r="P6" s="5" t="s">
        <v>181</v>
      </c>
      <c r="Q6" s="5">
        <v>0</v>
      </c>
      <c r="R6" s="5">
        <v>25</v>
      </c>
      <c r="S6" s="2">
        <v>3000</v>
      </c>
      <c r="T6" s="2">
        <v>0</v>
      </c>
      <c r="U6" s="2">
        <v>0</v>
      </c>
      <c r="V6" s="2">
        <v>0</v>
      </c>
      <c r="W6" s="2">
        <v>70</v>
      </c>
      <c r="X6" s="2">
        <v>70</v>
      </c>
      <c r="Y6" s="2">
        <v>15</v>
      </c>
      <c r="Z6" s="2">
        <v>0.02</v>
      </c>
      <c r="AA6" s="2">
        <v>800</v>
      </c>
      <c r="AB6" s="2">
        <v>3</v>
      </c>
      <c r="AC6" s="2">
        <v>0</v>
      </c>
      <c r="AD6" s="10" t="s">
        <v>182</v>
      </c>
      <c r="AE6" s="10" t="s">
        <v>183</v>
      </c>
      <c r="AF6" s="2">
        <v>0</v>
      </c>
    </row>
    <row r="7" s="2" customFormat="1" spans="1:33">
      <c r="A7" s="2">
        <v>2001</v>
      </c>
      <c r="B7" s="2">
        <f>A7</f>
        <v>2001</v>
      </c>
      <c r="C7" s="2">
        <v>0</v>
      </c>
      <c r="D7" s="2" t="s">
        <v>77</v>
      </c>
      <c r="E7" s="2">
        <v>0</v>
      </c>
      <c r="F7" s="2">
        <v>11</v>
      </c>
      <c r="G7" s="2">
        <v>1</v>
      </c>
      <c r="H7" s="2">
        <v>0</v>
      </c>
      <c r="I7" s="2">
        <v>1</v>
      </c>
      <c r="J7" s="2">
        <v>100</v>
      </c>
      <c r="K7" s="2">
        <v>0</v>
      </c>
      <c r="L7" s="2">
        <v>2</v>
      </c>
      <c r="M7" s="2">
        <v>2</v>
      </c>
      <c r="N7" s="2">
        <v>0</v>
      </c>
      <c r="O7" s="2">
        <v>0</v>
      </c>
      <c r="P7" s="5" t="s">
        <v>74</v>
      </c>
      <c r="Q7" s="5">
        <v>0</v>
      </c>
      <c r="R7" s="8">
        <v>10</v>
      </c>
      <c r="S7" s="2">
        <v>1000</v>
      </c>
      <c r="T7" s="2">
        <v>0</v>
      </c>
      <c r="U7" s="2">
        <v>0</v>
      </c>
      <c r="V7" s="2">
        <v>0</v>
      </c>
      <c r="W7" s="2">
        <f t="shared" ref="W7:W9" si="4">W4/2</f>
        <v>25</v>
      </c>
      <c r="X7" s="2">
        <f t="shared" ref="X7:X57" si="5">W7</f>
        <v>25</v>
      </c>
      <c r="Y7" s="11">
        <v>10</v>
      </c>
      <c r="Z7" s="2">
        <v>0</v>
      </c>
      <c r="AA7" s="2">
        <v>0</v>
      </c>
      <c r="AB7" s="2">
        <v>0</v>
      </c>
      <c r="AC7" s="2">
        <f t="shared" si="0"/>
        <v>50</v>
      </c>
      <c r="AD7" s="10" t="s">
        <v>78</v>
      </c>
      <c r="AE7" s="10" t="s">
        <v>78</v>
      </c>
      <c r="AF7" s="2">
        <v>0</v>
      </c>
      <c r="AG7" s="10"/>
    </row>
    <row r="8" s="2" customFormat="1" spans="1:32">
      <c r="A8" s="2">
        <v>2002</v>
      </c>
      <c r="B8" s="2">
        <f t="shared" si="1"/>
        <v>2001</v>
      </c>
      <c r="C8" s="2">
        <v>0</v>
      </c>
      <c r="D8" s="2" t="str">
        <f t="shared" si="2"/>
        <v>农田</v>
      </c>
      <c r="E8" s="2">
        <f t="shared" si="3"/>
        <v>0</v>
      </c>
      <c r="F8" s="2">
        <v>11</v>
      </c>
      <c r="G8" s="2">
        <v>1</v>
      </c>
      <c r="H8" s="2">
        <v>0</v>
      </c>
      <c r="I8" s="2">
        <v>2</v>
      </c>
      <c r="J8" s="2">
        <v>200</v>
      </c>
      <c r="K8" s="2">
        <v>0</v>
      </c>
      <c r="L8" s="2">
        <v>2</v>
      </c>
      <c r="M8" s="2">
        <v>2</v>
      </c>
      <c r="N8" s="2">
        <v>0</v>
      </c>
      <c r="O8" s="2">
        <v>0</v>
      </c>
      <c r="P8" s="5" t="s">
        <v>184</v>
      </c>
      <c r="Q8" s="5">
        <v>0</v>
      </c>
      <c r="R8" s="8">
        <v>20</v>
      </c>
      <c r="S8" s="2">
        <v>1200</v>
      </c>
      <c r="T8" s="2">
        <v>0</v>
      </c>
      <c r="U8" s="2">
        <v>0</v>
      </c>
      <c r="V8" s="2">
        <v>0</v>
      </c>
      <c r="W8" s="2">
        <f t="shared" si="4"/>
        <v>30</v>
      </c>
      <c r="X8" s="2">
        <f t="shared" si="5"/>
        <v>30</v>
      </c>
      <c r="Y8" s="11">
        <v>15</v>
      </c>
      <c r="Z8" s="2">
        <v>0</v>
      </c>
      <c r="AA8" s="2">
        <v>0</v>
      </c>
      <c r="AB8" s="2">
        <v>0</v>
      </c>
      <c r="AC8" s="2">
        <f t="shared" si="0"/>
        <v>100</v>
      </c>
      <c r="AD8" s="10" t="s">
        <v>78</v>
      </c>
      <c r="AE8" s="10" t="s">
        <v>78</v>
      </c>
      <c r="AF8" s="2">
        <v>0</v>
      </c>
    </row>
    <row r="9" s="2" customFormat="1" spans="1:32">
      <c r="A9" s="2">
        <v>2003</v>
      </c>
      <c r="B9" s="2">
        <f t="shared" si="1"/>
        <v>2001</v>
      </c>
      <c r="C9" s="2">
        <v>0</v>
      </c>
      <c r="D9" s="2" t="str">
        <f t="shared" si="2"/>
        <v>农田</v>
      </c>
      <c r="E9" s="2">
        <f t="shared" si="3"/>
        <v>0</v>
      </c>
      <c r="F9" s="2">
        <v>11</v>
      </c>
      <c r="G9" s="2">
        <v>1</v>
      </c>
      <c r="H9" s="2">
        <v>0</v>
      </c>
      <c r="I9" s="2">
        <v>3</v>
      </c>
      <c r="J9" s="2">
        <v>300</v>
      </c>
      <c r="K9" s="2">
        <v>0</v>
      </c>
      <c r="L9" s="2">
        <v>2</v>
      </c>
      <c r="M9" s="2">
        <v>2</v>
      </c>
      <c r="N9" s="2">
        <v>0</v>
      </c>
      <c r="O9" s="2">
        <v>0</v>
      </c>
      <c r="P9" s="5" t="s">
        <v>185</v>
      </c>
      <c r="Q9" s="5">
        <v>0</v>
      </c>
      <c r="R9" s="8">
        <v>30</v>
      </c>
      <c r="S9" s="2">
        <v>1500</v>
      </c>
      <c r="T9" s="2">
        <v>0</v>
      </c>
      <c r="U9" s="2">
        <v>0</v>
      </c>
      <c r="V9" s="2">
        <v>0</v>
      </c>
      <c r="W9" s="2">
        <f t="shared" si="4"/>
        <v>35</v>
      </c>
      <c r="X9" s="2">
        <f t="shared" si="5"/>
        <v>35</v>
      </c>
      <c r="Y9" s="11">
        <v>20</v>
      </c>
      <c r="Z9" s="2">
        <v>0</v>
      </c>
      <c r="AA9" s="2">
        <v>0</v>
      </c>
      <c r="AB9" s="2">
        <v>0</v>
      </c>
      <c r="AC9" s="2">
        <f t="shared" si="0"/>
        <v>150</v>
      </c>
      <c r="AD9" s="10" t="s">
        <v>78</v>
      </c>
      <c r="AE9" s="10" t="s">
        <v>78</v>
      </c>
      <c r="AF9" s="2">
        <v>0</v>
      </c>
    </row>
    <row r="10" s="2" customFormat="1" spans="1:32">
      <c r="A10" s="2">
        <v>3001</v>
      </c>
      <c r="B10" s="2">
        <f>A10</f>
        <v>3001</v>
      </c>
      <c r="C10" s="2">
        <v>0</v>
      </c>
      <c r="D10" s="2" t="s">
        <v>83</v>
      </c>
      <c r="E10" s="2">
        <v>1</v>
      </c>
      <c r="F10" s="2">
        <v>11</v>
      </c>
      <c r="G10" s="2">
        <v>1</v>
      </c>
      <c r="H10" s="2">
        <v>0</v>
      </c>
      <c r="I10" s="2">
        <v>1</v>
      </c>
      <c r="J10" s="2">
        <v>200</v>
      </c>
      <c r="K10" s="2">
        <v>0</v>
      </c>
      <c r="L10" s="2">
        <v>2</v>
      </c>
      <c r="M10" s="2">
        <v>3</v>
      </c>
      <c r="N10" s="2" t="s">
        <v>84</v>
      </c>
      <c r="O10" s="2" t="s">
        <v>84</v>
      </c>
      <c r="P10" s="5">
        <v>1</v>
      </c>
      <c r="Q10" s="5">
        <v>0</v>
      </c>
      <c r="R10" s="5">
        <f t="shared" ref="R10:W10" si="6">R7</f>
        <v>10</v>
      </c>
      <c r="S10" s="2">
        <f t="shared" si="6"/>
        <v>1000</v>
      </c>
      <c r="T10" s="2">
        <v>0</v>
      </c>
      <c r="U10" s="2">
        <v>0</v>
      </c>
      <c r="V10" s="2">
        <v>0</v>
      </c>
      <c r="W10" s="2">
        <f t="shared" si="6"/>
        <v>25</v>
      </c>
      <c r="X10" s="2">
        <f t="shared" si="5"/>
        <v>25</v>
      </c>
      <c r="Y10" s="2">
        <f t="shared" ref="Y10:Y57" si="7">Y7</f>
        <v>10</v>
      </c>
      <c r="Z10" s="2">
        <v>0</v>
      </c>
      <c r="AA10" s="2">
        <v>0</v>
      </c>
      <c r="AB10" s="2">
        <v>0</v>
      </c>
      <c r="AC10" s="2">
        <f t="shared" si="0"/>
        <v>100</v>
      </c>
      <c r="AD10" s="10" t="s">
        <v>85</v>
      </c>
      <c r="AE10" s="10" t="s">
        <v>186</v>
      </c>
      <c r="AF10" s="2">
        <v>1</v>
      </c>
    </row>
    <row r="11" s="2" customFormat="1" spans="1:32">
      <c r="A11" s="2">
        <v>3002</v>
      </c>
      <c r="B11" s="2">
        <f t="shared" ref="B11:B15" si="8">B10</f>
        <v>3001</v>
      </c>
      <c r="C11" s="2">
        <v>0</v>
      </c>
      <c r="D11" s="2" t="str">
        <f t="shared" ref="D11:D15" si="9">D10</f>
        <v>兵营</v>
      </c>
      <c r="E11" s="2">
        <f>E10</f>
        <v>1</v>
      </c>
      <c r="F11" s="2">
        <v>11</v>
      </c>
      <c r="G11" s="2">
        <v>1</v>
      </c>
      <c r="H11" s="2">
        <v>0</v>
      </c>
      <c r="I11" s="2">
        <v>2</v>
      </c>
      <c r="J11" s="2">
        <v>400</v>
      </c>
      <c r="K11" s="2">
        <v>0</v>
      </c>
      <c r="L11" s="2">
        <v>2</v>
      </c>
      <c r="M11" s="2">
        <v>3</v>
      </c>
      <c r="N11" s="2" t="str">
        <f t="shared" ref="N11:N14" si="10">N10</f>
        <v>b30011</v>
      </c>
      <c r="O11" s="2" t="s">
        <v>84</v>
      </c>
      <c r="P11" s="5">
        <v>2</v>
      </c>
      <c r="Q11" s="5">
        <v>0</v>
      </c>
      <c r="R11" s="5">
        <f t="shared" ref="R11:W11" si="11">R8</f>
        <v>20</v>
      </c>
      <c r="S11" s="2">
        <f t="shared" si="11"/>
        <v>1200</v>
      </c>
      <c r="T11" s="2">
        <v>0</v>
      </c>
      <c r="U11" s="2">
        <v>0</v>
      </c>
      <c r="V11" s="2">
        <v>0</v>
      </c>
      <c r="W11" s="2">
        <f t="shared" si="11"/>
        <v>30</v>
      </c>
      <c r="X11" s="2">
        <f t="shared" si="5"/>
        <v>30</v>
      </c>
      <c r="Y11" s="2">
        <f t="shared" si="7"/>
        <v>15</v>
      </c>
      <c r="Z11" s="2">
        <v>0</v>
      </c>
      <c r="AA11" s="2">
        <v>0</v>
      </c>
      <c r="AB11" s="2">
        <v>0</v>
      </c>
      <c r="AC11" s="2">
        <f t="shared" si="0"/>
        <v>200</v>
      </c>
      <c r="AD11" s="10" t="s">
        <v>187</v>
      </c>
      <c r="AE11" s="10" t="s">
        <v>186</v>
      </c>
      <c r="AF11" s="2">
        <v>1</v>
      </c>
    </row>
    <row r="12" s="2" customFormat="1" spans="1:32">
      <c r="A12" s="2">
        <v>3003</v>
      </c>
      <c r="B12" s="2">
        <f t="shared" si="8"/>
        <v>3001</v>
      </c>
      <c r="C12" s="2">
        <v>0</v>
      </c>
      <c r="D12" s="2" t="str">
        <f t="shared" si="9"/>
        <v>兵营</v>
      </c>
      <c r="E12" s="2">
        <f>E10</f>
        <v>1</v>
      </c>
      <c r="F12" s="2">
        <v>11</v>
      </c>
      <c r="G12" s="2">
        <v>1</v>
      </c>
      <c r="H12" s="2">
        <v>0</v>
      </c>
      <c r="I12" s="2">
        <v>3</v>
      </c>
      <c r="J12" s="2">
        <v>700</v>
      </c>
      <c r="K12" s="2">
        <v>0</v>
      </c>
      <c r="L12" s="2">
        <v>2</v>
      </c>
      <c r="M12" s="2">
        <v>3</v>
      </c>
      <c r="N12" s="2" t="str">
        <f t="shared" si="10"/>
        <v>b30011</v>
      </c>
      <c r="O12" s="2" t="s">
        <v>84</v>
      </c>
      <c r="P12" s="5">
        <v>3</v>
      </c>
      <c r="Q12" s="5">
        <v>0</v>
      </c>
      <c r="R12" s="5">
        <f t="shared" ref="R12:W12" si="12">R9</f>
        <v>30</v>
      </c>
      <c r="S12" s="2">
        <f t="shared" si="12"/>
        <v>1500</v>
      </c>
      <c r="T12" s="2">
        <v>0</v>
      </c>
      <c r="U12" s="2">
        <v>0</v>
      </c>
      <c r="V12" s="2">
        <v>0</v>
      </c>
      <c r="W12" s="2">
        <f t="shared" si="12"/>
        <v>35</v>
      </c>
      <c r="X12" s="2">
        <f t="shared" si="5"/>
        <v>35</v>
      </c>
      <c r="Y12" s="2">
        <f t="shared" si="7"/>
        <v>20</v>
      </c>
      <c r="Z12" s="2">
        <v>0</v>
      </c>
      <c r="AA12" s="2">
        <v>0</v>
      </c>
      <c r="AB12" s="2">
        <v>0</v>
      </c>
      <c r="AC12" s="2">
        <f t="shared" si="0"/>
        <v>350</v>
      </c>
      <c r="AD12" s="10" t="s">
        <v>188</v>
      </c>
      <c r="AE12" s="10" t="s">
        <v>186</v>
      </c>
      <c r="AF12" s="2">
        <v>1</v>
      </c>
    </row>
    <row r="13" s="2" customFormat="1" spans="1:32">
      <c r="A13" s="2">
        <v>4001</v>
      </c>
      <c r="B13" s="2">
        <f>A13</f>
        <v>4001</v>
      </c>
      <c r="C13" s="2">
        <v>0</v>
      </c>
      <c r="D13" s="2" t="s">
        <v>86</v>
      </c>
      <c r="E13" s="2">
        <v>5</v>
      </c>
      <c r="F13" s="2">
        <v>18</v>
      </c>
      <c r="G13" s="2">
        <v>1</v>
      </c>
      <c r="H13" s="2">
        <v>0</v>
      </c>
      <c r="I13" s="2">
        <v>1</v>
      </c>
      <c r="J13" s="2">
        <v>250</v>
      </c>
      <c r="K13" s="2">
        <v>0</v>
      </c>
      <c r="L13" s="2">
        <v>2</v>
      </c>
      <c r="M13" s="2">
        <v>4</v>
      </c>
      <c r="N13" s="2" t="s">
        <v>87</v>
      </c>
      <c r="O13" s="2" t="str">
        <f t="shared" ref="O13:O25" si="13">"b"&amp;B13&amp;I13</f>
        <v>b40011</v>
      </c>
      <c r="P13" s="5" t="s">
        <v>88</v>
      </c>
      <c r="Q13" s="5">
        <v>0</v>
      </c>
      <c r="R13" s="5">
        <f t="shared" ref="R13:W13" si="14">R10</f>
        <v>10</v>
      </c>
      <c r="S13" s="2">
        <f t="shared" si="14"/>
        <v>1000</v>
      </c>
      <c r="T13" s="2">
        <v>0</v>
      </c>
      <c r="U13" s="2">
        <v>0</v>
      </c>
      <c r="V13" s="2">
        <v>0</v>
      </c>
      <c r="W13" s="2">
        <f t="shared" si="14"/>
        <v>25</v>
      </c>
      <c r="X13" s="2">
        <f t="shared" si="5"/>
        <v>25</v>
      </c>
      <c r="Y13" s="2">
        <f t="shared" si="7"/>
        <v>10</v>
      </c>
      <c r="Z13" s="2">
        <v>0</v>
      </c>
      <c r="AA13" s="2">
        <v>0</v>
      </c>
      <c r="AB13" s="2">
        <v>0</v>
      </c>
      <c r="AC13" s="2">
        <f t="shared" si="0"/>
        <v>125</v>
      </c>
      <c r="AD13" s="10" t="s">
        <v>189</v>
      </c>
      <c r="AE13" s="10" t="s">
        <v>190</v>
      </c>
      <c r="AF13" s="2">
        <v>1</v>
      </c>
    </row>
    <row r="14" s="2" customFormat="1" spans="1:32">
      <c r="A14" s="2">
        <v>4002</v>
      </c>
      <c r="B14" s="2">
        <f t="shared" si="8"/>
        <v>4001</v>
      </c>
      <c r="C14" s="2">
        <v>0</v>
      </c>
      <c r="D14" s="2" t="str">
        <f t="shared" si="9"/>
        <v>训练场</v>
      </c>
      <c r="E14" s="2">
        <f t="shared" ref="E14:E18" si="15">E13</f>
        <v>5</v>
      </c>
      <c r="F14" s="2">
        <v>18</v>
      </c>
      <c r="G14" s="2">
        <v>1</v>
      </c>
      <c r="H14" s="2">
        <v>0</v>
      </c>
      <c r="I14" s="2">
        <v>2</v>
      </c>
      <c r="J14" s="2">
        <v>500</v>
      </c>
      <c r="K14" s="2">
        <v>0</v>
      </c>
      <c r="L14" s="2">
        <v>2</v>
      </c>
      <c r="M14" s="2">
        <v>4</v>
      </c>
      <c r="N14" s="2" t="str">
        <f t="shared" si="10"/>
        <v>b40011</v>
      </c>
      <c r="O14" s="2" t="str">
        <f t="shared" si="13"/>
        <v>b40012</v>
      </c>
      <c r="P14" s="5" t="s">
        <v>191</v>
      </c>
      <c r="Q14" s="5">
        <v>0</v>
      </c>
      <c r="R14" s="5">
        <f t="shared" ref="R14:W14" si="16">R11</f>
        <v>20</v>
      </c>
      <c r="S14" s="2">
        <f t="shared" si="16"/>
        <v>1200</v>
      </c>
      <c r="T14" s="2">
        <v>0</v>
      </c>
      <c r="U14" s="2">
        <v>0</v>
      </c>
      <c r="V14" s="2">
        <v>0</v>
      </c>
      <c r="W14" s="2">
        <f t="shared" si="16"/>
        <v>30</v>
      </c>
      <c r="X14" s="2">
        <f t="shared" si="5"/>
        <v>30</v>
      </c>
      <c r="Y14" s="2">
        <f t="shared" si="7"/>
        <v>15</v>
      </c>
      <c r="Z14" s="2">
        <v>0</v>
      </c>
      <c r="AA14" s="2">
        <v>0</v>
      </c>
      <c r="AB14" s="2">
        <v>0</v>
      </c>
      <c r="AC14" s="2">
        <f t="shared" si="0"/>
        <v>250</v>
      </c>
      <c r="AD14" s="10" t="s">
        <v>192</v>
      </c>
      <c r="AE14" s="10" t="s">
        <v>190</v>
      </c>
      <c r="AF14" s="2">
        <v>1</v>
      </c>
    </row>
    <row r="15" s="2" customFormat="1" spans="1:32">
      <c r="A15" s="2">
        <v>4003</v>
      </c>
      <c r="B15" s="2">
        <f t="shared" si="8"/>
        <v>4001</v>
      </c>
      <c r="C15" s="2">
        <v>0</v>
      </c>
      <c r="D15" s="2" t="str">
        <f t="shared" si="9"/>
        <v>训练场</v>
      </c>
      <c r="E15" s="2">
        <f>E13</f>
        <v>5</v>
      </c>
      <c r="F15" s="2">
        <v>18</v>
      </c>
      <c r="G15" s="2">
        <v>1</v>
      </c>
      <c r="H15" s="2">
        <v>0</v>
      </c>
      <c r="I15" s="2">
        <v>3</v>
      </c>
      <c r="J15" s="2">
        <v>750</v>
      </c>
      <c r="K15" s="2">
        <v>0</v>
      </c>
      <c r="L15" s="2">
        <v>2</v>
      </c>
      <c r="M15" s="2">
        <v>4</v>
      </c>
      <c r="N15" s="2" t="str">
        <f>N13</f>
        <v>b40011</v>
      </c>
      <c r="O15" s="2" t="str">
        <f t="shared" si="13"/>
        <v>b40013</v>
      </c>
      <c r="P15" s="5" t="s">
        <v>193</v>
      </c>
      <c r="Q15" s="5">
        <v>0</v>
      </c>
      <c r="R15" s="5">
        <f t="shared" ref="R15:W15" si="17">R12</f>
        <v>30</v>
      </c>
      <c r="S15" s="2">
        <f t="shared" si="17"/>
        <v>1500</v>
      </c>
      <c r="T15" s="2">
        <v>0</v>
      </c>
      <c r="U15" s="2">
        <v>0</v>
      </c>
      <c r="V15" s="2">
        <v>0</v>
      </c>
      <c r="W15" s="2">
        <f t="shared" si="17"/>
        <v>35</v>
      </c>
      <c r="X15" s="2">
        <f t="shared" si="5"/>
        <v>35</v>
      </c>
      <c r="Y15" s="2">
        <f t="shared" si="7"/>
        <v>20</v>
      </c>
      <c r="Z15" s="2">
        <v>0</v>
      </c>
      <c r="AA15" s="2">
        <v>0</v>
      </c>
      <c r="AB15" s="2">
        <v>0</v>
      </c>
      <c r="AC15" s="2">
        <f t="shared" si="0"/>
        <v>375</v>
      </c>
      <c r="AD15" s="10" t="s">
        <v>194</v>
      </c>
      <c r="AE15" s="10" t="s">
        <v>190</v>
      </c>
      <c r="AF15" s="2">
        <v>1</v>
      </c>
    </row>
    <row r="16" s="2" customFormat="1" ht="17.25" spans="1:32">
      <c r="A16" s="2">
        <v>5001</v>
      </c>
      <c r="B16" s="2">
        <f>A16</f>
        <v>5001</v>
      </c>
      <c r="C16" s="2">
        <v>0</v>
      </c>
      <c r="D16" s="2" t="s">
        <v>90</v>
      </c>
      <c r="E16" s="2">
        <v>6</v>
      </c>
      <c r="F16" s="2">
        <v>24</v>
      </c>
      <c r="G16" s="2">
        <v>1</v>
      </c>
      <c r="H16" s="2">
        <v>1</v>
      </c>
      <c r="I16" s="2">
        <v>1</v>
      </c>
      <c r="J16" s="2">
        <v>250</v>
      </c>
      <c r="K16" s="2">
        <v>0</v>
      </c>
      <c r="L16" s="2">
        <v>2</v>
      </c>
      <c r="M16" s="2">
        <v>8</v>
      </c>
      <c r="N16" s="2" t="s">
        <v>91</v>
      </c>
      <c r="O16" s="2" t="str">
        <f t="shared" si="13"/>
        <v>b50011</v>
      </c>
      <c r="P16" s="5">
        <v>0</v>
      </c>
      <c r="Q16" s="9">
        <v>60011</v>
      </c>
      <c r="R16" s="5">
        <f t="shared" ref="R16:W16" si="18">R13</f>
        <v>10</v>
      </c>
      <c r="S16" s="2">
        <f t="shared" si="18"/>
        <v>1000</v>
      </c>
      <c r="T16" s="2">
        <v>0</v>
      </c>
      <c r="U16" s="2">
        <v>0</v>
      </c>
      <c r="V16" s="2">
        <v>0</v>
      </c>
      <c r="W16" s="2">
        <f t="shared" si="18"/>
        <v>25</v>
      </c>
      <c r="X16" s="2">
        <f t="shared" si="5"/>
        <v>25</v>
      </c>
      <c r="Y16" s="2">
        <f t="shared" si="7"/>
        <v>10</v>
      </c>
      <c r="Z16" s="2">
        <v>0</v>
      </c>
      <c r="AA16" s="2">
        <v>0</v>
      </c>
      <c r="AB16" s="2">
        <v>0</v>
      </c>
      <c r="AC16" s="2">
        <f t="shared" si="0"/>
        <v>125</v>
      </c>
      <c r="AD16" s="10" t="s">
        <v>195</v>
      </c>
      <c r="AE16" s="10" t="s">
        <v>196</v>
      </c>
      <c r="AF16" s="2">
        <v>1</v>
      </c>
    </row>
    <row r="17" s="2" customFormat="1" ht="17.25" spans="1:32">
      <c r="A17" s="2">
        <v>5002</v>
      </c>
      <c r="B17" s="2">
        <f t="shared" ref="B17:B21" si="19">B16</f>
        <v>5001</v>
      </c>
      <c r="C17" s="2">
        <v>0</v>
      </c>
      <c r="D17" s="2" t="str">
        <f t="shared" ref="D17:D21" si="20">D16</f>
        <v>雷塔</v>
      </c>
      <c r="E17" s="2">
        <f t="shared" si="15"/>
        <v>6</v>
      </c>
      <c r="F17" s="2">
        <v>24</v>
      </c>
      <c r="G17" s="2">
        <v>1</v>
      </c>
      <c r="H17" s="2">
        <v>1</v>
      </c>
      <c r="I17" s="2">
        <v>2</v>
      </c>
      <c r="J17" s="2">
        <v>350</v>
      </c>
      <c r="K17" s="2">
        <v>0</v>
      </c>
      <c r="L17" s="2">
        <v>2</v>
      </c>
      <c r="M17" s="2">
        <v>8</v>
      </c>
      <c r="N17" s="2" t="str">
        <f>N16</f>
        <v>b50011</v>
      </c>
      <c r="O17" s="2" t="str">
        <f t="shared" si="13"/>
        <v>b50012</v>
      </c>
      <c r="P17" s="5">
        <v>0</v>
      </c>
      <c r="Q17" s="9">
        <v>60021</v>
      </c>
      <c r="R17" s="5">
        <f t="shared" ref="R17:W17" si="21">R14</f>
        <v>20</v>
      </c>
      <c r="S17" s="2">
        <f t="shared" si="21"/>
        <v>1200</v>
      </c>
      <c r="T17" s="2">
        <v>0</v>
      </c>
      <c r="U17" s="2">
        <v>0</v>
      </c>
      <c r="V17" s="2">
        <v>0</v>
      </c>
      <c r="W17" s="2">
        <f t="shared" si="21"/>
        <v>30</v>
      </c>
      <c r="X17" s="2">
        <f t="shared" si="5"/>
        <v>30</v>
      </c>
      <c r="Y17" s="2">
        <f t="shared" si="7"/>
        <v>15</v>
      </c>
      <c r="Z17" s="2">
        <v>0</v>
      </c>
      <c r="AA17" s="2">
        <v>0</v>
      </c>
      <c r="AB17" s="2">
        <v>0</v>
      </c>
      <c r="AC17" s="2">
        <f t="shared" si="0"/>
        <v>175</v>
      </c>
      <c r="AD17" s="10" t="s">
        <v>197</v>
      </c>
      <c r="AE17" s="10" t="s">
        <v>196</v>
      </c>
      <c r="AF17" s="2">
        <v>1</v>
      </c>
    </row>
    <row r="18" s="2" customFormat="1" ht="17.25" spans="1:32">
      <c r="A18" s="2">
        <v>5003</v>
      </c>
      <c r="B18" s="2">
        <f t="shared" si="19"/>
        <v>5001</v>
      </c>
      <c r="C18" s="2">
        <v>0</v>
      </c>
      <c r="D18" s="2" t="str">
        <f t="shared" si="20"/>
        <v>雷塔</v>
      </c>
      <c r="E18" s="2">
        <f t="shared" si="15"/>
        <v>6</v>
      </c>
      <c r="F18" s="2">
        <v>24</v>
      </c>
      <c r="G18" s="2">
        <v>1</v>
      </c>
      <c r="H18" s="2">
        <v>1</v>
      </c>
      <c r="I18" s="2">
        <v>3</v>
      </c>
      <c r="J18" s="2">
        <v>550</v>
      </c>
      <c r="K18" s="2">
        <v>0</v>
      </c>
      <c r="L18" s="2">
        <v>2</v>
      </c>
      <c r="M18" s="2">
        <v>8</v>
      </c>
      <c r="N18" s="2" t="str">
        <f>N16</f>
        <v>b50011</v>
      </c>
      <c r="O18" s="2" t="str">
        <f t="shared" si="13"/>
        <v>b50013</v>
      </c>
      <c r="P18" s="5">
        <v>0</v>
      </c>
      <c r="Q18" s="9">
        <v>60031</v>
      </c>
      <c r="R18" s="5">
        <f t="shared" ref="R18:W18" si="22">R15</f>
        <v>30</v>
      </c>
      <c r="S18" s="2">
        <f t="shared" si="22"/>
        <v>1500</v>
      </c>
      <c r="T18" s="2">
        <v>0</v>
      </c>
      <c r="U18" s="2">
        <v>0</v>
      </c>
      <c r="V18" s="2">
        <v>0</v>
      </c>
      <c r="W18" s="2">
        <f t="shared" si="22"/>
        <v>35</v>
      </c>
      <c r="X18" s="2">
        <f t="shared" si="5"/>
        <v>35</v>
      </c>
      <c r="Y18" s="2">
        <f t="shared" si="7"/>
        <v>20</v>
      </c>
      <c r="Z18" s="2">
        <v>0</v>
      </c>
      <c r="AA18" s="2">
        <v>0</v>
      </c>
      <c r="AB18" s="2">
        <v>0</v>
      </c>
      <c r="AC18" s="2">
        <f t="shared" si="0"/>
        <v>275</v>
      </c>
      <c r="AD18" s="10" t="s">
        <v>198</v>
      </c>
      <c r="AE18" s="10" t="s">
        <v>196</v>
      </c>
      <c r="AF18" s="2">
        <v>1</v>
      </c>
    </row>
    <row r="19" s="2" customFormat="1" ht="17.25" spans="1:32">
      <c r="A19" s="2">
        <v>6001</v>
      </c>
      <c r="B19" s="2">
        <f>A19</f>
        <v>6001</v>
      </c>
      <c r="C19" s="2">
        <v>0</v>
      </c>
      <c r="D19" s="2" t="s">
        <v>93</v>
      </c>
      <c r="E19" s="2">
        <v>7</v>
      </c>
      <c r="F19" s="2">
        <v>28</v>
      </c>
      <c r="G19" s="2">
        <v>1</v>
      </c>
      <c r="H19" s="2">
        <v>1</v>
      </c>
      <c r="I19" s="2">
        <v>1</v>
      </c>
      <c r="J19" s="2">
        <v>200</v>
      </c>
      <c r="K19" s="2">
        <v>0</v>
      </c>
      <c r="L19" s="2">
        <v>2</v>
      </c>
      <c r="M19" s="2">
        <v>9</v>
      </c>
      <c r="N19" s="2" t="s">
        <v>94</v>
      </c>
      <c r="O19" s="2" t="str">
        <f t="shared" si="13"/>
        <v>b60011</v>
      </c>
      <c r="P19" s="5">
        <v>0</v>
      </c>
      <c r="Q19" s="9">
        <v>60111</v>
      </c>
      <c r="R19" s="5">
        <f t="shared" ref="R19:W19" si="23">R16</f>
        <v>10</v>
      </c>
      <c r="S19" s="2">
        <f t="shared" si="23"/>
        <v>1000</v>
      </c>
      <c r="T19" s="2">
        <v>0</v>
      </c>
      <c r="U19" s="2">
        <v>0</v>
      </c>
      <c r="V19" s="2">
        <v>0</v>
      </c>
      <c r="W19" s="2">
        <f t="shared" si="23"/>
        <v>25</v>
      </c>
      <c r="X19" s="2">
        <f t="shared" si="5"/>
        <v>25</v>
      </c>
      <c r="Y19" s="2">
        <f t="shared" si="7"/>
        <v>10</v>
      </c>
      <c r="Z19" s="2">
        <v>0</v>
      </c>
      <c r="AA19" s="2">
        <v>0</v>
      </c>
      <c r="AB19" s="2">
        <v>0</v>
      </c>
      <c r="AC19" s="2">
        <f t="shared" si="0"/>
        <v>100</v>
      </c>
      <c r="AD19" s="10" t="s">
        <v>199</v>
      </c>
      <c r="AE19" s="10" t="s">
        <v>200</v>
      </c>
      <c r="AF19" s="2">
        <v>1</v>
      </c>
    </row>
    <row r="20" s="2" customFormat="1" ht="17.25" spans="1:32">
      <c r="A20" s="2">
        <v>6002</v>
      </c>
      <c r="B20" s="2">
        <f t="shared" si="19"/>
        <v>6001</v>
      </c>
      <c r="C20" s="2">
        <v>0</v>
      </c>
      <c r="D20" s="2" t="str">
        <f t="shared" si="20"/>
        <v>嗜血塔</v>
      </c>
      <c r="E20" s="2">
        <f t="shared" ref="E20:E23" si="24">E19</f>
        <v>7</v>
      </c>
      <c r="F20" s="2">
        <v>28</v>
      </c>
      <c r="G20" s="2">
        <v>1</v>
      </c>
      <c r="H20" s="2">
        <v>1</v>
      </c>
      <c r="I20" s="2">
        <v>2</v>
      </c>
      <c r="J20" s="2">
        <v>300</v>
      </c>
      <c r="K20" s="2">
        <v>0</v>
      </c>
      <c r="L20" s="2">
        <v>2</v>
      </c>
      <c r="M20" s="2">
        <v>9</v>
      </c>
      <c r="N20" s="2" t="str">
        <f>N19</f>
        <v>b60011</v>
      </c>
      <c r="O20" s="2" t="str">
        <f t="shared" si="13"/>
        <v>b60012</v>
      </c>
      <c r="P20" s="5">
        <v>0</v>
      </c>
      <c r="Q20" s="9">
        <v>60121</v>
      </c>
      <c r="R20" s="5">
        <f t="shared" ref="R20:W20" si="25">R17</f>
        <v>20</v>
      </c>
      <c r="S20" s="2">
        <f t="shared" si="25"/>
        <v>1200</v>
      </c>
      <c r="T20" s="2">
        <v>0</v>
      </c>
      <c r="U20" s="2">
        <v>0</v>
      </c>
      <c r="V20" s="2">
        <v>0</v>
      </c>
      <c r="W20" s="2">
        <f t="shared" si="25"/>
        <v>30</v>
      </c>
      <c r="X20" s="2">
        <f t="shared" si="5"/>
        <v>30</v>
      </c>
      <c r="Y20" s="2">
        <f t="shared" si="7"/>
        <v>15</v>
      </c>
      <c r="Z20" s="2">
        <v>0</v>
      </c>
      <c r="AA20" s="2">
        <v>0</v>
      </c>
      <c r="AB20" s="2">
        <v>0</v>
      </c>
      <c r="AC20" s="2">
        <f t="shared" si="0"/>
        <v>150</v>
      </c>
      <c r="AD20" s="10" t="s">
        <v>201</v>
      </c>
      <c r="AE20" s="10" t="s">
        <v>200</v>
      </c>
      <c r="AF20" s="2">
        <v>1</v>
      </c>
    </row>
    <row r="21" s="2" customFormat="1" ht="17.25" spans="1:32">
      <c r="A21" s="2">
        <v>6003</v>
      </c>
      <c r="B21" s="2">
        <f t="shared" si="19"/>
        <v>6001</v>
      </c>
      <c r="C21" s="2">
        <v>0</v>
      </c>
      <c r="D21" s="2" t="str">
        <f t="shared" si="20"/>
        <v>嗜血塔</v>
      </c>
      <c r="E21" s="2">
        <f t="shared" si="24"/>
        <v>7</v>
      </c>
      <c r="F21" s="2">
        <v>28</v>
      </c>
      <c r="G21" s="2">
        <v>1</v>
      </c>
      <c r="H21" s="2">
        <v>1</v>
      </c>
      <c r="I21" s="2">
        <v>3</v>
      </c>
      <c r="J21" s="2">
        <v>400</v>
      </c>
      <c r="K21" s="2">
        <v>0</v>
      </c>
      <c r="L21" s="2">
        <v>2</v>
      </c>
      <c r="M21" s="2">
        <v>9</v>
      </c>
      <c r="N21" s="2" t="str">
        <f>N19</f>
        <v>b60011</v>
      </c>
      <c r="O21" s="2" t="str">
        <f t="shared" si="13"/>
        <v>b60013</v>
      </c>
      <c r="P21" s="5">
        <v>0</v>
      </c>
      <c r="Q21" s="9">
        <v>60131</v>
      </c>
      <c r="R21" s="5">
        <f t="shared" ref="R21:W21" si="26">R18</f>
        <v>30</v>
      </c>
      <c r="S21" s="2">
        <f t="shared" si="26"/>
        <v>1500</v>
      </c>
      <c r="T21" s="2">
        <v>0</v>
      </c>
      <c r="U21" s="2">
        <v>0</v>
      </c>
      <c r="V21" s="2">
        <v>0</v>
      </c>
      <c r="W21" s="2">
        <f t="shared" si="26"/>
        <v>35</v>
      </c>
      <c r="X21" s="2">
        <f t="shared" si="5"/>
        <v>35</v>
      </c>
      <c r="Y21" s="2">
        <f t="shared" si="7"/>
        <v>20</v>
      </c>
      <c r="Z21" s="2">
        <v>0</v>
      </c>
      <c r="AA21" s="2">
        <v>0</v>
      </c>
      <c r="AB21" s="2">
        <v>0</v>
      </c>
      <c r="AC21" s="2">
        <f t="shared" si="0"/>
        <v>200</v>
      </c>
      <c r="AD21" s="10" t="s">
        <v>202</v>
      </c>
      <c r="AE21" s="10" t="s">
        <v>200</v>
      </c>
      <c r="AF21" s="2">
        <v>1</v>
      </c>
    </row>
    <row r="22" s="2" customFormat="1" spans="1:32">
      <c r="A22" s="2">
        <v>7001</v>
      </c>
      <c r="B22" s="2">
        <f>A22</f>
        <v>7001</v>
      </c>
      <c r="C22" s="2">
        <v>0</v>
      </c>
      <c r="D22" s="2" t="s">
        <v>96</v>
      </c>
      <c r="E22" s="2">
        <v>4</v>
      </c>
      <c r="F22" s="2">
        <v>14</v>
      </c>
      <c r="G22" s="2">
        <v>1</v>
      </c>
      <c r="H22" s="2">
        <v>0</v>
      </c>
      <c r="I22" s="2">
        <v>1</v>
      </c>
      <c r="J22" s="2">
        <v>100</v>
      </c>
      <c r="K22" s="2">
        <v>0</v>
      </c>
      <c r="L22" s="2">
        <v>2</v>
      </c>
      <c r="M22" s="2">
        <v>7</v>
      </c>
      <c r="N22" s="2" t="s">
        <v>97</v>
      </c>
      <c r="O22" s="2" t="str">
        <f t="shared" si="13"/>
        <v>b70011</v>
      </c>
      <c r="P22" s="6" t="s">
        <v>98</v>
      </c>
      <c r="Q22" s="5">
        <v>0</v>
      </c>
      <c r="R22" s="5">
        <f t="shared" ref="R22:W22" si="27">R19</f>
        <v>10</v>
      </c>
      <c r="S22" s="2">
        <f t="shared" si="27"/>
        <v>1000</v>
      </c>
      <c r="T22" s="2">
        <v>0</v>
      </c>
      <c r="U22" s="2">
        <v>0</v>
      </c>
      <c r="V22" s="2">
        <v>0</v>
      </c>
      <c r="W22" s="2">
        <f t="shared" si="27"/>
        <v>25</v>
      </c>
      <c r="X22" s="2">
        <f t="shared" si="5"/>
        <v>25</v>
      </c>
      <c r="Y22" s="2">
        <f t="shared" si="7"/>
        <v>10</v>
      </c>
      <c r="Z22" s="2">
        <v>0</v>
      </c>
      <c r="AA22" s="2">
        <v>0</v>
      </c>
      <c r="AB22" s="2">
        <v>0</v>
      </c>
      <c r="AC22" s="2">
        <f t="shared" si="0"/>
        <v>50</v>
      </c>
      <c r="AD22" s="10" t="s">
        <v>203</v>
      </c>
      <c r="AE22" s="10" t="s">
        <v>204</v>
      </c>
      <c r="AF22" s="2">
        <v>1</v>
      </c>
    </row>
    <row r="23" s="2" customFormat="1" spans="1:32">
      <c r="A23" s="2">
        <v>7002</v>
      </c>
      <c r="B23" s="2">
        <f t="shared" ref="B23:B27" si="28">B22</f>
        <v>7001</v>
      </c>
      <c r="C23" s="2">
        <v>0</v>
      </c>
      <c r="D23" s="2" t="s">
        <v>96</v>
      </c>
      <c r="E23" s="2">
        <f t="shared" si="24"/>
        <v>4</v>
      </c>
      <c r="F23" s="2">
        <v>14</v>
      </c>
      <c r="G23" s="2">
        <v>1</v>
      </c>
      <c r="H23" s="2">
        <v>0</v>
      </c>
      <c r="I23" s="2">
        <v>2</v>
      </c>
      <c r="J23" s="2">
        <v>200</v>
      </c>
      <c r="K23" s="2">
        <v>0</v>
      </c>
      <c r="L23" s="2">
        <v>2</v>
      </c>
      <c r="M23" s="2">
        <v>7</v>
      </c>
      <c r="N23" s="2" t="str">
        <f>N22</f>
        <v>b70011</v>
      </c>
      <c r="O23" s="2" t="str">
        <f t="shared" si="13"/>
        <v>b70012</v>
      </c>
      <c r="P23" s="6" t="s">
        <v>205</v>
      </c>
      <c r="Q23" s="5">
        <v>0</v>
      </c>
      <c r="R23" s="5">
        <f t="shared" ref="R23:W23" si="29">R20</f>
        <v>20</v>
      </c>
      <c r="S23" s="2">
        <f t="shared" si="29"/>
        <v>1200</v>
      </c>
      <c r="T23" s="2">
        <v>0</v>
      </c>
      <c r="U23" s="2">
        <v>0</v>
      </c>
      <c r="V23" s="2">
        <v>0</v>
      </c>
      <c r="W23" s="2">
        <f t="shared" si="29"/>
        <v>30</v>
      </c>
      <c r="X23" s="2">
        <f t="shared" si="5"/>
        <v>30</v>
      </c>
      <c r="Y23" s="2">
        <f t="shared" si="7"/>
        <v>15</v>
      </c>
      <c r="Z23" s="2">
        <v>0</v>
      </c>
      <c r="AA23" s="2">
        <v>0</v>
      </c>
      <c r="AB23" s="2">
        <v>0</v>
      </c>
      <c r="AC23" s="2">
        <f t="shared" si="0"/>
        <v>100</v>
      </c>
      <c r="AD23" s="10" t="s">
        <v>206</v>
      </c>
      <c r="AE23" s="10" t="s">
        <v>204</v>
      </c>
      <c r="AF23" s="2">
        <v>1</v>
      </c>
    </row>
    <row r="24" s="2" customFormat="1" spans="1:32">
      <c r="A24" s="2">
        <v>7003</v>
      </c>
      <c r="B24" s="2">
        <f t="shared" si="28"/>
        <v>7001</v>
      </c>
      <c r="C24" s="2">
        <v>0</v>
      </c>
      <c r="D24" s="2" t="s">
        <v>96</v>
      </c>
      <c r="E24" s="2">
        <f>E22</f>
        <v>4</v>
      </c>
      <c r="F24" s="2">
        <v>14</v>
      </c>
      <c r="G24" s="2">
        <v>1</v>
      </c>
      <c r="H24" s="2">
        <v>0</v>
      </c>
      <c r="I24" s="2">
        <v>3</v>
      </c>
      <c r="J24" s="2">
        <v>300</v>
      </c>
      <c r="K24" s="2">
        <v>0</v>
      </c>
      <c r="L24" s="2">
        <v>2</v>
      </c>
      <c r="M24" s="2">
        <v>7</v>
      </c>
      <c r="N24" s="2" t="str">
        <f>N22</f>
        <v>b70011</v>
      </c>
      <c r="O24" s="2" t="str">
        <f t="shared" si="13"/>
        <v>b70013</v>
      </c>
      <c r="P24" s="6" t="s">
        <v>207</v>
      </c>
      <c r="Q24" s="5">
        <v>0</v>
      </c>
      <c r="R24" s="5">
        <f t="shared" ref="R24:W24" si="30">R21</f>
        <v>30</v>
      </c>
      <c r="S24" s="2">
        <f t="shared" si="30"/>
        <v>1500</v>
      </c>
      <c r="T24" s="2">
        <v>0</v>
      </c>
      <c r="U24" s="2">
        <v>0</v>
      </c>
      <c r="V24" s="2">
        <v>0</v>
      </c>
      <c r="W24" s="2">
        <f t="shared" si="30"/>
        <v>35</v>
      </c>
      <c r="X24" s="2">
        <f t="shared" si="5"/>
        <v>35</v>
      </c>
      <c r="Y24" s="2">
        <f t="shared" si="7"/>
        <v>20</v>
      </c>
      <c r="Z24" s="2">
        <v>0</v>
      </c>
      <c r="AA24" s="2">
        <v>0</v>
      </c>
      <c r="AB24" s="2">
        <v>0</v>
      </c>
      <c r="AC24" s="2">
        <f t="shared" si="0"/>
        <v>150</v>
      </c>
      <c r="AD24" s="10" t="s">
        <v>208</v>
      </c>
      <c r="AE24" s="10" t="s">
        <v>204</v>
      </c>
      <c r="AF24" s="2">
        <v>1</v>
      </c>
    </row>
    <row r="25" s="2" customFormat="1" spans="1:32">
      <c r="A25" s="2">
        <v>8001</v>
      </c>
      <c r="B25" s="2">
        <f>A25</f>
        <v>8001</v>
      </c>
      <c r="C25" s="2">
        <v>0</v>
      </c>
      <c r="D25" s="2" t="s">
        <v>100</v>
      </c>
      <c r="E25" s="2">
        <v>2</v>
      </c>
      <c r="F25" s="2">
        <v>11</v>
      </c>
      <c r="G25" s="2">
        <v>1</v>
      </c>
      <c r="H25" s="2">
        <v>0</v>
      </c>
      <c r="I25" s="2">
        <v>1</v>
      </c>
      <c r="J25" s="2">
        <v>100</v>
      </c>
      <c r="K25" s="2">
        <v>0</v>
      </c>
      <c r="L25" s="2">
        <v>3</v>
      </c>
      <c r="M25" s="2">
        <v>5</v>
      </c>
      <c r="N25" s="2" t="s">
        <v>101</v>
      </c>
      <c r="O25" s="2" t="str">
        <f t="shared" si="13"/>
        <v>b80011</v>
      </c>
      <c r="P25" s="2">
        <v>0</v>
      </c>
      <c r="Q25" s="5">
        <v>0</v>
      </c>
      <c r="R25" s="5">
        <v>5</v>
      </c>
      <c r="S25" s="2">
        <v>1500</v>
      </c>
      <c r="T25" s="2">
        <v>50</v>
      </c>
      <c r="U25" s="2">
        <v>20</v>
      </c>
      <c r="V25" s="2">
        <v>1000</v>
      </c>
      <c r="W25" s="2">
        <f t="shared" ref="W25:W57" si="31">W22</f>
        <v>25</v>
      </c>
      <c r="X25" s="2">
        <f t="shared" si="5"/>
        <v>25</v>
      </c>
      <c r="Y25" s="2">
        <f t="shared" si="7"/>
        <v>10</v>
      </c>
      <c r="Z25" s="2">
        <v>0</v>
      </c>
      <c r="AA25" s="2">
        <v>0</v>
      </c>
      <c r="AB25" s="2">
        <v>0</v>
      </c>
      <c r="AC25" s="2">
        <f t="shared" si="0"/>
        <v>50</v>
      </c>
      <c r="AD25" s="10" t="s">
        <v>209</v>
      </c>
      <c r="AE25" s="10" t="s">
        <v>210</v>
      </c>
      <c r="AF25" s="2">
        <v>1</v>
      </c>
    </row>
    <row r="26" s="2" customFormat="1" spans="1:32">
      <c r="A26" s="2">
        <v>8002</v>
      </c>
      <c r="B26" s="2">
        <f t="shared" si="28"/>
        <v>8001</v>
      </c>
      <c r="C26" s="2">
        <v>0</v>
      </c>
      <c r="D26" s="2" t="s">
        <v>100</v>
      </c>
      <c r="E26" s="2">
        <f t="shared" ref="E26:E30" si="32">E25</f>
        <v>2</v>
      </c>
      <c r="F26" s="2">
        <v>11</v>
      </c>
      <c r="G26" s="2">
        <v>1</v>
      </c>
      <c r="H26" s="2">
        <v>0</v>
      </c>
      <c r="I26" s="2">
        <v>2</v>
      </c>
      <c r="J26" s="2">
        <v>200</v>
      </c>
      <c r="K26" s="2">
        <v>0</v>
      </c>
      <c r="L26" s="2">
        <v>3</v>
      </c>
      <c r="M26" s="2">
        <v>5</v>
      </c>
      <c r="N26" s="2" t="str">
        <f>N25</f>
        <v>b80011</v>
      </c>
      <c r="O26" s="2" t="s">
        <v>101</v>
      </c>
      <c r="P26" s="2">
        <v>0</v>
      </c>
      <c r="Q26" s="5">
        <v>0</v>
      </c>
      <c r="R26" s="5">
        <f t="shared" ref="R26:R57" si="33">R23</f>
        <v>20</v>
      </c>
      <c r="S26" s="2">
        <v>1800</v>
      </c>
      <c r="T26" s="2">
        <v>70</v>
      </c>
      <c r="U26" s="2">
        <v>15</v>
      </c>
      <c r="V26" s="2">
        <v>1200</v>
      </c>
      <c r="W26" s="2">
        <f t="shared" si="31"/>
        <v>30</v>
      </c>
      <c r="X26" s="2">
        <f t="shared" si="5"/>
        <v>30</v>
      </c>
      <c r="Y26" s="2">
        <f t="shared" si="7"/>
        <v>15</v>
      </c>
      <c r="Z26" s="2">
        <v>0</v>
      </c>
      <c r="AA26" s="2">
        <v>0</v>
      </c>
      <c r="AB26" s="2">
        <v>0</v>
      </c>
      <c r="AC26" s="2">
        <f t="shared" si="0"/>
        <v>100</v>
      </c>
      <c r="AD26" s="10" t="s">
        <v>211</v>
      </c>
      <c r="AE26" s="10" t="s">
        <v>210</v>
      </c>
      <c r="AF26" s="2">
        <v>1</v>
      </c>
    </row>
    <row r="27" s="2" customFormat="1" spans="1:32">
      <c r="A27" s="2">
        <v>8003</v>
      </c>
      <c r="B27" s="2">
        <f t="shared" si="28"/>
        <v>8001</v>
      </c>
      <c r="C27" s="2">
        <v>0</v>
      </c>
      <c r="D27" s="2" t="s">
        <v>100</v>
      </c>
      <c r="E27" s="2">
        <f>E25</f>
        <v>2</v>
      </c>
      <c r="F27" s="2">
        <v>11</v>
      </c>
      <c r="G27" s="2">
        <v>1</v>
      </c>
      <c r="H27" s="2">
        <v>0</v>
      </c>
      <c r="I27" s="2">
        <v>3</v>
      </c>
      <c r="J27" s="2">
        <v>300</v>
      </c>
      <c r="K27" s="2">
        <v>0</v>
      </c>
      <c r="L27" s="2">
        <v>3</v>
      </c>
      <c r="M27" s="2">
        <v>5</v>
      </c>
      <c r="N27" s="2" t="str">
        <f>N25</f>
        <v>b80011</v>
      </c>
      <c r="O27" s="2" t="s">
        <v>101</v>
      </c>
      <c r="P27" s="2">
        <v>0</v>
      </c>
      <c r="Q27" s="5">
        <v>0</v>
      </c>
      <c r="R27" s="5">
        <f t="shared" si="33"/>
        <v>30</v>
      </c>
      <c r="S27" s="2">
        <v>2000</v>
      </c>
      <c r="T27" s="2">
        <v>90</v>
      </c>
      <c r="U27" s="2">
        <v>10</v>
      </c>
      <c r="V27" s="2">
        <v>1500</v>
      </c>
      <c r="W27" s="2">
        <f t="shared" si="31"/>
        <v>35</v>
      </c>
      <c r="X27" s="2">
        <f t="shared" si="5"/>
        <v>35</v>
      </c>
      <c r="Y27" s="2">
        <f t="shared" si="7"/>
        <v>20</v>
      </c>
      <c r="Z27" s="2">
        <v>0</v>
      </c>
      <c r="AA27" s="2">
        <v>0</v>
      </c>
      <c r="AB27" s="2">
        <v>0</v>
      </c>
      <c r="AC27" s="2">
        <f t="shared" si="0"/>
        <v>150</v>
      </c>
      <c r="AD27" s="10" t="s">
        <v>212</v>
      </c>
      <c r="AE27" s="10" t="s">
        <v>210</v>
      </c>
      <c r="AF27" s="2">
        <v>1</v>
      </c>
    </row>
    <row r="28" s="2" customFormat="1" spans="1:32">
      <c r="A28" s="2">
        <v>9001</v>
      </c>
      <c r="B28" s="2">
        <f>A28</f>
        <v>9001</v>
      </c>
      <c r="C28" s="2">
        <v>0</v>
      </c>
      <c r="D28" s="2" t="s">
        <v>104</v>
      </c>
      <c r="E28" s="2">
        <v>0</v>
      </c>
      <c r="F28" s="2">
        <v>11</v>
      </c>
      <c r="G28" s="2">
        <v>1</v>
      </c>
      <c r="H28" s="2">
        <v>0</v>
      </c>
      <c r="I28" s="2">
        <v>1</v>
      </c>
      <c r="J28" s="2">
        <v>0</v>
      </c>
      <c r="K28" s="2">
        <v>0</v>
      </c>
      <c r="L28" s="2">
        <v>4</v>
      </c>
      <c r="M28" s="2">
        <v>6</v>
      </c>
      <c r="N28" s="2">
        <v>0</v>
      </c>
      <c r="O28" s="2">
        <v>0</v>
      </c>
      <c r="P28" s="2">
        <v>0</v>
      </c>
      <c r="Q28" s="5">
        <v>0</v>
      </c>
      <c r="R28" s="5">
        <f t="shared" si="33"/>
        <v>5</v>
      </c>
      <c r="S28" s="2">
        <v>1000</v>
      </c>
      <c r="T28" s="2">
        <v>0</v>
      </c>
      <c r="U28" s="2">
        <v>0</v>
      </c>
      <c r="V28" s="2">
        <v>0</v>
      </c>
      <c r="W28" s="2">
        <f t="shared" si="31"/>
        <v>25</v>
      </c>
      <c r="X28" s="2">
        <f t="shared" si="5"/>
        <v>25</v>
      </c>
      <c r="Y28" s="2">
        <f t="shared" si="7"/>
        <v>10</v>
      </c>
      <c r="Z28" s="2">
        <v>0</v>
      </c>
      <c r="AA28" s="2">
        <v>0</v>
      </c>
      <c r="AB28" s="2">
        <v>0</v>
      </c>
      <c r="AC28" s="2">
        <f t="shared" si="0"/>
        <v>0</v>
      </c>
      <c r="AD28" s="10" t="s">
        <v>106</v>
      </c>
      <c r="AE28" s="10" t="s">
        <v>106</v>
      </c>
      <c r="AF28" s="2">
        <v>0</v>
      </c>
    </row>
    <row r="29" s="2" customFormat="1" spans="1:32">
      <c r="A29" s="2">
        <v>9002</v>
      </c>
      <c r="B29" s="2">
        <f t="shared" ref="B29:B33" si="34">B28</f>
        <v>9001</v>
      </c>
      <c r="C29" s="2">
        <v>0</v>
      </c>
      <c r="D29" s="2" t="s">
        <v>104</v>
      </c>
      <c r="E29" s="2">
        <f t="shared" si="32"/>
        <v>0</v>
      </c>
      <c r="F29" s="2">
        <v>11</v>
      </c>
      <c r="G29" s="2">
        <v>1</v>
      </c>
      <c r="H29" s="2">
        <v>0</v>
      </c>
      <c r="I29" s="2">
        <v>2</v>
      </c>
      <c r="J29" s="2">
        <v>300</v>
      </c>
      <c r="K29" s="2">
        <v>0</v>
      </c>
      <c r="L29" s="2">
        <v>4</v>
      </c>
      <c r="M29" s="2">
        <v>6</v>
      </c>
      <c r="N29" s="2">
        <v>0</v>
      </c>
      <c r="O29" s="2">
        <v>0</v>
      </c>
      <c r="P29" s="2">
        <v>0</v>
      </c>
      <c r="Q29" s="5">
        <v>0</v>
      </c>
      <c r="R29" s="5">
        <f t="shared" si="33"/>
        <v>20</v>
      </c>
      <c r="S29" s="2">
        <v>1200</v>
      </c>
      <c r="T29" s="2">
        <v>0</v>
      </c>
      <c r="U29" s="2">
        <v>0</v>
      </c>
      <c r="V29" s="2">
        <v>0</v>
      </c>
      <c r="W29" s="2">
        <f t="shared" si="31"/>
        <v>30</v>
      </c>
      <c r="X29" s="2">
        <f t="shared" si="5"/>
        <v>30</v>
      </c>
      <c r="Y29" s="2">
        <f t="shared" si="7"/>
        <v>15</v>
      </c>
      <c r="Z29" s="2">
        <v>0</v>
      </c>
      <c r="AA29" s="2">
        <v>0</v>
      </c>
      <c r="AB29" s="2">
        <v>0</v>
      </c>
      <c r="AC29" s="2">
        <f t="shared" si="0"/>
        <v>150</v>
      </c>
      <c r="AD29" s="10" t="s">
        <v>106</v>
      </c>
      <c r="AE29" s="10" t="s">
        <v>106</v>
      </c>
      <c r="AF29" s="2">
        <v>0</v>
      </c>
    </row>
    <row r="30" s="2" customFormat="1" spans="1:32">
      <c r="A30" s="2">
        <v>9003</v>
      </c>
      <c r="B30" s="2">
        <f t="shared" si="34"/>
        <v>9001</v>
      </c>
      <c r="C30" s="2">
        <v>0</v>
      </c>
      <c r="D30" s="2" t="s">
        <v>104</v>
      </c>
      <c r="E30" s="2">
        <f t="shared" si="32"/>
        <v>0</v>
      </c>
      <c r="F30" s="2">
        <v>11</v>
      </c>
      <c r="G30" s="2">
        <v>1</v>
      </c>
      <c r="H30" s="2">
        <v>0</v>
      </c>
      <c r="I30" s="2">
        <v>3</v>
      </c>
      <c r="J30" s="2">
        <v>500</v>
      </c>
      <c r="K30" s="2">
        <v>0</v>
      </c>
      <c r="L30" s="2">
        <v>4</v>
      </c>
      <c r="M30" s="2">
        <v>6</v>
      </c>
      <c r="N30" s="2">
        <v>0</v>
      </c>
      <c r="O30" s="2">
        <v>0</v>
      </c>
      <c r="P30" s="2">
        <v>0</v>
      </c>
      <c r="Q30" s="5">
        <v>0</v>
      </c>
      <c r="R30" s="5">
        <f t="shared" si="33"/>
        <v>30</v>
      </c>
      <c r="S30" s="2">
        <v>1500</v>
      </c>
      <c r="T30" s="2">
        <v>0</v>
      </c>
      <c r="U30" s="2">
        <v>0</v>
      </c>
      <c r="V30" s="2">
        <v>0</v>
      </c>
      <c r="W30" s="2">
        <f t="shared" si="31"/>
        <v>35</v>
      </c>
      <c r="X30" s="2">
        <f t="shared" si="5"/>
        <v>35</v>
      </c>
      <c r="Y30" s="2">
        <f t="shared" si="7"/>
        <v>20</v>
      </c>
      <c r="Z30" s="2">
        <v>0</v>
      </c>
      <c r="AA30" s="2">
        <v>0</v>
      </c>
      <c r="AB30" s="2">
        <v>0</v>
      </c>
      <c r="AC30" s="2">
        <f t="shared" si="0"/>
        <v>250</v>
      </c>
      <c r="AD30" s="10" t="s">
        <v>106</v>
      </c>
      <c r="AE30" s="10" t="s">
        <v>106</v>
      </c>
      <c r="AF30" s="2">
        <v>0</v>
      </c>
    </row>
    <row r="31" s="2" customFormat="1" ht="17.25" spans="1:32">
      <c r="A31" s="2">
        <v>10001</v>
      </c>
      <c r="B31" s="2">
        <f>A31</f>
        <v>10001</v>
      </c>
      <c r="C31" s="2">
        <v>0</v>
      </c>
      <c r="D31" s="2" t="s">
        <v>107</v>
      </c>
      <c r="E31" s="2">
        <v>8</v>
      </c>
      <c r="F31" s="2">
        <v>34</v>
      </c>
      <c r="G31" s="2">
        <v>1</v>
      </c>
      <c r="H31" s="2">
        <v>1</v>
      </c>
      <c r="I31" s="2">
        <v>1</v>
      </c>
      <c r="J31" s="2">
        <v>250</v>
      </c>
      <c r="K31" s="2">
        <v>0</v>
      </c>
      <c r="L31" s="2">
        <v>2</v>
      </c>
      <c r="M31" s="2">
        <v>10</v>
      </c>
      <c r="N31" s="2" t="s">
        <v>108</v>
      </c>
      <c r="O31" s="2" t="str">
        <f t="shared" ref="O31:O57" si="35">"b"&amp;B31&amp;I31</f>
        <v>b100011</v>
      </c>
      <c r="P31" s="2">
        <v>0</v>
      </c>
      <c r="Q31" s="9">
        <v>60211</v>
      </c>
      <c r="R31" s="5">
        <f t="shared" si="33"/>
        <v>5</v>
      </c>
      <c r="S31" s="2">
        <f t="shared" ref="S31:S57" si="36">S28</f>
        <v>1000</v>
      </c>
      <c r="T31" s="2">
        <v>0</v>
      </c>
      <c r="U31" s="2">
        <v>0</v>
      </c>
      <c r="V31" s="2">
        <v>0</v>
      </c>
      <c r="W31" s="2">
        <f t="shared" si="31"/>
        <v>25</v>
      </c>
      <c r="X31" s="2">
        <f t="shared" si="5"/>
        <v>25</v>
      </c>
      <c r="Y31" s="2">
        <f t="shared" si="7"/>
        <v>10</v>
      </c>
      <c r="Z31" s="2">
        <v>0</v>
      </c>
      <c r="AA31" s="2">
        <v>0</v>
      </c>
      <c r="AB31" s="2">
        <v>0</v>
      </c>
      <c r="AC31" s="2">
        <f t="shared" si="0"/>
        <v>125</v>
      </c>
      <c r="AD31" s="10" t="s">
        <v>213</v>
      </c>
      <c r="AE31" s="10" t="s">
        <v>214</v>
      </c>
      <c r="AF31" s="2">
        <v>1</v>
      </c>
    </row>
    <row r="32" s="2" customFormat="1" ht="17.25" spans="1:32">
      <c r="A32" s="2">
        <v>10002</v>
      </c>
      <c r="B32" s="2">
        <f t="shared" si="34"/>
        <v>10001</v>
      </c>
      <c r="C32" s="2">
        <v>0</v>
      </c>
      <c r="D32" s="2" t="s">
        <v>107</v>
      </c>
      <c r="E32" s="2">
        <f t="shared" ref="E32:E35" si="37">E31</f>
        <v>8</v>
      </c>
      <c r="F32" s="2">
        <v>34</v>
      </c>
      <c r="G32" s="2">
        <v>1</v>
      </c>
      <c r="H32" s="2">
        <v>1</v>
      </c>
      <c r="I32" s="2">
        <v>2</v>
      </c>
      <c r="J32" s="2">
        <v>400</v>
      </c>
      <c r="K32" s="2">
        <v>0</v>
      </c>
      <c r="L32" s="2">
        <v>2</v>
      </c>
      <c r="M32" s="2">
        <v>10</v>
      </c>
      <c r="N32" s="2" t="str">
        <f>N31</f>
        <v>b100011</v>
      </c>
      <c r="O32" s="2" t="str">
        <f t="shared" si="35"/>
        <v>b100012</v>
      </c>
      <c r="P32" s="2">
        <v>0</v>
      </c>
      <c r="Q32" s="9">
        <v>60221</v>
      </c>
      <c r="R32" s="5">
        <f t="shared" si="33"/>
        <v>20</v>
      </c>
      <c r="S32" s="2">
        <f t="shared" si="36"/>
        <v>1200</v>
      </c>
      <c r="T32" s="2">
        <v>0</v>
      </c>
      <c r="U32" s="2">
        <v>0</v>
      </c>
      <c r="V32" s="2">
        <v>0</v>
      </c>
      <c r="W32" s="2">
        <f t="shared" si="31"/>
        <v>30</v>
      </c>
      <c r="X32" s="2">
        <f t="shared" si="5"/>
        <v>30</v>
      </c>
      <c r="Y32" s="2">
        <f t="shared" si="7"/>
        <v>15</v>
      </c>
      <c r="Z32" s="2">
        <v>0</v>
      </c>
      <c r="AA32" s="2">
        <v>0</v>
      </c>
      <c r="AB32" s="2">
        <v>0</v>
      </c>
      <c r="AC32" s="2">
        <f t="shared" si="0"/>
        <v>200</v>
      </c>
      <c r="AD32" s="10" t="s">
        <v>215</v>
      </c>
      <c r="AE32" s="10" t="s">
        <v>214</v>
      </c>
      <c r="AF32" s="2">
        <v>1</v>
      </c>
    </row>
    <row r="33" s="2" customFormat="1" ht="17.25" spans="1:32">
      <c r="A33" s="2">
        <v>10003</v>
      </c>
      <c r="B33" s="2">
        <f t="shared" si="34"/>
        <v>10001</v>
      </c>
      <c r="C33" s="2">
        <v>0</v>
      </c>
      <c r="D33" s="2" t="s">
        <v>107</v>
      </c>
      <c r="E33" s="2">
        <f t="shared" si="37"/>
        <v>8</v>
      </c>
      <c r="F33" s="2">
        <v>34</v>
      </c>
      <c r="G33" s="2">
        <v>1</v>
      </c>
      <c r="H33" s="2">
        <v>1</v>
      </c>
      <c r="I33" s="2">
        <v>3</v>
      </c>
      <c r="J33" s="2">
        <v>600</v>
      </c>
      <c r="K33" s="2">
        <v>0</v>
      </c>
      <c r="L33" s="2">
        <v>2</v>
      </c>
      <c r="M33" s="2">
        <v>10</v>
      </c>
      <c r="N33" s="2" t="str">
        <f>N31</f>
        <v>b100011</v>
      </c>
      <c r="O33" s="2" t="str">
        <f t="shared" si="35"/>
        <v>b100013</v>
      </c>
      <c r="P33" s="2">
        <v>0</v>
      </c>
      <c r="Q33" s="9">
        <v>60231</v>
      </c>
      <c r="R33" s="5">
        <f t="shared" si="33"/>
        <v>30</v>
      </c>
      <c r="S33" s="2">
        <f t="shared" si="36"/>
        <v>1500</v>
      </c>
      <c r="T33" s="2">
        <v>0</v>
      </c>
      <c r="U33" s="2">
        <v>0</v>
      </c>
      <c r="V33" s="2">
        <v>0</v>
      </c>
      <c r="W33" s="2">
        <f t="shared" si="31"/>
        <v>35</v>
      </c>
      <c r="X33" s="2">
        <f t="shared" si="5"/>
        <v>35</v>
      </c>
      <c r="Y33" s="2">
        <f t="shared" si="7"/>
        <v>20</v>
      </c>
      <c r="Z33" s="2">
        <v>0</v>
      </c>
      <c r="AA33" s="2">
        <v>0</v>
      </c>
      <c r="AB33" s="2">
        <v>0</v>
      </c>
      <c r="AC33" s="2">
        <f t="shared" si="0"/>
        <v>300</v>
      </c>
      <c r="AD33" s="10" t="s">
        <v>216</v>
      </c>
      <c r="AE33" s="10" t="s">
        <v>214</v>
      </c>
      <c r="AF33" s="2">
        <v>1</v>
      </c>
    </row>
    <row r="34" s="2" customFormat="1" ht="17.25" spans="1:32">
      <c r="A34" s="2">
        <v>10011</v>
      </c>
      <c r="B34" s="2">
        <f>A34</f>
        <v>10011</v>
      </c>
      <c r="C34" s="2">
        <v>0</v>
      </c>
      <c r="D34" s="2" t="s">
        <v>110</v>
      </c>
      <c r="E34" s="2">
        <v>9</v>
      </c>
      <c r="F34" s="2">
        <v>38</v>
      </c>
      <c r="G34" s="2">
        <v>2</v>
      </c>
      <c r="H34" s="2">
        <v>1</v>
      </c>
      <c r="I34" s="2">
        <v>1</v>
      </c>
      <c r="J34" s="2">
        <v>150</v>
      </c>
      <c r="K34" s="2">
        <v>0</v>
      </c>
      <c r="L34" s="2">
        <v>2</v>
      </c>
      <c r="M34" s="2">
        <v>11</v>
      </c>
      <c r="N34" s="2" t="s">
        <v>111</v>
      </c>
      <c r="O34" s="2" t="str">
        <f t="shared" si="35"/>
        <v>b100111</v>
      </c>
      <c r="P34" s="2">
        <v>0</v>
      </c>
      <c r="Q34" s="9">
        <v>60311</v>
      </c>
      <c r="R34" s="5">
        <f t="shared" si="33"/>
        <v>5</v>
      </c>
      <c r="S34" s="2">
        <f t="shared" si="36"/>
        <v>1000</v>
      </c>
      <c r="T34" s="2">
        <v>0</v>
      </c>
      <c r="U34" s="2">
        <v>0</v>
      </c>
      <c r="V34" s="2">
        <v>0</v>
      </c>
      <c r="W34" s="2">
        <f t="shared" si="31"/>
        <v>25</v>
      </c>
      <c r="X34" s="2">
        <f t="shared" si="5"/>
        <v>25</v>
      </c>
      <c r="Y34" s="2">
        <f t="shared" si="7"/>
        <v>10</v>
      </c>
      <c r="Z34" s="2">
        <v>0</v>
      </c>
      <c r="AA34" s="2">
        <v>0</v>
      </c>
      <c r="AB34" s="2">
        <v>0</v>
      </c>
      <c r="AC34" s="2">
        <f t="shared" si="0"/>
        <v>75</v>
      </c>
      <c r="AD34" s="10" t="s">
        <v>217</v>
      </c>
      <c r="AE34" s="10" t="s">
        <v>218</v>
      </c>
      <c r="AF34" s="2">
        <v>1</v>
      </c>
    </row>
    <row r="35" s="2" customFormat="1" ht="17.25" spans="1:32">
      <c r="A35" s="2">
        <v>10012</v>
      </c>
      <c r="B35" s="2">
        <f t="shared" ref="B35:B39" si="38">B34</f>
        <v>10011</v>
      </c>
      <c r="C35" s="2">
        <v>0</v>
      </c>
      <c r="D35" s="2" t="str">
        <f t="shared" ref="D35:D39" si="39">D34</f>
        <v>精灵塔</v>
      </c>
      <c r="E35" s="2">
        <f t="shared" si="37"/>
        <v>9</v>
      </c>
      <c r="F35" s="2">
        <v>38</v>
      </c>
      <c r="G35" s="2">
        <v>2</v>
      </c>
      <c r="H35" s="2">
        <v>1</v>
      </c>
      <c r="I35" s="2">
        <v>2</v>
      </c>
      <c r="J35" s="2">
        <v>300</v>
      </c>
      <c r="K35" s="2">
        <v>0</v>
      </c>
      <c r="L35" s="2">
        <v>2</v>
      </c>
      <c r="M35" s="2">
        <v>11</v>
      </c>
      <c r="N35" s="2" t="str">
        <f>N34</f>
        <v>b100111</v>
      </c>
      <c r="O35" s="2" t="str">
        <f t="shared" si="35"/>
        <v>b100112</v>
      </c>
      <c r="P35" s="2">
        <v>0</v>
      </c>
      <c r="Q35" s="9">
        <v>60321</v>
      </c>
      <c r="R35" s="5">
        <f t="shared" si="33"/>
        <v>20</v>
      </c>
      <c r="S35" s="2">
        <f t="shared" si="36"/>
        <v>1200</v>
      </c>
      <c r="T35" s="2">
        <v>0</v>
      </c>
      <c r="U35" s="2">
        <v>0</v>
      </c>
      <c r="V35" s="2">
        <v>0</v>
      </c>
      <c r="W35" s="2">
        <f t="shared" si="31"/>
        <v>30</v>
      </c>
      <c r="X35" s="2">
        <f t="shared" si="5"/>
        <v>30</v>
      </c>
      <c r="Y35" s="2">
        <f t="shared" si="7"/>
        <v>15</v>
      </c>
      <c r="Z35" s="2">
        <v>0</v>
      </c>
      <c r="AA35" s="2">
        <v>0</v>
      </c>
      <c r="AB35" s="2">
        <v>0</v>
      </c>
      <c r="AC35" s="2">
        <f t="shared" si="0"/>
        <v>150</v>
      </c>
      <c r="AD35" s="10" t="s">
        <v>219</v>
      </c>
      <c r="AE35" s="10" t="s">
        <v>218</v>
      </c>
      <c r="AF35" s="2">
        <v>1</v>
      </c>
    </row>
    <row r="36" s="2" customFormat="1" ht="17.25" spans="1:32">
      <c r="A36" s="2">
        <v>10013</v>
      </c>
      <c r="B36" s="2">
        <f t="shared" si="38"/>
        <v>10011</v>
      </c>
      <c r="C36" s="2">
        <v>0</v>
      </c>
      <c r="D36" s="2" t="str">
        <f t="shared" si="39"/>
        <v>精灵塔</v>
      </c>
      <c r="E36" s="2">
        <f>E34</f>
        <v>9</v>
      </c>
      <c r="F36" s="2">
        <v>38</v>
      </c>
      <c r="G36" s="2">
        <v>2</v>
      </c>
      <c r="H36" s="2">
        <v>1</v>
      </c>
      <c r="I36" s="2">
        <v>3</v>
      </c>
      <c r="J36" s="2">
        <v>450</v>
      </c>
      <c r="K36" s="2">
        <v>0</v>
      </c>
      <c r="L36" s="2">
        <v>2</v>
      </c>
      <c r="M36" s="2">
        <v>11</v>
      </c>
      <c r="N36" s="2" t="str">
        <f>N34</f>
        <v>b100111</v>
      </c>
      <c r="O36" s="2" t="str">
        <f t="shared" si="35"/>
        <v>b100113</v>
      </c>
      <c r="P36" s="2">
        <v>0</v>
      </c>
      <c r="Q36" s="9">
        <v>60331</v>
      </c>
      <c r="R36" s="5">
        <f t="shared" si="33"/>
        <v>30</v>
      </c>
      <c r="S36" s="2">
        <f t="shared" si="36"/>
        <v>1500</v>
      </c>
      <c r="T36" s="2">
        <v>0</v>
      </c>
      <c r="U36" s="2">
        <v>0</v>
      </c>
      <c r="V36" s="2">
        <v>0</v>
      </c>
      <c r="W36" s="2">
        <f t="shared" si="31"/>
        <v>35</v>
      </c>
      <c r="X36" s="2">
        <f t="shared" si="5"/>
        <v>35</v>
      </c>
      <c r="Y36" s="2">
        <f t="shared" si="7"/>
        <v>20</v>
      </c>
      <c r="Z36" s="2">
        <v>0</v>
      </c>
      <c r="AA36" s="2">
        <v>0</v>
      </c>
      <c r="AB36" s="2">
        <v>0</v>
      </c>
      <c r="AC36" s="2">
        <f t="shared" si="0"/>
        <v>225</v>
      </c>
      <c r="AD36" s="10" t="s">
        <v>220</v>
      </c>
      <c r="AE36" s="10" t="s">
        <v>218</v>
      </c>
      <c r="AF36" s="2">
        <v>1</v>
      </c>
    </row>
    <row r="37" s="2" customFormat="1" ht="17.25" spans="1:32">
      <c r="A37" s="2">
        <v>10021</v>
      </c>
      <c r="B37" s="2">
        <f>A37</f>
        <v>10021</v>
      </c>
      <c r="C37" s="2">
        <v>0</v>
      </c>
      <c r="D37" s="2" t="s">
        <v>113</v>
      </c>
      <c r="E37" s="2">
        <v>10</v>
      </c>
      <c r="F37" s="2">
        <v>44</v>
      </c>
      <c r="G37" s="2">
        <v>2</v>
      </c>
      <c r="H37" s="2">
        <v>1</v>
      </c>
      <c r="I37" s="2">
        <v>1</v>
      </c>
      <c r="J37" s="2">
        <v>600</v>
      </c>
      <c r="K37" s="2">
        <v>0</v>
      </c>
      <c r="L37" s="2">
        <v>2</v>
      </c>
      <c r="M37" s="2">
        <v>14</v>
      </c>
      <c r="N37" s="2" t="s">
        <v>114</v>
      </c>
      <c r="O37" s="2" t="str">
        <f t="shared" si="35"/>
        <v>b100211</v>
      </c>
      <c r="P37" s="2">
        <v>0</v>
      </c>
      <c r="Q37" s="9">
        <v>60611</v>
      </c>
      <c r="R37" s="5">
        <f t="shared" si="33"/>
        <v>5</v>
      </c>
      <c r="S37" s="2">
        <f t="shared" si="36"/>
        <v>1000</v>
      </c>
      <c r="T37" s="2">
        <v>0</v>
      </c>
      <c r="U37" s="2">
        <v>0</v>
      </c>
      <c r="V37" s="2">
        <v>0</v>
      </c>
      <c r="W37" s="2">
        <f t="shared" si="31"/>
        <v>25</v>
      </c>
      <c r="X37" s="2">
        <f t="shared" si="5"/>
        <v>25</v>
      </c>
      <c r="Y37" s="2">
        <f t="shared" si="7"/>
        <v>10</v>
      </c>
      <c r="Z37" s="2">
        <v>0</v>
      </c>
      <c r="AA37" s="2">
        <v>0</v>
      </c>
      <c r="AB37" s="2">
        <v>0</v>
      </c>
      <c r="AC37" s="2">
        <f t="shared" si="0"/>
        <v>300</v>
      </c>
      <c r="AD37" s="10" t="s">
        <v>221</v>
      </c>
      <c r="AE37" s="10" t="s">
        <v>222</v>
      </c>
      <c r="AF37" s="2">
        <v>1</v>
      </c>
    </row>
    <row r="38" s="2" customFormat="1" ht="17.25" spans="1:32">
      <c r="A38" s="2">
        <v>10022</v>
      </c>
      <c r="B38" s="2">
        <f t="shared" si="38"/>
        <v>10021</v>
      </c>
      <c r="C38" s="2">
        <v>0</v>
      </c>
      <c r="D38" s="2" t="str">
        <f t="shared" si="39"/>
        <v>分裂塔</v>
      </c>
      <c r="E38" s="2">
        <f t="shared" ref="E38:E42" si="40">E37</f>
        <v>10</v>
      </c>
      <c r="F38" s="2">
        <v>44</v>
      </c>
      <c r="G38" s="2">
        <v>2</v>
      </c>
      <c r="H38" s="2">
        <v>1</v>
      </c>
      <c r="I38" s="2">
        <v>2</v>
      </c>
      <c r="J38" s="2">
        <v>900</v>
      </c>
      <c r="K38" s="2">
        <v>0</v>
      </c>
      <c r="L38" s="2">
        <v>2</v>
      </c>
      <c r="M38" s="2">
        <v>14</v>
      </c>
      <c r="N38" s="2" t="str">
        <f>N37</f>
        <v>b100211</v>
      </c>
      <c r="O38" s="2" t="str">
        <f t="shared" si="35"/>
        <v>b100212</v>
      </c>
      <c r="P38" s="2">
        <v>0</v>
      </c>
      <c r="Q38" s="9">
        <v>60621</v>
      </c>
      <c r="R38" s="5">
        <f t="shared" si="33"/>
        <v>20</v>
      </c>
      <c r="S38" s="2">
        <f t="shared" si="36"/>
        <v>1200</v>
      </c>
      <c r="T38" s="2">
        <v>0</v>
      </c>
      <c r="U38" s="2">
        <v>0</v>
      </c>
      <c r="V38" s="2">
        <v>0</v>
      </c>
      <c r="W38" s="2">
        <f t="shared" si="31"/>
        <v>30</v>
      </c>
      <c r="X38" s="2">
        <f t="shared" si="5"/>
        <v>30</v>
      </c>
      <c r="Y38" s="2">
        <f t="shared" si="7"/>
        <v>15</v>
      </c>
      <c r="Z38" s="2">
        <v>0</v>
      </c>
      <c r="AA38" s="2">
        <v>0</v>
      </c>
      <c r="AB38" s="2">
        <v>0</v>
      </c>
      <c r="AC38" s="2">
        <f t="shared" si="0"/>
        <v>450</v>
      </c>
      <c r="AD38" s="10" t="s">
        <v>223</v>
      </c>
      <c r="AE38" s="10" t="s">
        <v>222</v>
      </c>
      <c r="AF38" s="2">
        <v>1</v>
      </c>
    </row>
    <row r="39" s="2" customFormat="1" ht="17.25" spans="1:32">
      <c r="A39" s="2">
        <v>10023</v>
      </c>
      <c r="B39" s="2">
        <f t="shared" si="38"/>
        <v>10021</v>
      </c>
      <c r="C39" s="2">
        <v>0</v>
      </c>
      <c r="D39" s="2" t="str">
        <f t="shared" si="39"/>
        <v>分裂塔</v>
      </c>
      <c r="E39" s="2">
        <f>E37</f>
        <v>10</v>
      </c>
      <c r="F39" s="2">
        <v>44</v>
      </c>
      <c r="G39" s="2">
        <v>2</v>
      </c>
      <c r="H39" s="2">
        <v>1</v>
      </c>
      <c r="I39" s="2">
        <v>3</v>
      </c>
      <c r="J39" s="2">
        <v>1200</v>
      </c>
      <c r="K39" s="2">
        <v>0</v>
      </c>
      <c r="L39" s="2">
        <v>2</v>
      </c>
      <c r="M39" s="2">
        <v>14</v>
      </c>
      <c r="N39" s="2" t="str">
        <f>N37</f>
        <v>b100211</v>
      </c>
      <c r="O39" s="2" t="str">
        <f t="shared" si="35"/>
        <v>b100213</v>
      </c>
      <c r="P39" s="2">
        <v>0</v>
      </c>
      <c r="Q39" s="9">
        <v>60631</v>
      </c>
      <c r="R39" s="5">
        <f t="shared" si="33"/>
        <v>30</v>
      </c>
      <c r="S39" s="2">
        <f t="shared" si="36"/>
        <v>1500</v>
      </c>
      <c r="T39" s="2">
        <v>0</v>
      </c>
      <c r="U39" s="2">
        <v>0</v>
      </c>
      <c r="V39" s="2">
        <v>0</v>
      </c>
      <c r="W39" s="2">
        <f t="shared" si="31"/>
        <v>35</v>
      </c>
      <c r="X39" s="2">
        <f t="shared" si="5"/>
        <v>35</v>
      </c>
      <c r="Y39" s="2">
        <f t="shared" si="7"/>
        <v>20</v>
      </c>
      <c r="Z39" s="2">
        <v>0</v>
      </c>
      <c r="AA39" s="2">
        <v>0</v>
      </c>
      <c r="AB39" s="2">
        <v>0</v>
      </c>
      <c r="AC39" s="2">
        <f t="shared" si="0"/>
        <v>600</v>
      </c>
      <c r="AD39" s="10" t="s">
        <v>224</v>
      </c>
      <c r="AE39" s="10" t="s">
        <v>222</v>
      </c>
      <c r="AF39" s="2">
        <v>1</v>
      </c>
    </row>
    <row r="40" s="2" customFormat="1" ht="17.25" spans="1:32">
      <c r="A40" s="2">
        <v>10031</v>
      </c>
      <c r="B40" s="2">
        <f>A40</f>
        <v>10031</v>
      </c>
      <c r="C40" s="2">
        <v>0</v>
      </c>
      <c r="D40" s="2" t="s">
        <v>116</v>
      </c>
      <c r="E40" s="2">
        <v>11</v>
      </c>
      <c r="F40" s="2">
        <v>48</v>
      </c>
      <c r="G40" s="2">
        <v>2</v>
      </c>
      <c r="H40" s="2">
        <v>1</v>
      </c>
      <c r="I40" s="2">
        <v>1</v>
      </c>
      <c r="J40" s="2">
        <v>600</v>
      </c>
      <c r="K40" s="2">
        <v>0</v>
      </c>
      <c r="L40" s="2">
        <v>2</v>
      </c>
      <c r="M40" s="2">
        <v>13</v>
      </c>
      <c r="N40" s="2" t="s">
        <v>117</v>
      </c>
      <c r="O40" s="2" t="str">
        <f t="shared" si="35"/>
        <v>b100311</v>
      </c>
      <c r="P40" s="2">
        <v>0</v>
      </c>
      <c r="Q40" s="9">
        <v>60511</v>
      </c>
      <c r="R40" s="5">
        <f t="shared" si="33"/>
        <v>5</v>
      </c>
      <c r="S40" s="2">
        <f t="shared" si="36"/>
        <v>1000</v>
      </c>
      <c r="T40" s="2">
        <v>0</v>
      </c>
      <c r="U40" s="2">
        <v>0</v>
      </c>
      <c r="V40" s="2">
        <v>0</v>
      </c>
      <c r="W40" s="2">
        <f t="shared" si="31"/>
        <v>25</v>
      </c>
      <c r="X40" s="2">
        <f t="shared" si="5"/>
        <v>25</v>
      </c>
      <c r="Y40" s="2">
        <f t="shared" si="7"/>
        <v>10</v>
      </c>
      <c r="Z40" s="2">
        <v>0</v>
      </c>
      <c r="AA40" s="2">
        <v>0</v>
      </c>
      <c r="AB40" s="2">
        <v>0</v>
      </c>
      <c r="AC40" s="2">
        <f t="shared" si="0"/>
        <v>300</v>
      </c>
      <c r="AD40" s="10" t="s">
        <v>225</v>
      </c>
      <c r="AE40" s="10" t="s">
        <v>226</v>
      </c>
      <c r="AF40" s="2">
        <v>1</v>
      </c>
    </row>
    <row r="41" s="2" customFormat="1" ht="17.25" spans="1:32">
      <c r="A41" s="2">
        <v>10032</v>
      </c>
      <c r="B41" s="2">
        <f t="shared" ref="B41:B45" si="41">B40</f>
        <v>10031</v>
      </c>
      <c r="C41" s="2">
        <v>0</v>
      </c>
      <c r="D41" s="2" t="str">
        <f t="shared" ref="D41:D45" si="42">D40</f>
        <v>巨人塔</v>
      </c>
      <c r="E41" s="2">
        <f t="shared" si="40"/>
        <v>11</v>
      </c>
      <c r="F41" s="2">
        <v>48</v>
      </c>
      <c r="G41" s="2">
        <v>2</v>
      </c>
      <c r="H41" s="2">
        <v>1</v>
      </c>
      <c r="I41" s="2">
        <v>2</v>
      </c>
      <c r="J41" s="2">
        <v>800</v>
      </c>
      <c r="K41" s="2">
        <v>0</v>
      </c>
      <c r="L41" s="2">
        <v>2</v>
      </c>
      <c r="M41" s="2">
        <v>13</v>
      </c>
      <c r="N41" s="2" t="str">
        <f>N40</f>
        <v>b100311</v>
      </c>
      <c r="O41" s="2" t="str">
        <f t="shared" si="35"/>
        <v>b100312</v>
      </c>
      <c r="P41" s="2">
        <v>0</v>
      </c>
      <c r="Q41" s="9">
        <v>60521</v>
      </c>
      <c r="R41" s="5">
        <f t="shared" si="33"/>
        <v>20</v>
      </c>
      <c r="S41" s="2">
        <f t="shared" si="36"/>
        <v>1200</v>
      </c>
      <c r="T41" s="2">
        <v>0</v>
      </c>
      <c r="U41" s="2">
        <v>0</v>
      </c>
      <c r="V41" s="2">
        <v>0</v>
      </c>
      <c r="W41" s="2">
        <f t="shared" si="31"/>
        <v>30</v>
      </c>
      <c r="X41" s="2">
        <f t="shared" si="5"/>
        <v>30</v>
      </c>
      <c r="Y41" s="2">
        <f t="shared" si="7"/>
        <v>15</v>
      </c>
      <c r="Z41" s="2">
        <v>0</v>
      </c>
      <c r="AA41" s="2">
        <v>0</v>
      </c>
      <c r="AB41" s="2">
        <v>0</v>
      </c>
      <c r="AC41" s="2">
        <f t="shared" si="0"/>
        <v>400</v>
      </c>
      <c r="AD41" s="10" t="s">
        <v>227</v>
      </c>
      <c r="AE41" s="10" t="s">
        <v>226</v>
      </c>
      <c r="AF41" s="2">
        <v>1</v>
      </c>
    </row>
    <row r="42" s="2" customFormat="1" ht="17.25" spans="1:32">
      <c r="A42" s="2">
        <v>10033</v>
      </c>
      <c r="B42" s="2">
        <f t="shared" si="41"/>
        <v>10031</v>
      </c>
      <c r="C42" s="2">
        <v>0</v>
      </c>
      <c r="D42" s="2" t="str">
        <f t="shared" si="42"/>
        <v>巨人塔</v>
      </c>
      <c r="E42" s="2">
        <f t="shared" si="40"/>
        <v>11</v>
      </c>
      <c r="F42" s="2">
        <v>48</v>
      </c>
      <c r="G42" s="2">
        <v>2</v>
      </c>
      <c r="H42" s="2">
        <v>1</v>
      </c>
      <c r="I42" s="2">
        <v>3</v>
      </c>
      <c r="J42" s="2">
        <v>1000</v>
      </c>
      <c r="K42" s="2">
        <v>0</v>
      </c>
      <c r="L42" s="2">
        <v>2</v>
      </c>
      <c r="M42" s="2">
        <v>13</v>
      </c>
      <c r="N42" s="2" t="str">
        <f>N40</f>
        <v>b100311</v>
      </c>
      <c r="O42" s="2" t="str">
        <f t="shared" si="35"/>
        <v>b100313</v>
      </c>
      <c r="P42" s="2">
        <v>0</v>
      </c>
      <c r="Q42" s="9">
        <v>60531</v>
      </c>
      <c r="R42" s="5">
        <f t="shared" si="33"/>
        <v>30</v>
      </c>
      <c r="S42" s="2">
        <f t="shared" si="36"/>
        <v>1500</v>
      </c>
      <c r="T42" s="2">
        <v>0</v>
      </c>
      <c r="U42" s="2">
        <v>0</v>
      </c>
      <c r="V42" s="2">
        <v>0</v>
      </c>
      <c r="W42" s="2">
        <f t="shared" si="31"/>
        <v>35</v>
      </c>
      <c r="X42" s="2">
        <f t="shared" si="5"/>
        <v>35</v>
      </c>
      <c r="Y42" s="2">
        <f t="shared" si="7"/>
        <v>20</v>
      </c>
      <c r="Z42" s="2">
        <v>0</v>
      </c>
      <c r="AA42" s="2">
        <v>0</v>
      </c>
      <c r="AB42" s="2">
        <v>0</v>
      </c>
      <c r="AC42" s="2">
        <f t="shared" si="0"/>
        <v>500</v>
      </c>
      <c r="AD42" s="10" t="s">
        <v>228</v>
      </c>
      <c r="AE42" s="10" t="s">
        <v>226</v>
      </c>
      <c r="AF42" s="2">
        <v>1</v>
      </c>
    </row>
    <row r="43" s="2" customFormat="1" ht="17.25" spans="1:32">
      <c r="A43" s="2">
        <v>10041</v>
      </c>
      <c r="B43" s="2">
        <f>A43</f>
        <v>10041</v>
      </c>
      <c r="C43" s="2">
        <v>0</v>
      </c>
      <c r="D43" s="2" t="s">
        <v>119</v>
      </c>
      <c r="E43" s="2">
        <v>12</v>
      </c>
      <c r="F43" s="2">
        <v>54</v>
      </c>
      <c r="G43" s="2">
        <v>3</v>
      </c>
      <c r="H43" s="2">
        <v>1</v>
      </c>
      <c r="I43" s="2">
        <v>1</v>
      </c>
      <c r="J43" s="2">
        <v>600</v>
      </c>
      <c r="K43" s="2">
        <v>0</v>
      </c>
      <c r="L43" s="2">
        <v>2</v>
      </c>
      <c r="M43" s="2">
        <v>12</v>
      </c>
      <c r="N43" s="2" t="s">
        <v>120</v>
      </c>
      <c r="O43" s="2" t="str">
        <f t="shared" si="35"/>
        <v>b100411</v>
      </c>
      <c r="P43" s="2">
        <v>0</v>
      </c>
      <c r="Q43" s="9">
        <v>60411</v>
      </c>
      <c r="R43" s="5">
        <f t="shared" si="33"/>
        <v>5</v>
      </c>
      <c r="S43" s="2">
        <f t="shared" si="36"/>
        <v>1000</v>
      </c>
      <c r="T43" s="2">
        <v>0</v>
      </c>
      <c r="U43" s="2">
        <v>0</v>
      </c>
      <c r="V43" s="2">
        <v>0</v>
      </c>
      <c r="W43" s="2">
        <f t="shared" si="31"/>
        <v>25</v>
      </c>
      <c r="X43" s="2">
        <f t="shared" si="5"/>
        <v>25</v>
      </c>
      <c r="Y43" s="2">
        <f t="shared" si="7"/>
        <v>10</v>
      </c>
      <c r="Z43" s="2">
        <v>0</v>
      </c>
      <c r="AA43" s="2">
        <v>0</v>
      </c>
      <c r="AB43" s="2">
        <v>0</v>
      </c>
      <c r="AC43" s="2">
        <f t="shared" si="0"/>
        <v>300</v>
      </c>
      <c r="AD43" s="10" t="s">
        <v>229</v>
      </c>
      <c r="AE43" s="10" t="s">
        <v>230</v>
      </c>
      <c r="AF43" s="2">
        <v>1</v>
      </c>
    </row>
    <row r="44" s="2" customFormat="1" ht="17.25" spans="1:32">
      <c r="A44" s="2">
        <v>10042</v>
      </c>
      <c r="B44" s="2">
        <f t="shared" si="41"/>
        <v>10041</v>
      </c>
      <c r="C44" s="2">
        <v>0</v>
      </c>
      <c r="D44" s="2" t="str">
        <f t="shared" si="42"/>
        <v>重生塔</v>
      </c>
      <c r="E44" s="2">
        <f t="shared" ref="E44:E47" si="43">E43</f>
        <v>12</v>
      </c>
      <c r="F44" s="2">
        <v>54</v>
      </c>
      <c r="G44" s="2">
        <v>3</v>
      </c>
      <c r="H44" s="2">
        <v>1</v>
      </c>
      <c r="I44" s="2">
        <v>2</v>
      </c>
      <c r="J44" s="2">
        <v>800</v>
      </c>
      <c r="K44" s="2">
        <v>0</v>
      </c>
      <c r="L44" s="2">
        <v>2</v>
      </c>
      <c r="M44" s="2">
        <v>12</v>
      </c>
      <c r="N44" s="2" t="str">
        <f>N43</f>
        <v>b100411</v>
      </c>
      <c r="O44" s="2" t="str">
        <f t="shared" si="35"/>
        <v>b100412</v>
      </c>
      <c r="P44" s="2">
        <v>0</v>
      </c>
      <c r="Q44" s="9">
        <v>60421</v>
      </c>
      <c r="R44" s="5">
        <f t="shared" si="33"/>
        <v>20</v>
      </c>
      <c r="S44" s="2">
        <f t="shared" si="36"/>
        <v>1200</v>
      </c>
      <c r="T44" s="2">
        <v>0</v>
      </c>
      <c r="U44" s="2">
        <v>0</v>
      </c>
      <c r="V44" s="2">
        <v>0</v>
      </c>
      <c r="W44" s="2">
        <f t="shared" si="31"/>
        <v>30</v>
      </c>
      <c r="X44" s="2">
        <f t="shared" si="5"/>
        <v>30</v>
      </c>
      <c r="Y44" s="2">
        <f t="shared" si="7"/>
        <v>15</v>
      </c>
      <c r="Z44" s="2">
        <v>0</v>
      </c>
      <c r="AA44" s="2">
        <v>0</v>
      </c>
      <c r="AB44" s="2">
        <v>0</v>
      </c>
      <c r="AC44" s="2">
        <f t="shared" si="0"/>
        <v>400</v>
      </c>
      <c r="AD44" s="10" t="s">
        <v>231</v>
      </c>
      <c r="AE44" s="10" t="s">
        <v>230</v>
      </c>
      <c r="AF44" s="2">
        <v>1</v>
      </c>
    </row>
    <row r="45" s="2" customFormat="1" ht="17.25" spans="1:32">
      <c r="A45" s="2">
        <v>10043</v>
      </c>
      <c r="B45" s="2">
        <f t="shared" si="41"/>
        <v>10041</v>
      </c>
      <c r="C45" s="2">
        <v>0</v>
      </c>
      <c r="D45" s="2" t="str">
        <f t="shared" si="42"/>
        <v>重生塔</v>
      </c>
      <c r="E45" s="2">
        <f t="shared" si="43"/>
        <v>12</v>
      </c>
      <c r="F45" s="2">
        <v>54</v>
      </c>
      <c r="G45" s="2">
        <v>3</v>
      </c>
      <c r="H45" s="2">
        <v>1</v>
      </c>
      <c r="I45" s="2">
        <v>3</v>
      </c>
      <c r="J45" s="2">
        <v>1000</v>
      </c>
      <c r="K45" s="2">
        <v>0</v>
      </c>
      <c r="L45" s="2">
        <v>2</v>
      </c>
      <c r="M45" s="2">
        <v>12</v>
      </c>
      <c r="N45" s="2" t="str">
        <f>N43</f>
        <v>b100411</v>
      </c>
      <c r="O45" s="2" t="str">
        <f t="shared" si="35"/>
        <v>b100413</v>
      </c>
      <c r="P45" s="2">
        <v>0</v>
      </c>
      <c r="Q45" s="9">
        <v>60431</v>
      </c>
      <c r="R45" s="5">
        <f t="shared" si="33"/>
        <v>30</v>
      </c>
      <c r="S45" s="2">
        <f t="shared" si="36"/>
        <v>1500</v>
      </c>
      <c r="T45" s="2">
        <v>0</v>
      </c>
      <c r="U45" s="2">
        <v>0</v>
      </c>
      <c r="V45" s="2">
        <v>0</v>
      </c>
      <c r="W45" s="2">
        <f t="shared" si="31"/>
        <v>35</v>
      </c>
      <c r="X45" s="2">
        <f t="shared" si="5"/>
        <v>35</v>
      </c>
      <c r="Y45" s="2">
        <f t="shared" si="7"/>
        <v>20</v>
      </c>
      <c r="Z45" s="2">
        <v>0</v>
      </c>
      <c r="AA45" s="2">
        <v>0</v>
      </c>
      <c r="AB45" s="2">
        <v>0</v>
      </c>
      <c r="AC45" s="2">
        <f t="shared" si="0"/>
        <v>500</v>
      </c>
      <c r="AD45" s="10" t="s">
        <v>232</v>
      </c>
      <c r="AE45" s="10" t="s">
        <v>230</v>
      </c>
      <c r="AF45" s="2">
        <v>1</v>
      </c>
    </row>
    <row r="46" s="2" customFormat="1" ht="17.25" spans="1:32">
      <c r="A46" s="2">
        <v>10051</v>
      </c>
      <c r="B46" s="2">
        <f>A46</f>
        <v>10051</v>
      </c>
      <c r="C46" s="2">
        <v>0</v>
      </c>
      <c r="D46" s="2" t="s">
        <v>122</v>
      </c>
      <c r="E46" s="2">
        <v>13</v>
      </c>
      <c r="F46" s="2">
        <v>58</v>
      </c>
      <c r="G46" s="2">
        <v>3</v>
      </c>
      <c r="H46" s="2">
        <v>1</v>
      </c>
      <c r="I46" s="2">
        <v>1</v>
      </c>
      <c r="J46" s="2">
        <v>600</v>
      </c>
      <c r="K46" s="2">
        <v>0</v>
      </c>
      <c r="L46" s="2">
        <v>2</v>
      </c>
      <c r="M46" s="2">
        <v>15</v>
      </c>
      <c r="N46" s="2" t="s">
        <v>123</v>
      </c>
      <c r="O46" s="2" t="str">
        <f t="shared" si="35"/>
        <v>b100511</v>
      </c>
      <c r="P46" s="2">
        <v>0</v>
      </c>
      <c r="Q46" s="9">
        <v>60711</v>
      </c>
      <c r="R46" s="5">
        <f t="shared" si="33"/>
        <v>5</v>
      </c>
      <c r="S46" s="2">
        <f t="shared" si="36"/>
        <v>1000</v>
      </c>
      <c r="T46" s="2">
        <v>0</v>
      </c>
      <c r="U46" s="2">
        <v>0</v>
      </c>
      <c r="V46" s="2">
        <v>0</v>
      </c>
      <c r="W46" s="2">
        <f t="shared" si="31"/>
        <v>25</v>
      </c>
      <c r="X46" s="2">
        <f t="shared" si="5"/>
        <v>25</v>
      </c>
      <c r="Y46" s="2">
        <f t="shared" si="7"/>
        <v>10</v>
      </c>
      <c r="Z46" s="2">
        <v>0</v>
      </c>
      <c r="AA46" s="2">
        <v>0</v>
      </c>
      <c r="AB46" s="2">
        <v>0</v>
      </c>
      <c r="AC46" s="2">
        <f t="shared" si="0"/>
        <v>300</v>
      </c>
      <c r="AD46" s="10" t="s">
        <v>233</v>
      </c>
      <c r="AE46" s="10" t="s">
        <v>234</v>
      </c>
      <c r="AF46" s="2">
        <v>1</v>
      </c>
    </row>
    <row r="47" s="2" customFormat="1" ht="17.25" spans="1:32">
      <c r="A47" s="2">
        <f t="shared" ref="A47:A51" si="44">A46+1</f>
        <v>10052</v>
      </c>
      <c r="B47" s="2">
        <f t="shared" ref="B47:B51" si="45">B46</f>
        <v>10051</v>
      </c>
      <c r="C47" s="2">
        <v>0</v>
      </c>
      <c r="D47" s="2" t="str">
        <f t="shared" ref="D47:D51" si="46">D46</f>
        <v>魔法塔</v>
      </c>
      <c r="E47" s="2">
        <f t="shared" si="43"/>
        <v>13</v>
      </c>
      <c r="F47" s="2">
        <v>58</v>
      </c>
      <c r="G47" s="2">
        <v>3</v>
      </c>
      <c r="H47" s="2">
        <v>1</v>
      </c>
      <c r="I47" s="2">
        <v>2</v>
      </c>
      <c r="J47" s="2">
        <v>800</v>
      </c>
      <c r="K47" s="2">
        <v>0</v>
      </c>
      <c r="L47" s="2">
        <v>2</v>
      </c>
      <c r="M47" s="2">
        <v>15</v>
      </c>
      <c r="N47" s="2" t="str">
        <f>N46</f>
        <v>b100511</v>
      </c>
      <c r="O47" s="2" t="str">
        <f t="shared" si="35"/>
        <v>b100512</v>
      </c>
      <c r="P47" s="2">
        <v>0</v>
      </c>
      <c r="Q47" s="9">
        <v>60721</v>
      </c>
      <c r="R47" s="5">
        <f t="shared" si="33"/>
        <v>20</v>
      </c>
      <c r="S47" s="2">
        <f t="shared" si="36"/>
        <v>1200</v>
      </c>
      <c r="T47" s="2">
        <v>0</v>
      </c>
      <c r="U47" s="2">
        <v>0</v>
      </c>
      <c r="V47" s="2">
        <v>0</v>
      </c>
      <c r="W47" s="2">
        <f t="shared" si="31"/>
        <v>30</v>
      </c>
      <c r="X47" s="2">
        <f t="shared" si="5"/>
        <v>30</v>
      </c>
      <c r="Y47" s="2">
        <f t="shared" si="7"/>
        <v>15</v>
      </c>
      <c r="Z47" s="2">
        <v>0</v>
      </c>
      <c r="AA47" s="2">
        <v>0</v>
      </c>
      <c r="AB47" s="2">
        <v>0</v>
      </c>
      <c r="AC47" s="2">
        <f t="shared" si="0"/>
        <v>400</v>
      </c>
      <c r="AD47" s="10" t="s">
        <v>235</v>
      </c>
      <c r="AE47" s="10" t="s">
        <v>234</v>
      </c>
      <c r="AF47" s="2">
        <v>1</v>
      </c>
    </row>
    <row r="48" s="2" customFormat="1" ht="17.25" spans="1:32">
      <c r="A48" s="2">
        <f t="shared" si="44"/>
        <v>10053</v>
      </c>
      <c r="B48" s="2">
        <f t="shared" si="45"/>
        <v>10051</v>
      </c>
      <c r="C48" s="2">
        <v>0</v>
      </c>
      <c r="D48" s="2" t="str">
        <f t="shared" si="46"/>
        <v>魔法塔</v>
      </c>
      <c r="E48" s="2">
        <f>E46</f>
        <v>13</v>
      </c>
      <c r="F48" s="2">
        <v>58</v>
      </c>
      <c r="G48" s="2">
        <v>3</v>
      </c>
      <c r="H48" s="2">
        <v>1</v>
      </c>
      <c r="I48" s="2">
        <v>3</v>
      </c>
      <c r="J48" s="2">
        <v>1000</v>
      </c>
      <c r="K48" s="2">
        <v>0</v>
      </c>
      <c r="L48" s="2">
        <v>2</v>
      </c>
      <c r="M48" s="2">
        <v>15</v>
      </c>
      <c r="N48" s="2" t="str">
        <f>N46</f>
        <v>b100511</v>
      </c>
      <c r="O48" s="2" t="str">
        <f t="shared" si="35"/>
        <v>b100513</v>
      </c>
      <c r="P48" s="2">
        <v>0</v>
      </c>
      <c r="Q48" s="9">
        <v>60731</v>
      </c>
      <c r="R48" s="5">
        <f t="shared" si="33"/>
        <v>30</v>
      </c>
      <c r="S48" s="2">
        <f t="shared" si="36"/>
        <v>1500</v>
      </c>
      <c r="T48" s="2">
        <v>0</v>
      </c>
      <c r="U48" s="2">
        <v>0</v>
      </c>
      <c r="V48" s="2">
        <v>0</v>
      </c>
      <c r="W48" s="2">
        <f t="shared" si="31"/>
        <v>35</v>
      </c>
      <c r="X48" s="2">
        <f t="shared" si="5"/>
        <v>35</v>
      </c>
      <c r="Y48" s="2">
        <f t="shared" si="7"/>
        <v>20</v>
      </c>
      <c r="Z48" s="2">
        <v>0</v>
      </c>
      <c r="AA48" s="2">
        <v>0</v>
      </c>
      <c r="AB48" s="2">
        <v>0</v>
      </c>
      <c r="AC48" s="2">
        <f t="shared" si="0"/>
        <v>500</v>
      </c>
      <c r="AD48" s="10" t="s">
        <v>236</v>
      </c>
      <c r="AE48" s="10" t="s">
        <v>234</v>
      </c>
      <c r="AF48" s="2">
        <v>1</v>
      </c>
    </row>
    <row r="49" s="2" customFormat="1" ht="17.25" spans="1:32">
      <c r="A49" s="2">
        <v>10061</v>
      </c>
      <c r="B49" s="2">
        <f>A49</f>
        <v>10061</v>
      </c>
      <c r="C49" s="2">
        <v>0</v>
      </c>
      <c r="D49" s="2" t="s">
        <v>125</v>
      </c>
      <c r="E49" s="2">
        <v>14</v>
      </c>
      <c r="F49" s="2">
        <v>64</v>
      </c>
      <c r="G49" s="2">
        <v>3</v>
      </c>
      <c r="H49" s="2">
        <v>1</v>
      </c>
      <c r="I49" s="2">
        <v>1</v>
      </c>
      <c r="J49" s="2">
        <v>1200</v>
      </c>
      <c r="K49" s="2">
        <v>0</v>
      </c>
      <c r="L49" s="2">
        <v>2</v>
      </c>
      <c r="M49" s="2">
        <v>16</v>
      </c>
      <c r="N49" s="2" t="s">
        <v>126</v>
      </c>
      <c r="O49" s="2" t="str">
        <f t="shared" si="35"/>
        <v>b100611</v>
      </c>
      <c r="P49" s="2">
        <v>0</v>
      </c>
      <c r="Q49" s="9">
        <v>60811</v>
      </c>
      <c r="R49" s="5">
        <f t="shared" si="33"/>
        <v>5</v>
      </c>
      <c r="S49" s="2">
        <f t="shared" si="36"/>
        <v>1000</v>
      </c>
      <c r="T49" s="2">
        <v>0</v>
      </c>
      <c r="U49" s="2">
        <v>0</v>
      </c>
      <c r="V49" s="2">
        <v>0</v>
      </c>
      <c r="W49" s="2">
        <f t="shared" si="31"/>
        <v>25</v>
      </c>
      <c r="X49" s="2">
        <f t="shared" si="5"/>
        <v>25</v>
      </c>
      <c r="Y49" s="2">
        <f t="shared" si="7"/>
        <v>10</v>
      </c>
      <c r="Z49" s="2">
        <v>0</v>
      </c>
      <c r="AA49" s="2">
        <v>0</v>
      </c>
      <c r="AB49" s="2">
        <v>0</v>
      </c>
      <c r="AC49" s="2">
        <f t="shared" si="0"/>
        <v>600</v>
      </c>
      <c r="AD49" s="10" t="s">
        <v>237</v>
      </c>
      <c r="AE49" s="10" t="s">
        <v>238</v>
      </c>
      <c r="AF49" s="2">
        <v>1</v>
      </c>
    </row>
    <row r="50" s="2" customFormat="1" ht="17.25" spans="1:32">
      <c r="A50" s="2">
        <f t="shared" si="44"/>
        <v>10062</v>
      </c>
      <c r="B50" s="2">
        <f t="shared" si="45"/>
        <v>10061</v>
      </c>
      <c r="C50" s="2">
        <v>0</v>
      </c>
      <c r="D50" s="2" t="str">
        <f t="shared" si="46"/>
        <v>剑圣塔</v>
      </c>
      <c r="E50" s="2">
        <f t="shared" ref="E50:E54" si="47">E49</f>
        <v>14</v>
      </c>
      <c r="F50" s="2">
        <v>64</v>
      </c>
      <c r="G50" s="2">
        <v>3</v>
      </c>
      <c r="H50" s="2">
        <v>1</v>
      </c>
      <c r="I50" s="2">
        <v>2</v>
      </c>
      <c r="J50" s="2">
        <v>1500</v>
      </c>
      <c r="K50" s="2">
        <v>0</v>
      </c>
      <c r="L50" s="2">
        <v>2</v>
      </c>
      <c r="M50" s="2">
        <v>16</v>
      </c>
      <c r="N50" s="2" t="str">
        <f>N49</f>
        <v>b100611</v>
      </c>
      <c r="O50" s="2" t="str">
        <f t="shared" si="35"/>
        <v>b100612</v>
      </c>
      <c r="P50" s="2">
        <v>0</v>
      </c>
      <c r="Q50" s="9">
        <v>60821</v>
      </c>
      <c r="R50" s="5">
        <f t="shared" si="33"/>
        <v>20</v>
      </c>
      <c r="S50" s="2">
        <f t="shared" si="36"/>
        <v>1200</v>
      </c>
      <c r="T50" s="2">
        <v>0</v>
      </c>
      <c r="U50" s="2">
        <v>0</v>
      </c>
      <c r="V50" s="2">
        <v>0</v>
      </c>
      <c r="W50" s="2">
        <f t="shared" si="31"/>
        <v>30</v>
      </c>
      <c r="X50" s="2">
        <f t="shared" si="5"/>
        <v>30</v>
      </c>
      <c r="Y50" s="2">
        <f t="shared" si="7"/>
        <v>15</v>
      </c>
      <c r="Z50" s="2">
        <v>0</v>
      </c>
      <c r="AA50" s="2">
        <v>0</v>
      </c>
      <c r="AB50" s="2">
        <v>0</v>
      </c>
      <c r="AC50" s="2">
        <f t="shared" si="0"/>
        <v>750</v>
      </c>
      <c r="AD50" s="10" t="s">
        <v>239</v>
      </c>
      <c r="AE50" s="10" t="s">
        <v>238</v>
      </c>
      <c r="AF50" s="2">
        <v>1</v>
      </c>
    </row>
    <row r="51" s="2" customFormat="1" ht="17.25" spans="1:32">
      <c r="A51" s="2">
        <f t="shared" si="44"/>
        <v>10063</v>
      </c>
      <c r="B51" s="2">
        <f t="shared" si="45"/>
        <v>10061</v>
      </c>
      <c r="C51" s="2">
        <v>0</v>
      </c>
      <c r="D51" s="2" t="str">
        <f t="shared" si="46"/>
        <v>剑圣塔</v>
      </c>
      <c r="E51" s="2">
        <f>E49</f>
        <v>14</v>
      </c>
      <c r="F51" s="2">
        <v>64</v>
      </c>
      <c r="G51" s="2">
        <v>3</v>
      </c>
      <c r="H51" s="2">
        <v>1</v>
      </c>
      <c r="I51" s="2">
        <v>3</v>
      </c>
      <c r="J51" s="2">
        <v>1800</v>
      </c>
      <c r="K51" s="2">
        <v>0</v>
      </c>
      <c r="L51" s="2">
        <v>2</v>
      </c>
      <c r="M51" s="2">
        <v>16</v>
      </c>
      <c r="N51" s="2" t="str">
        <f>N49</f>
        <v>b100611</v>
      </c>
      <c r="O51" s="2" t="str">
        <f t="shared" si="35"/>
        <v>b100613</v>
      </c>
      <c r="P51" s="2">
        <v>0</v>
      </c>
      <c r="Q51" s="9">
        <v>60831</v>
      </c>
      <c r="R51" s="5">
        <f t="shared" si="33"/>
        <v>30</v>
      </c>
      <c r="S51" s="2">
        <f t="shared" si="36"/>
        <v>1500</v>
      </c>
      <c r="T51" s="2">
        <v>0</v>
      </c>
      <c r="U51" s="2">
        <v>0</v>
      </c>
      <c r="V51" s="2">
        <v>0</v>
      </c>
      <c r="W51" s="2">
        <f t="shared" si="31"/>
        <v>35</v>
      </c>
      <c r="X51" s="2">
        <f t="shared" si="5"/>
        <v>35</v>
      </c>
      <c r="Y51" s="2">
        <f t="shared" si="7"/>
        <v>20</v>
      </c>
      <c r="Z51" s="2">
        <v>0</v>
      </c>
      <c r="AA51" s="2">
        <v>0</v>
      </c>
      <c r="AB51" s="2">
        <v>0</v>
      </c>
      <c r="AC51" s="2">
        <f t="shared" si="0"/>
        <v>900</v>
      </c>
      <c r="AD51" s="10" t="s">
        <v>240</v>
      </c>
      <c r="AE51" s="10" t="s">
        <v>238</v>
      </c>
      <c r="AF51" s="2">
        <v>1</v>
      </c>
    </row>
    <row r="52" s="2" customFormat="1" ht="17.25" spans="1:32">
      <c r="A52" s="2">
        <v>10071</v>
      </c>
      <c r="B52" s="2">
        <f>A52</f>
        <v>10071</v>
      </c>
      <c r="C52" s="2">
        <v>0</v>
      </c>
      <c r="D52" s="2" t="s">
        <v>128</v>
      </c>
      <c r="E52" s="2">
        <v>15</v>
      </c>
      <c r="F52" s="2">
        <v>68</v>
      </c>
      <c r="G52" s="2">
        <v>3</v>
      </c>
      <c r="H52" s="2">
        <v>1</v>
      </c>
      <c r="I52" s="2">
        <v>1</v>
      </c>
      <c r="J52" s="2">
        <v>1000</v>
      </c>
      <c r="K52" s="2">
        <v>0</v>
      </c>
      <c r="L52" s="2">
        <v>2</v>
      </c>
      <c r="M52" s="2">
        <v>17</v>
      </c>
      <c r="N52" s="2" t="s">
        <v>129</v>
      </c>
      <c r="O52" s="2" t="str">
        <f t="shared" si="35"/>
        <v>b100711</v>
      </c>
      <c r="P52" s="2">
        <v>0</v>
      </c>
      <c r="Q52" s="9">
        <v>60911</v>
      </c>
      <c r="R52" s="5">
        <f t="shared" si="33"/>
        <v>5</v>
      </c>
      <c r="S52" s="2">
        <f t="shared" si="36"/>
        <v>1000</v>
      </c>
      <c r="T52" s="2">
        <v>0</v>
      </c>
      <c r="U52" s="2">
        <v>0</v>
      </c>
      <c r="V52" s="2">
        <v>0</v>
      </c>
      <c r="W52" s="2">
        <f t="shared" si="31"/>
        <v>25</v>
      </c>
      <c r="X52" s="2">
        <f t="shared" si="5"/>
        <v>25</v>
      </c>
      <c r="Y52" s="2">
        <f t="shared" si="7"/>
        <v>10</v>
      </c>
      <c r="Z52" s="2">
        <v>0</v>
      </c>
      <c r="AA52" s="2">
        <v>0</v>
      </c>
      <c r="AB52" s="2">
        <v>0</v>
      </c>
      <c r="AC52" s="2">
        <f t="shared" si="0"/>
        <v>500</v>
      </c>
      <c r="AD52" s="10" t="s">
        <v>241</v>
      </c>
      <c r="AE52" s="10" t="s">
        <v>242</v>
      </c>
      <c r="AF52" s="2">
        <v>1</v>
      </c>
    </row>
    <row r="53" s="2" customFormat="1" ht="17.25" spans="1:32">
      <c r="A53" s="2">
        <f t="shared" ref="A53:A57" si="48">A52+1</f>
        <v>10072</v>
      </c>
      <c r="B53" s="2">
        <f t="shared" ref="B53:B57" si="49">B52</f>
        <v>10071</v>
      </c>
      <c r="C53" s="2">
        <v>0</v>
      </c>
      <c r="D53" s="2" t="str">
        <f t="shared" ref="D53:D57" si="50">D52</f>
        <v>镜像塔</v>
      </c>
      <c r="E53" s="2">
        <f t="shared" si="47"/>
        <v>15</v>
      </c>
      <c r="F53" s="2">
        <v>68</v>
      </c>
      <c r="G53" s="2">
        <v>3</v>
      </c>
      <c r="H53" s="2">
        <v>1</v>
      </c>
      <c r="I53" s="2">
        <v>2</v>
      </c>
      <c r="J53" s="2">
        <v>1300</v>
      </c>
      <c r="K53" s="2">
        <v>0</v>
      </c>
      <c r="L53" s="2">
        <v>2</v>
      </c>
      <c r="M53" s="2">
        <v>17</v>
      </c>
      <c r="N53" s="2" t="str">
        <f>N52</f>
        <v>b100711</v>
      </c>
      <c r="O53" s="2" t="str">
        <f t="shared" si="35"/>
        <v>b100712</v>
      </c>
      <c r="P53" s="2">
        <v>0</v>
      </c>
      <c r="Q53" s="9">
        <v>60921</v>
      </c>
      <c r="R53" s="5">
        <f t="shared" si="33"/>
        <v>20</v>
      </c>
      <c r="S53" s="2">
        <f t="shared" si="36"/>
        <v>1200</v>
      </c>
      <c r="T53" s="2">
        <v>0</v>
      </c>
      <c r="U53" s="2">
        <v>0</v>
      </c>
      <c r="V53" s="2">
        <v>0</v>
      </c>
      <c r="W53" s="2">
        <f t="shared" si="31"/>
        <v>30</v>
      </c>
      <c r="X53" s="2">
        <f t="shared" si="5"/>
        <v>30</v>
      </c>
      <c r="Y53" s="2">
        <f t="shared" si="7"/>
        <v>15</v>
      </c>
      <c r="Z53" s="2">
        <v>0</v>
      </c>
      <c r="AA53" s="2">
        <v>0</v>
      </c>
      <c r="AB53" s="2">
        <v>0</v>
      </c>
      <c r="AC53" s="2">
        <f t="shared" si="0"/>
        <v>650</v>
      </c>
      <c r="AD53" s="10" t="s">
        <v>243</v>
      </c>
      <c r="AE53" s="10" t="s">
        <v>242</v>
      </c>
      <c r="AF53" s="2">
        <v>1</v>
      </c>
    </row>
    <row r="54" s="2" customFormat="1" ht="17.25" spans="1:32">
      <c r="A54" s="2">
        <f t="shared" si="48"/>
        <v>10073</v>
      </c>
      <c r="B54" s="2">
        <f t="shared" si="49"/>
        <v>10071</v>
      </c>
      <c r="C54" s="2">
        <v>0</v>
      </c>
      <c r="D54" s="2" t="str">
        <f t="shared" si="50"/>
        <v>镜像塔</v>
      </c>
      <c r="E54" s="2">
        <f t="shared" si="47"/>
        <v>15</v>
      </c>
      <c r="F54" s="2">
        <v>68</v>
      </c>
      <c r="G54" s="2">
        <v>3</v>
      </c>
      <c r="H54" s="2">
        <v>1</v>
      </c>
      <c r="I54" s="2">
        <v>3</v>
      </c>
      <c r="J54" s="2">
        <v>1500</v>
      </c>
      <c r="K54" s="2">
        <v>0</v>
      </c>
      <c r="L54" s="2">
        <v>2</v>
      </c>
      <c r="M54" s="2">
        <v>17</v>
      </c>
      <c r="N54" s="2" t="str">
        <f>N52</f>
        <v>b100711</v>
      </c>
      <c r="O54" s="2" t="str">
        <f t="shared" si="35"/>
        <v>b100713</v>
      </c>
      <c r="P54" s="2">
        <v>0</v>
      </c>
      <c r="Q54" s="9">
        <v>60931</v>
      </c>
      <c r="R54" s="5">
        <f t="shared" si="33"/>
        <v>30</v>
      </c>
      <c r="S54" s="2">
        <f t="shared" si="36"/>
        <v>1500</v>
      </c>
      <c r="T54" s="2">
        <v>0</v>
      </c>
      <c r="U54" s="2">
        <v>0</v>
      </c>
      <c r="V54" s="2">
        <v>0</v>
      </c>
      <c r="W54" s="2">
        <f t="shared" si="31"/>
        <v>35</v>
      </c>
      <c r="X54" s="2">
        <f t="shared" si="5"/>
        <v>35</v>
      </c>
      <c r="Y54" s="2">
        <f t="shared" si="7"/>
        <v>20</v>
      </c>
      <c r="Z54" s="2">
        <v>0</v>
      </c>
      <c r="AA54" s="2">
        <v>0</v>
      </c>
      <c r="AB54" s="2">
        <v>0</v>
      </c>
      <c r="AC54" s="2">
        <f t="shared" si="0"/>
        <v>750</v>
      </c>
      <c r="AD54" s="10" t="s">
        <v>244</v>
      </c>
      <c r="AE54" s="10" t="s">
        <v>242</v>
      </c>
      <c r="AF54" s="2">
        <v>1</v>
      </c>
    </row>
    <row r="55" s="2" customFormat="1" ht="17.25" spans="1:32">
      <c r="A55" s="2">
        <v>10081</v>
      </c>
      <c r="B55" s="2">
        <f>A55</f>
        <v>10081</v>
      </c>
      <c r="C55" s="2">
        <v>0</v>
      </c>
      <c r="D55" s="2" t="s">
        <v>131</v>
      </c>
      <c r="E55" s="2">
        <v>3</v>
      </c>
      <c r="F55" s="2">
        <v>11</v>
      </c>
      <c r="G55" s="2">
        <v>3</v>
      </c>
      <c r="H55" s="2">
        <v>0</v>
      </c>
      <c r="I55" s="2">
        <v>1</v>
      </c>
      <c r="J55" s="2">
        <v>250</v>
      </c>
      <c r="K55" s="2">
        <v>0</v>
      </c>
      <c r="L55" s="2">
        <v>2</v>
      </c>
      <c r="M55" s="2">
        <v>18</v>
      </c>
      <c r="N55" s="2" t="s">
        <v>132</v>
      </c>
      <c r="O55" s="2" t="str">
        <f t="shared" si="35"/>
        <v>b100811</v>
      </c>
      <c r="P55" s="6" t="s">
        <v>98</v>
      </c>
      <c r="Q55" s="9">
        <v>0</v>
      </c>
      <c r="R55" s="5">
        <f t="shared" si="33"/>
        <v>5</v>
      </c>
      <c r="S55" s="2">
        <f t="shared" si="36"/>
        <v>1000</v>
      </c>
      <c r="T55" s="2">
        <v>0</v>
      </c>
      <c r="U55" s="2">
        <v>0</v>
      </c>
      <c r="V55" s="2">
        <v>0</v>
      </c>
      <c r="W55" s="2">
        <f t="shared" si="31"/>
        <v>25</v>
      </c>
      <c r="X55" s="2">
        <f t="shared" si="5"/>
        <v>25</v>
      </c>
      <c r="Y55" s="2">
        <f t="shared" si="7"/>
        <v>10</v>
      </c>
      <c r="Z55" s="2">
        <v>0</v>
      </c>
      <c r="AA55" s="2">
        <v>0</v>
      </c>
      <c r="AB55" s="2">
        <v>0</v>
      </c>
      <c r="AC55" s="2">
        <f t="shared" si="0"/>
        <v>125</v>
      </c>
      <c r="AD55" s="10" t="s">
        <v>133</v>
      </c>
      <c r="AE55" s="10" t="s">
        <v>245</v>
      </c>
      <c r="AF55" s="2">
        <v>1</v>
      </c>
    </row>
    <row r="56" s="2" customFormat="1" ht="17.25" spans="1:32">
      <c r="A56" s="2">
        <f t="shared" si="48"/>
        <v>10082</v>
      </c>
      <c r="B56" s="2">
        <f t="shared" si="49"/>
        <v>10081</v>
      </c>
      <c r="C56" s="2">
        <v>0</v>
      </c>
      <c r="D56" s="2" t="str">
        <f t="shared" si="50"/>
        <v>市场</v>
      </c>
      <c r="E56" s="2">
        <f>E55</f>
        <v>3</v>
      </c>
      <c r="F56" s="2">
        <v>11</v>
      </c>
      <c r="G56" s="2">
        <v>3</v>
      </c>
      <c r="H56" s="2">
        <v>0</v>
      </c>
      <c r="I56" s="2">
        <v>2</v>
      </c>
      <c r="J56" s="2">
        <v>350</v>
      </c>
      <c r="K56" s="2">
        <v>0</v>
      </c>
      <c r="L56" s="2">
        <v>2</v>
      </c>
      <c r="M56" s="2">
        <v>18</v>
      </c>
      <c r="N56" s="2" t="str">
        <f>N55</f>
        <v>b100811</v>
      </c>
      <c r="O56" s="2" t="str">
        <f t="shared" si="35"/>
        <v>b100812</v>
      </c>
      <c r="P56" s="6" t="s">
        <v>205</v>
      </c>
      <c r="Q56" s="9">
        <v>0</v>
      </c>
      <c r="R56" s="5">
        <f t="shared" si="33"/>
        <v>20</v>
      </c>
      <c r="S56" s="2">
        <f t="shared" si="36"/>
        <v>1200</v>
      </c>
      <c r="T56" s="2">
        <v>0</v>
      </c>
      <c r="U56" s="2">
        <v>0</v>
      </c>
      <c r="V56" s="2">
        <v>0</v>
      </c>
      <c r="W56" s="2">
        <f t="shared" si="31"/>
        <v>30</v>
      </c>
      <c r="X56" s="2">
        <f t="shared" si="5"/>
        <v>30</v>
      </c>
      <c r="Y56" s="2">
        <f t="shared" si="7"/>
        <v>15</v>
      </c>
      <c r="Z56" s="2">
        <v>0</v>
      </c>
      <c r="AA56" s="2">
        <v>0</v>
      </c>
      <c r="AB56" s="2">
        <v>0</v>
      </c>
      <c r="AC56" s="2">
        <f t="shared" si="0"/>
        <v>175</v>
      </c>
      <c r="AD56" s="10" t="s">
        <v>246</v>
      </c>
      <c r="AE56" s="10" t="s">
        <v>245</v>
      </c>
      <c r="AF56" s="2">
        <v>1</v>
      </c>
    </row>
    <row r="57" s="2" customFormat="1" ht="17.25" spans="1:32">
      <c r="A57" s="2">
        <f t="shared" si="48"/>
        <v>10083</v>
      </c>
      <c r="B57" s="2">
        <f t="shared" si="49"/>
        <v>10081</v>
      </c>
      <c r="C57" s="2">
        <v>0</v>
      </c>
      <c r="D57" s="2" t="str">
        <f t="shared" si="50"/>
        <v>市场</v>
      </c>
      <c r="E57" s="2">
        <f>E56</f>
        <v>3</v>
      </c>
      <c r="F57" s="2">
        <v>11</v>
      </c>
      <c r="G57" s="2">
        <v>3</v>
      </c>
      <c r="H57" s="2">
        <v>0</v>
      </c>
      <c r="I57" s="2">
        <v>3</v>
      </c>
      <c r="J57" s="2">
        <v>550</v>
      </c>
      <c r="K57" s="2">
        <v>0</v>
      </c>
      <c r="L57" s="2">
        <v>2</v>
      </c>
      <c r="M57" s="2">
        <v>18</v>
      </c>
      <c r="N57" s="2" t="str">
        <f>N55</f>
        <v>b100811</v>
      </c>
      <c r="O57" s="2" t="str">
        <f t="shared" si="35"/>
        <v>b100813</v>
      </c>
      <c r="P57" s="6" t="s">
        <v>207</v>
      </c>
      <c r="Q57" s="9">
        <v>0</v>
      </c>
      <c r="R57" s="5">
        <f t="shared" si="33"/>
        <v>30</v>
      </c>
      <c r="S57" s="2">
        <f t="shared" si="36"/>
        <v>1500</v>
      </c>
      <c r="T57" s="2">
        <v>0</v>
      </c>
      <c r="U57" s="2">
        <v>0</v>
      </c>
      <c r="V57" s="2">
        <v>0</v>
      </c>
      <c r="W57" s="2">
        <f t="shared" si="31"/>
        <v>35</v>
      </c>
      <c r="X57" s="2">
        <f t="shared" si="5"/>
        <v>35</v>
      </c>
      <c r="Y57" s="2">
        <f t="shared" si="7"/>
        <v>20</v>
      </c>
      <c r="Z57" s="2">
        <v>0</v>
      </c>
      <c r="AA57" s="2">
        <v>0</v>
      </c>
      <c r="AB57" s="2">
        <v>0</v>
      </c>
      <c r="AC57" s="2">
        <f t="shared" si="0"/>
        <v>275</v>
      </c>
      <c r="AD57" s="10" t="s">
        <v>247</v>
      </c>
      <c r="AE57" s="10" t="s">
        <v>245</v>
      </c>
      <c r="AF57" s="2">
        <v>1</v>
      </c>
    </row>
    <row r="58" s="2" customFormat="1" spans="1:32">
      <c r="A58" s="2">
        <v>1101</v>
      </c>
      <c r="B58" s="2">
        <v>7001</v>
      </c>
      <c r="C58" s="2">
        <v>1001</v>
      </c>
      <c r="D58" s="2" t="s">
        <v>248</v>
      </c>
      <c r="E58" s="2">
        <v>0</v>
      </c>
      <c r="F58" s="2">
        <v>11</v>
      </c>
      <c r="G58" s="2">
        <v>1</v>
      </c>
      <c r="H58" s="2">
        <v>0</v>
      </c>
      <c r="I58" s="2">
        <v>1</v>
      </c>
      <c r="J58" s="2">
        <v>100</v>
      </c>
      <c r="K58" s="2">
        <v>1</v>
      </c>
      <c r="L58" s="2">
        <v>5</v>
      </c>
      <c r="M58" s="2">
        <v>1</v>
      </c>
      <c r="N58" s="2">
        <v>0</v>
      </c>
      <c r="O58" s="2">
        <v>0</v>
      </c>
      <c r="P58" s="5" t="s">
        <v>74</v>
      </c>
      <c r="Q58" s="5">
        <v>0</v>
      </c>
      <c r="R58" s="5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f t="shared" si="0"/>
        <v>50</v>
      </c>
      <c r="AD58" s="10" t="s">
        <v>249</v>
      </c>
      <c r="AE58" s="10" t="s">
        <v>249</v>
      </c>
      <c r="AF58" s="2">
        <v>0</v>
      </c>
    </row>
    <row r="59" s="2" customFormat="1" spans="1:32">
      <c r="A59" s="2">
        <v>1102</v>
      </c>
      <c r="B59" s="2">
        <f t="shared" ref="B59:B63" si="51">B58</f>
        <v>7001</v>
      </c>
      <c r="C59" s="2">
        <v>1001</v>
      </c>
      <c r="D59" s="2" t="s">
        <v>248</v>
      </c>
      <c r="E59" s="2">
        <v>0</v>
      </c>
      <c r="F59" s="2">
        <v>11</v>
      </c>
      <c r="G59" s="2">
        <v>1</v>
      </c>
      <c r="H59" s="2">
        <v>0</v>
      </c>
      <c r="I59" s="2">
        <v>2</v>
      </c>
      <c r="J59" s="2">
        <v>100</v>
      </c>
      <c r="K59" s="2">
        <v>1</v>
      </c>
      <c r="L59" s="2">
        <v>5</v>
      </c>
      <c r="M59" s="2">
        <v>1</v>
      </c>
      <c r="N59" s="2">
        <v>0</v>
      </c>
      <c r="O59" s="2">
        <v>0</v>
      </c>
      <c r="P59" s="5" t="s">
        <v>250</v>
      </c>
      <c r="Q59" s="5">
        <v>0</v>
      </c>
      <c r="R59" s="5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f t="shared" si="0"/>
        <v>50</v>
      </c>
      <c r="AD59" s="10" t="s">
        <v>251</v>
      </c>
      <c r="AE59" s="10" t="s">
        <v>251</v>
      </c>
      <c r="AF59" s="2">
        <v>0</v>
      </c>
    </row>
    <row r="60" s="2" customFormat="1" spans="1:32">
      <c r="A60" s="2">
        <v>1103</v>
      </c>
      <c r="B60" s="2">
        <f t="shared" si="51"/>
        <v>7001</v>
      </c>
      <c r="C60" s="2">
        <v>1001</v>
      </c>
      <c r="D60" s="2" t="s">
        <v>248</v>
      </c>
      <c r="E60" s="2">
        <v>0</v>
      </c>
      <c r="F60" s="2">
        <v>11</v>
      </c>
      <c r="G60" s="2">
        <v>1</v>
      </c>
      <c r="H60" s="2">
        <v>0</v>
      </c>
      <c r="I60" s="2">
        <v>3</v>
      </c>
      <c r="J60" s="2">
        <v>100</v>
      </c>
      <c r="K60" s="2">
        <v>2</v>
      </c>
      <c r="L60" s="2">
        <v>5</v>
      </c>
      <c r="M60" s="2">
        <v>1</v>
      </c>
      <c r="N60" s="2">
        <v>0</v>
      </c>
      <c r="O60" s="2">
        <v>0</v>
      </c>
      <c r="P60" s="5" t="s">
        <v>252</v>
      </c>
      <c r="Q60" s="5">
        <v>0</v>
      </c>
      <c r="R60" s="5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f t="shared" si="0"/>
        <v>50</v>
      </c>
      <c r="AD60" s="10" t="s">
        <v>251</v>
      </c>
      <c r="AE60" s="10" t="s">
        <v>251</v>
      </c>
      <c r="AF60" s="2">
        <v>0</v>
      </c>
    </row>
    <row r="61" s="2" customFormat="1" spans="1:32">
      <c r="A61" s="2">
        <v>1104</v>
      </c>
      <c r="B61" s="2">
        <f t="shared" si="51"/>
        <v>7001</v>
      </c>
      <c r="C61" s="2">
        <v>1001</v>
      </c>
      <c r="D61" s="2" t="s">
        <v>248</v>
      </c>
      <c r="E61" s="2">
        <v>0</v>
      </c>
      <c r="F61" s="2">
        <v>11</v>
      </c>
      <c r="G61" s="2">
        <v>1</v>
      </c>
      <c r="H61" s="2">
        <v>0</v>
      </c>
      <c r="I61" s="2">
        <v>4</v>
      </c>
      <c r="J61" s="2">
        <v>100</v>
      </c>
      <c r="K61" s="2">
        <v>2</v>
      </c>
      <c r="L61" s="2">
        <v>5</v>
      </c>
      <c r="M61" s="2">
        <v>1</v>
      </c>
      <c r="N61" s="2">
        <v>0</v>
      </c>
      <c r="O61" s="2">
        <v>0</v>
      </c>
      <c r="P61" s="5" t="s">
        <v>253</v>
      </c>
      <c r="Q61" s="5">
        <v>0</v>
      </c>
      <c r="R61" s="5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f t="shared" si="0"/>
        <v>50</v>
      </c>
      <c r="AD61" s="10" t="s">
        <v>251</v>
      </c>
      <c r="AE61" s="10" t="s">
        <v>251</v>
      </c>
      <c r="AF61" s="2">
        <v>0</v>
      </c>
    </row>
    <row r="62" s="2" customFormat="1" spans="1:32">
      <c r="A62" s="2">
        <v>1105</v>
      </c>
      <c r="B62" s="2">
        <f t="shared" si="51"/>
        <v>7001</v>
      </c>
      <c r="C62" s="2">
        <v>1001</v>
      </c>
      <c r="D62" s="2" t="s">
        <v>248</v>
      </c>
      <c r="E62" s="2">
        <v>0</v>
      </c>
      <c r="F62" s="2">
        <v>11</v>
      </c>
      <c r="G62" s="2">
        <v>1</v>
      </c>
      <c r="H62" s="2">
        <v>0</v>
      </c>
      <c r="I62" s="2">
        <v>5</v>
      </c>
      <c r="J62" s="2">
        <v>100</v>
      </c>
      <c r="K62" s="2">
        <v>3</v>
      </c>
      <c r="L62" s="2">
        <v>5</v>
      </c>
      <c r="M62" s="2">
        <v>1</v>
      </c>
      <c r="N62" s="2">
        <v>0</v>
      </c>
      <c r="O62" s="2">
        <v>0</v>
      </c>
      <c r="P62" s="5" t="s">
        <v>254</v>
      </c>
      <c r="Q62" s="5">
        <v>0</v>
      </c>
      <c r="R62" s="5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f t="shared" si="0"/>
        <v>50</v>
      </c>
      <c r="AD62" s="10" t="s">
        <v>251</v>
      </c>
      <c r="AE62" s="10" t="s">
        <v>251</v>
      </c>
      <c r="AF62" s="2">
        <v>0</v>
      </c>
    </row>
    <row r="63" s="2" customFormat="1" spans="1:32">
      <c r="A63" s="2">
        <v>1106</v>
      </c>
      <c r="B63" s="2">
        <f t="shared" si="51"/>
        <v>7001</v>
      </c>
      <c r="C63" s="2">
        <v>1001</v>
      </c>
      <c r="D63" s="2" t="s">
        <v>248</v>
      </c>
      <c r="E63" s="2">
        <v>0</v>
      </c>
      <c r="F63" s="2">
        <v>11</v>
      </c>
      <c r="G63" s="2">
        <v>1</v>
      </c>
      <c r="H63" s="2">
        <v>0</v>
      </c>
      <c r="I63" s="2">
        <v>6</v>
      </c>
      <c r="J63" s="2">
        <v>100</v>
      </c>
      <c r="K63" s="2">
        <v>3</v>
      </c>
      <c r="L63" s="2">
        <v>5</v>
      </c>
      <c r="M63" s="2">
        <v>1</v>
      </c>
      <c r="N63" s="2">
        <v>0</v>
      </c>
      <c r="O63" s="2">
        <v>0</v>
      </c>
      <c r="P63" s="5" t="s">
        <v>255</v>
      </c>
      <c r="Q63" s="5">
        <v>0</v>
      </c>
      <c r="R63" s="5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f t="shared" si="0"/>
        <v>50</v>
      </c>
      <c r="AD63" s="10" t="s">
        <v>256</v>
      </c>
      <c r="AE63" s="10" t="s">
        <v>256</v>
      </c>
      <c r="AF63" s="2">
        <v>0</v>
      </c>
    </row>
    <row r="64" s="2" customFormat="1" spans="1:32">
      <c r="A64" s="2">
        <v>1201</v>
      </c>
      <c r="B64" s="2">
        <v>7002</v>
      </c>
      <c r="C64" s="2">
        <v>1001</v>
      </c>
      <c r="D64" s="2" t="s">
        <v>257</v>
      </c>
      <c r="E64" s="2">
        <v>0</v>
      </c>
      <c r="F64" s="2">
        <v>11</v>
      </c>
      <c r="G64" s="2">
        <v>1</v>
      </c>
      <c r="H64" s="2">
        <v>0</v>
      </c>
      <c r="I64" s="2">
        <v>1</v>
      </c>
      <c r="J64" s="2">
        <v>200</v>
      </c>
      <c r="K64" s="2">
        <v>2</v>
      </c>
      <c r="L64" s="2">
        <v>5</v>
      </c>
      <c r="M64" s="2">
        <v>1</v>
      </c>
      <c r="N64" s="2">
        <v>0</v>
      </c>
      <c r="O64" s="2">
        <v>0</v>
      </c>
      <c r="P64" s="2">
        <v>2</v>
      </c>
      <c r="Q64" s="5">
        <v>0</v>
      </c>
      <c r="R64" s="5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f t="shared" si="0"/>
        <v>100</v>
      </c>
      <c r="AD64" s="10" t="s">
        <v>258</v>
      </c>
      <c r="AE64" s="10" t="s">
        <v>258</v>
      </c>
      <c r="AF64" s="2">
        <v>0</v>
      </c>
    </row>
    <row r="65" s="2" customFormat="1" spans="1:32">
      <c r="A65" s="2">
        <v>1202</v>
      </c>
      <c r="B65" s="2">
        <v>7002</v>
      </c>
      <c r="C65" s="2">
        <v>1001</v>
      </c>
      <c r="D65" s="2" t="s">
        <v>257</v>
      </c>
      <c r="E65" s="2">
        <v>0</v>
      </c>
      <c r="F65" s="2">
        <v>11</v>
      </c>
      <c r="G65" s="2">
        <v>1</v>
      </c>
      <c r="H65" s="2">
        <v>0</v>
      </c>
      <c r="I65" s="2">
        <v>2</v>
      </c>
      <c r="J65" s="2">
        <v>200</v>
      </c>
      <c r="K65" s="2">
        <v>2</v>
      </c>
      <c r="L65" s="2">
        <v>5</v>
      </c>
      <c r="M65" s="2">
        <v>1</v>
      </c>
      <c r="N65" s="2">
        <v>0</v>
      </c>
      <c r="O65" s="2">
        <v>0</v>
      </c>
      <c r="P65" s="2">
        <v>4</v>
      </c>
      <c r="Q65" s="5">
        <v>0</v>
      </c>
      <c r="R65" s="5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f t="shared" si="0"/>
        <v>100</v>
      </c>
      <c r="AD65" s="10" t="s">
        <v>258</v>
      </c>
      <c r="AE65" s="10" t="s">
        <v>258</v>
      </c>
      <c r="AF65" s="2">
        <v>0</v>
      </c>
    </row>
    <row r="66" s="2" customFormat="1" spans="1:32">
      <c r="A66" s="2">
        <v>1203</v>
      </c>
      <c r="B66" s="2">
        <v>7002</v>
      </c>
      <c r="C66" s="2">
        <v>1001</v>
      </c>
      <c r="D66" s="2" t="s">
        <v>257</v>
      </c>
      <c r="E66" s="2">
        <v>0</v>
      </c>
      <c r="F66" s="2">
        <v>11</v>
      </c>
      <c r="G66" s="2">
        <v>1</v>
      </c>
      <c r="H66" s="2">
        <v>0</v>
      </c>
      <c r="I66" s="2">
        <v>3</v>
      </c>
      <c r="J66" s="2">
        <v>200</v>
      </c>
      <c r="K66" s="2">
        <v>3</v>
      </c>
      <c r="L66" s="2">
        <v>5</v>
      </c>
      <c r="M66" s="2">
        <v>1</v>
      </c>
      <c r="N66" s="2">
        <v>0</v>
      </c>
      <c r="O66" s="2">
        <v>0</v>
      </c>
      <c r="P66" s="2">
        <v>6</v>
      </c>
      <c r="Q66" s="5">
        <v>0</v>
      </c>
      <c r="R66" s="5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f t="shared" si="0"/>
        <v>100</v>
      </c>
      <c r="AD66" s="10" t="s">
        <v>258</v>
      </c>
      <c r="AE66" s="10" t="s">
        <v>258</v>
      </c>
      <c r="AF66" s="2">
        <v>0</v>
      </c>
    </row>
    <row r="67" s="2" customFormat="1" spans="1:32">
      <c r="A67" s="2">
        <v>1204</v>
      </c>
      <c r="B67" s="2">
        <v>7002</v>
      </c>
      <c r="C67" s="2">
        <v>1001</v>
      </c>
      <c r="D67" s="2" t="s">
        <v>257</v>
      </c>
      <c r="E67" s="2">
        <v>0</v>
      </c>
      <c r="F67" s="2">
        <v>11</v>
      </c>
      <c r="G67" s="2">
        <v>1</v>
      </c>
      <c r="H67" s="2">
        <v>0</v>
      </c>
      <c r="I67" s="2">
        <v>4</v>
      </c>
      <c r="J67" s="2">
        <v>200</v>
      </c>
      <c r="K67" s="2">
        <v>3</v>
      </c>
      <c r="L67" s="2">
        <v>5</v>
      </c>
      <c r="M67" s="2">
        <v>1</v>
      </c>
      <c r="N67" s="2">
        <v>0</v>
      </c>
      <c r="O67" s="2">
        <v>0</v>
      </c>
      <c r="P67" s="2">
        <v>8</v>
      </c>
      <c r="Q67" s="5">
        <v>0</v>
      </c>
      <c r="R67" s="5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f t="shared" si="0"/>
        <v>100</v>
      </c>
      <c r="AD67" s="10" t="s">
        <v>258</v>
      </c>
      <c r="AE67" s="10" t="s">
        <v>258</v>
      </c>
      <c r="AF67" s="2">
        <v>0</v>
      </c>
    </row>
    <row r="68" s="2" customFormat="1" spans="1:32">
      <c r="A68" s="2">
        <v>1205</v>
      </c>
      <c r="B68" s="2">
        <v>7002</v>
      </c>
      <c r="C68" s="2">
        <v>1001</v>
      </c>
      <c r="D68" s="2" t="s">
        <v>257</v>
      </c>
      <c r="E68" s="2">
        <v>0</v>
      </c>
      <c r="F68" s="2">
        <v>11</v>
      </c>
      <c r="G68" s="2">
        <v>1</v>
      </c>
      <c r="H68" s="2">
        <v>0</v>
      </c>
      <c r="I68" s="2">
        <v>5</v>
      </c>
      <c r="J68" s="2">
        <v>200</v>
      </c>
      <c r="K68" s="2">
        <v>3</v>
      </c>
      <c r="L68" s="2">
        <v>5</v>
      </c>
      <c r="M68" s="2">
        <v>1</v>
      </c>
      <c r="N68" s="2">
        <v>0</v>
      </c>
      <c r="O68" s="2">
        <v>0</v>
      </c>
      <c r="P68" s="2">
        <v>10</v>
      </c>
      <c r="Q68" s="5">
        <v>0</v>
      </c>
      <c r="R68" s="5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f t="shared" si="0"/>
        <v>100</v>
      </c>
      <c r="AD68" s="10" t="s">
        <v>258</v>
      </c>
      <c r="AE68" s="10" t="s">
        <v>258</v>
      </c>
      <c r="AF68" s="2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FightUp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2025-02-06T06:28:22Z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