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XunLianChan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<sst xmlns="http://schemas.openxmlformats.org/spreadsheetml/2006/main" count="15" uniqueCount="11">
  <si>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PveId</t>
  </si>
  <si>
    <t>Money</t>
  </si>
  <si>
    <t>ExpReward</t>
  </si>
  <si>
    <t>Gem</t>
  </si>
  <si>
    <t>EquipLevel</t>
  </si>
  <si>
    <t>int</t>
  </si>
  <si>
    <t>关卡id</t>
  </si>
  <si>
    <t>金币产出/小时</t>
  </si>
  <si>
    <t>经验产出/小时</t>
  </si>
  <si>
    <t>钻石产出/小时</t>
  </si>
  <si>
    <t>掉落装备等级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</si>
</sst>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8"/>
  <sheetViews>
    <sheetView tabSelected="1" topLeftCell="A66" workbookViewId="0">
      <selection activeCell="I88" sqref="I88"/>
    </sheetView>
  </sheetViews>
  <sheetFormatPr defaultColWidth="9" defaultRowHeight="13.5"/>
  <cols>
    <col min="1" max="1" width="16.25" customWidth="1"/>
    <col min="2" max="2" width="19.375" customWidth="1"/>
    <col min="3" max="4" width="21.125" customWidth="1"/>
    <col min="5" max="5" width="15.375" customWidth="1"/>
  </cols>
  <sheetData>
    <row r="1" ht="16.5" spans="1:9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/>
      <c r="G1" s="5"/>
      <c r="H1" s="1"/>
      <c r="I1" s="1"/>
    </row>
    <row r="2" ht="16.5" spans="1:9">
      <c r="A2" s="6" t="s">
        <v>5</v>
      </c>
      <c r="B2" s="6" t="s">
        <v>5</v>
      </c>
      <c r="C2" s="6" t="s">
        <v>5</v>
      </c>
      <c r="D2" s="6" t="s">
        <v>5</v>
      </c>
      <c r="E2" s="7" t="s">
        <v>5</v>
      </c>
      <c r="F2" s="5"/>
      <c r="G2" s="5"/>
      <c r="H2" s="1"/>
      <c r="I2" s="1"/>
    </row>
    <row r="3" ht="16.5" spans="1:9">
      <c r="A3" s="6" t="s">
        <v>6</v>
      </c>
      <c r="B3" s="6" t="s">
        <v>7</v>
      </c>
      <c r="C3" s="6" t="s">
        <v>8</v>
      </c>
      <c r="D3" s="6" t="s">
        <v>9</v>
      </c>
      <c r="E3" s="8" t="s">
        <v>10</v>
      </c>
      <c r="F3" s="5"/>
      <c r="G3" s="5"/>
      <c r="H3" s="1"/>
      <c r="I3" s="1"/>
    </row>
    <row r="4" ht="16.5" spans="1:12">
      <c r="A4" s="9">
        <v>11</v>
      </c>
      <c r="B4" s="10">
        <f>INT(L4*0.08)*10</f>
        <v>240</v>
      </c>
      <c r="C4" s="10">
        <v>60</v>
      </c>
      <c r="D4" s="10">
        <v>1</v>
      </c>
      <c r="E4" s="11">
        <v>1</v>
      </c>
      <c r="F4" s="5">
        <v>1</v>
      </c>
      <c r="G4" s="5">
        <v>11</v>
      </c>
      <c r="H4" s="1">
        <f>VLOOKUP(G4,$A$4:$E$76,5,FALSE)*2</f>
        <v>2</v>
      </c>
      <c r="I4" s="1">
        <v>500</v>
      </c>
      <c r="J4" t="str">
        <f>"5:91:3"</f>
        <v>5:91:3</v>
      </c>
      <c r="L4">
        <v>310</v>
      </c>
    </row>
    <row r="5" ht="16.5" spans="1:12">
      <c r="A5" s="9">
        <v>12</v>
      </c>
      <c r="B5" s="10">
        <f t="shared" ref="B5:B36" si="0">INT(L5*0.08)*10</f>
        <v>260</v>
      </c>
      <c r="C5" s="10">
        <v>80</v>
      </c>
      <c r="D5" s="10">
        <v>2</v>
      </c>
      <c r="E5" s="11">
        <v>1</v>
      </c>
      <c r="F5" s="5">
        <v>2</v>
      </c>
      <c r="G5" s="5">
        <v>21</v>
      </c>
      <c r="H5" s="1">
        <f t="shared" ref="H5:H13" si="1">VLOOKUP(G5,$A$4:$E$76,5,FALSE)*2</f>
        <v>6</v>
      </c>
      <c r="I5" s="1">
        <v>1000</v>
      </c>
      <c r="J5" t="str">
        <f>"5:91:5"</f>
        <v>5:91:5</v>
      </c>
      <c r="L5">
        <v>330</v>
      </c>
    </row>
    <row r="6" ht="16.5" spans="1:12">
      <c r="A6" s="9">
        <v>13</v>
      </c>
      <c r="B6" s="10">
        <f t="shared" si="0"/>
        <v>270</v>
      </c>
      <c r="C6" s="10">
        <v>100</v>
      </c>
      <c r="D6" s="10">
        <v>3</v>
      </c>
      <c r="E6" s="11">
        <v>1</v>
      </c>
      <c r="F6" s="5">
        <v>3</v>
      </c>
      <c r="G6" s="5">
        <v>31</v>
      </c>
      <c r="H6" s="1">
        <f t="shared" si="1"/>
        <v>10</v>
      </c>
      <c r="I6" s="1">
        <v>1500</v>
      </c>
      <c r="J6" t="str">
        <f>"5:91:7"</f>
        <v>5:91:7</v>
      </c>
      <c r="L6">
        <v>340</v>
      </c>
    </row>
    <row r="7" ht="16.5" spans="1:12">
      <c r="A7" s="9">
        <v>14</v>
      </c>
      <c r="B7" s="10">
        <f t="shared" si="0"/>
        <v>280</v>
      </c>
      <c r="C7" s="10">
        <v>120</v>
      </c>
      <c r="D7" s="10">
        <v>4</v>
      </c>
      <c r="E7" s="11">
        <v>2</v>
      </c>
      <c r="F7" s="5">
        <v>4</v>
      </c>
      <c r="G7" s="5">
        <v>41</v>
      </c>
      <c r="H7" s="1">
        <f t="shared" si="1"/>
        <v>14</v>
      </c>
      <c r="I7" s="1">
        <v>2000</v>
      </c>
      <c r="J7" t="str">
        <f>"5:92:2"</f>
        <v>5:92:2</v>
      </c>
      <c r="L7">
        <v>360</v>
      </c>
    </row>
    <row r="8" ht="16.5" spans="1:12">
      <c r="A8" s="9">
        <v>15</v>
      </c>
      <c r="B8" s="10">
        <f t="shared" si="0"/>
        <v>290</v>
      </c>
      <c r="C8" s="10">
        <v>140</v>
      </c>
      <c r="D8" s="10">
        <v>5</v>
      </c>
      <c r="E8" s="11">
        <v>2</v>
      </c>
      <c r="F8" s="5">
        <v>5</v>
      </c>
      <c r="G8" s="5">
        <v>51</v>
      </c>
      <c r="H8" s="1">
        <f t="shared" si="1"/>
        <v>18</v>
      </c>
      <c r="I8" s="1">
        <v>3000</v>
      </c>
      <c r="J8" t="str">
        <f>"5:92:3"</f>
        <v>5:92:3</v>
      </c>
      <c r="L8">
        <v>370</v>
      </c>
    </row>
    <row r="9" ht="16.5" spans="1:12">
      <c r="A9" s="9">
        <v>16</v>
      </c>
      <c r="B9" s="10">
        <f t="shared" si="0"/>
        <v>310</v>
      </c>
      <c r="C9" s="10">
        <v>160</v>
      </c>
      <c r="D9" s="10">
        <v>6</v>
      </c>
      <c r="E9" s="11">
        <v>2</v>
      </c>
      <c r="F9" s="5">
        <v>6</v>
      </c>
      <c r="G9" s="5">
        <v>61</v>
      </c>
      <c r="H9" s="1">
        <f t="shared" si="1"/>
        <v>24</v>
      </c>
      <c r="I9" s="1">
        <v>5000</v>
      </c>
      <c r="J9" t="str">
        <f>"5:92:4"</f>
        <v>5:92:4</v>
      </c>
      <c r="L9">
        <v>390</v>
      </c>
    </row>
    <row r="10" ht="16.5" spans="1:12">
      <c r="A10" s="9">
        <v>21</v>
      </c>
      <c r="B10" s="10">
        <f t="shared" si="0"/>
        <v>340</v>
      </c>
      <c r="C10" s="10">
        <v>220</v>
      </c>
      <c r="D10" s="10">
        <v>7</v>
      </c>
      <c r="E10" s="11">
        <v>3</v>
      </c>
      <c r="F10" s="5">
        <v>7</v>
      </c>
      <c r="G10" s="5">
        <v>71</v>
      </c>
      <c r="H10" s="1">
        <f t="shared" si="1"/>
        <v>28</v>
      </c>
      <c r="I10" s="1">
        <v>8000</v>
      </c>
      <c r="J10" t="str">
        <f>"5:93:1"</f>
        <v>5:93:1</v>
      </c>
      <c r="L10">
        <v>430</v>
      </c>
    </row>
    <row r="11" ht="16.5" spans="1:12">
      <c r="A11" s="9">
        <v>22</v>
      </c>
      <c r="B11" s="10">
        <f t="shared" si="0"/>
        <v>360</v>
      </c>
      <c r="C11" s="10">
        <v>240</v>
      </c>
      <c r="D11" s="10">
        <v>8</v>
      </c>
      <c r="E11" s="11">
        <v>3</v>
      </c>
      <c r="F11" s="5">
        <v>8</v>
      </c>
      <c r="G11" s="5">
        <v>81</v>
      </c>
      <c r="H11" s="1">
        <f t="shared" si="1"/>
        <v>32</v>
      </c>
      <c r="I11" s="1">
        <v>12000</v>
      </c>
      <c r="J11" t="str">
        <f>"5:93:1|5:92:2"</f>
        <v>5:93:1|5:92:2</v>
      </c>
      <c r="L11">
        <v>450</v>
      </c>
    </row>
    <row r="12" ht="16.5" spans="1:12">
      <c r="A12" s="9">
        <v>23</v>
      </c>
      <c r="B12" s="10">
        <f t="shared" si="0"/>
        <v>360</v>
      </c>
      <c r="C12" s="10">
        <v>260</v>
      </c>
      <c r="D12" s="10">
        <v>9</v>
      </c>
      <c r="E12" s="11">
        <v>3</v>
      </c>
      <c r="F12" s="5">
        <v>9</v>
      </c>
      <c r="G12" s="5">
        <v>91</v>
      </c>
      <c r="H12" s="1">
        <f t="shared" si="1"/>
        <v>38</v>
      </c>
      <c r="I12" s="1">
        <v>15000</v>
      </c>
      <c r="J12" t="str">
        <f>"5:93:2"</f>
        <v>5:93:2</v>
      </c>
      <c r="L12">
        <v>460</v>
      </c>
    </row>
    <row r="13" ht="16.5" spans="1:12">
      <c r="A13" s="9">
        <v>24</v>
      </c>
      <c r="B13" s="10">
        <f t="shared" si="0"/>
        <v>380</v>
      </c>
      <c r="C13" s="10">
        <v>280</v>
      </c>
      <c r="D13" s="10">
        <v>10</v>
      </c>
      <c r="E13" s="11">
        <v>4</v>
      </c>
      <c r="F13" s="5">
        <v>10</v>
      </c>
      <c r="G13" s="5">
        <v>101</v>
      </c>
      <c r="H13" s="1">
        <f t="shared" si="1"/>
        <v>42</v>
      </c>
      <c r="I13" s="1">
        <v>18000</v>
      </c>
      <c r="J13" t="str">
        <f>"5:93:4"</f>
        <v>5:93:4</v>
      </c>
      <c r="L13">
        <v>480</v>
      </c>
    </row>
    <row r="14" ht="16.5" spans="1:12">
      <c r="A14" s="9">
        <v>25</v>
      </c>
      <c r="B14" s="10">
        <f t="shared" si="0"/>
        <v>390</v>
      </c>
      <c r="C14" s="10">
        <v>300</v>
      </c>
      <c r="D14" s="10">
        <v>10</v>
      </c>
      <c r="E14" s="11">
        <v>4</v>
      </c>
      <c r="F14" s="5">
        <v>11</v>
      </c>
      <c r="G14" s="5"/>
      <c r="H14" s="1"/>
      <c r="I14" s="1"/>
      <c r="L14">
        <v>490</v>
      </c>
    </row>
    <row r="15" ht="16.5" spans="1:12">
      <c r="A15" s="9">
        <v>26</v>
      </c>
      <c r="B15" s="10">
        <f t="shared" si="0"/>
        <v>400</v>
      </c>
      <c r="C15" s="10">
        <v>320</v>
      </c>
      <c r="D15" s="10">
        <v>10</v>
      </c>
      <c r="E15" s="11">
        <v>4</v>
      </c>
      <c r="F15" s="5">
        <v>12</v>
      </c>
      <c r="G15" s="5"/>
      <c r="H15" s="1"/>
      <c r="I15" s="1"/>
      <c r="L15">
        <v>510</v>
      </c>
    </row>
    <row r="16" s="1" customFormat="1" ht="15" customHeight="1" spans="1:12">
      <c r="A16" s="9">
        <v>31</v>
      </c>
      <c r="B16" s="10">
        <f t="shared" si="0"/>
        <v>440</v>
      </c>
      <c r="C16" s="10">
        <v>380</v>
      </c>
      <c r="D16" s="10">
        <v>10</v>
      </c>
      <c r="E16" s="11">
        <v>5</v>
      </c>
      <c r="F16" s="5">
        <v>13</v>
      </c>
      <c r="G16" s="5"/>
      <c r="L16" s="1">
        <v>550</v>
      </c>
    </row>
    <row r="17" s="2" customFormat="1" ht="16.5" spans="1:12">
      <c r="A17" s="9">
        <v>32</v>
      </c>
      <c r="B17" s="10">
        <f t="shared" si="0"/>
        <v>450</v>
      </c>
      <c r="C17" s="10">
        <v>400</v>
      </c>
      <c r="D17" s="10">
        <v>10</v>
      </c>
      <c r="E17" s="11">
        <v>5</v>
      </c>
      <c r="F17" s="5">
        <v>14</v>
      </c>
      <c r="G17" s="5"/>
      <c r="L17" s="2">
        <v>570</v>
      </c>
    </row>
    <row r="18" s="2" customFormat="1" ht="16.5" spans="1:12">
      <c r="A18" s="9">
        <v>33</v>
      </c>
      <c r="B18" s="10">
        <f t="shared" si="0"/>
        <v>460</v>
      </c>
      <c r="C18" s="10">
        <v>420</v>
      </c>
      <c r="D18" s="10">
        <v>10</v>
      </c>
      <c r="E18" s="11">
        <v>5</v>
      </c>
      <c r="F18" s="5">
        <v>15</v>
      </c>
      <c r="G18" s="5"/>
      <c r="L18" s="2">
        <v>580</v>
      </c>
    </row>
    <row r="19" s="2" customFormat="1" ht="16.5" spans="1:12">
      <c r="A19" s="9">
        <v>34</v>
      </c>
      <c r="B19" s="10">
        <f t="shared" si="0"/>
        <v>480</v>
      </c>
      <c r="C19" s="10">
        <v>440</v>
      </c>
      <c r="D19" s="10">
        <v>10</v>
      </c>
      <c r="E19" s="11">
        <v>6</v>
      </c>
      <c r="F19" s="5">
        <v>16</v>
      </c>
      <c r="G19" s="5"/>
      <c r="L19" s="2">
        <v>600</v>
      </c>
    </row>
    <row r="20" s="2" customFormat="1" ht="16.5" spans="1:12">
      <c r="A20" s="9">
        <v>35</v>
      </c>
      <c r="B20" s="10">
        <f t="shared" si="0"/>
        <v>480</v>
      </c>
      <c r="C20" s="10">
        <v>460</v>
      </c>
      <c r="D20" s="10">
        <v>10</v>
      </c>
      <c r="E20" s="11">
        <v>6</v>
      </c>
      <c r="F20" s="5">
        <v>17</v>
      </c>
      <c r="G20" s="5"/>
      <c r="L20" s="2">
        <v>610</v>
      </c>
    </row>
    <row r="21" s="2" customFormat="1" ht="16.5" spans="1:12">
      <c r="A21" s="9">
        <v>36</v>
      </c>
      <c r="B21" s="10">
        <f t="shared" si="0"/>
        <v>490</v>
      </c>
      <c r="C21" s="10">
        <v>480</v>
      </c>
      <c r="D21" s="10">
        <v>10</v>
      </c>
      <c r="E21" s="11">
        <v>6</v>
      </c>
      <c r="F21" s="5">
        <v>18</v>
      </c>
      <c r="G21" s="5"/>
      <c r="L21" s="2">
        <v>620</v>
      </c>
    </row>
    <row r="22" s="2" customFormat="1" ht="16.5" spans="1:12">
      <c r="A22" s="9">
        <v>41</v>
      </c>
      <c r="B22" s="10">
        <f t="shared" si="0"/>
        <v>520</v>
      </c>
      <c r="C22" s="10">
        <v>540</v>
      </c>
      <c r="D22" s="10">
        <v>11</v>
      </c>
      <c r="E22" s="11">
        <v>7</v>
      </c>
      <c r="F22" s="5">
        <v>19</v>
      </c>
      <c r="G22" s="5"/>
      <c r="L22" s="2">
        <v>650</v>
      </c>
    </row>
    <row r="23" s="2" customFormat="1" ht="16.5" spans="1:12">
      <c r="A23" s="9">
        <v>42</v>
      </c>
      <c r="B23" s="10">
        <f t="shared" si="0"/>
        <v>520</v>
      </c>
      <c r="C23" s="10">
        <v>560</v>
      </c>
      <c r="D23" s="10">
        <v>11</v>
      </c>
      <c r="E23" s="11">
        <v>7</v>
      </c>
      <c r="F23" s="5">
        <v>20</v>
      </c>
      <c r="G23" s="5"/>
      <c r="L23" s="2">
        <v>660</v>
      </c>
    </row>
    <row r="24" s="2" customFormat="1" ht="16.5" spans="1:12">
      <c r="A24" s="9">
        <v>43</v>
      </c>
      <c r="B24" s="10">
        <f t="shared" si="0"/>
        <v>530</v>
      </c>
      <c r="C24" s="10">
        <v>580</v>
      </c>
      <c r="D24" s="10">
        <v>11</v>
      </c>
      <c r="E24" s="11">
        <v>8</v>
      </c>
      <c r="F24" s="5">
        <v>21</v>
      </c>
      <c r="G24" s="5"/>
      <c r="L24" s="2">
        <v>670</v>
      </c>
    </row>
    <row r="25" s="2" customFormat="1" ht="16.5" spans="1:12">
      <c r="A25" s="9">
        <v>44</v>
      </c>
      <c r="B25" s="10">
        <f t="shared" si="0"/>
        <v>540</v>
      </c>
      <c r="C25" s="10">
        <v>600</v>
      </c>
      <c r="D25" s="10">
        <v>11</v>
      </c>
      <c r="E25" s="11">
        <v>8</v>
      </c>
      <c r="F25" s="5">
        <v>22</v>
      </c>
      <c r="G25" s="5"/>
      <c r="L25" s="2">
        <v>680</v>
      </c>
    </row>
    <row r="26" s="2" customFormat="1" ht="16.5" spans="1:12">
      <c r="A26" s="9">
        <v>45</v>
      </c>
      <c r="B26" s="10">
        <f t="shared" si="0"/>
        <v>550</v>
      </c>
      <c r="C26" s="10">
        <v>620</v>
      </c>
      <c r="D26" s="10">
        <v>12</v>
      </c>
      <c r="E26" s="11">
        <v>8</v>
      </c>
      <c r="F26" s="5">
        <v>23</v>
      </c>
      <c r="G26" s="5"/>
      <c r="L26" s="2">
        <v>690</v>
      </c>
    </row>
    <row r="27" s="2" customFormat="1" ht="16.5" spans="1:12">
      <c r="A27" s="9">
        <v>46</v>
      </c>
      <c r="B27" s="10">
        <f t="shared" si="0"/>
        <v>560</v>
      </c>
      <c r="C27" s="10">
        <v>640</v>
      </c>
      <c r="D27" s="10">
        <v>12</v>
      </c>
      <c r="E27" s="11">
        <v>9</v>
      </c>
      <c r="F27" s="5">
        <v>24</v>
      </c>
      <c r="G27" s="5"/>
      <c r="L27" s="2">
        <v>700</v>
      </c>
    </row>
    <row r="28" s="2" customFormat="1" ht="16.5" spans="1:12">
      <c r="A28" s="9">
        <v>51</v>
      </c>
      <c r="B28" s="10">
        <f t="shared" si="0"/>
        <v>580</v>
      </c>
      <c r="C28" s="10">
        <v>700</v>
      </c>
      <c r="D28" s="10">
        <v>13</v>
      </c>
      <c r="E28" s="11">
        <v>9</v>
      </c>
      <c r="F28" s="5">
        <v>25</v>
      </c>
      <c r="G28" s="5"/>
      <c r="L28" s="2">
        <v>730</v>
      </c>
    </row>
    <row r="29" s="2" customFormat="1" ht="16.5" spans="1:12">
      <c r="A29" s="9">
        <v>52</v>
      </c>
      <c r="B29" s="10">
        <f t="shared" si="0"/>
        <v>590</v>
      </c>
      <c r="C29" s="10">
        <v>720</v>
      </c>
      <c r="D29" s="10">
        <v>13</v>
      </c>
      <c r="E29" s="11">
        <v>10</v>
      </c>
      <c r="F29" s="5">
        <v>26</v>
      </c>
      <c r="G29" s="5"/>
      <c r="L29" s="2">
        <v>740</v>
      </c>
    </row>
    <row r="30" s="2" customFormat="1" ht="16.5" spans="1:12">
      <c r="A30" s="9">
        <v>53</v>
      </c>
      <c r="B30" s="10">
        <f t="shared" si="0"/>
        <v>600</v>
      </c>
      <c r="C30" s="10">
        <v>740</v>
      </c>
      <c r="D30" s="10">
        <v>14</v>
      </c>
      <c r="E30" s="11">
        <v>10</v>
      </c>
      <c r="F30" s="5">
        <v>27</v>
      </c>
      <c r="G30" s="5"/>
      <c r="H30" s="1"/>
      <c r="I30" s="1"/>
      <c r="L30" s="2">
        <v>750</v>
      </c>
    </row>
    <row r="31" s="2" customFormat="1" ht="16.5" spans="1:12">
      <c r="A31" s="9">
        <v>54</v>
      </c>
      <c r="B31" s="10">
        <f t="shared" si="0"/>
        <v>600</v>
      </c>
      <c r="C31" s="10">
        <v>760</v>
      </c>
      <c r="D31" s="10">
        <v>14</v>
      </c>
      <c r="E31" s="11">
        <v>10</v>
      </c>
      <c r="F31" s="5">
        <v>28</v>
      </c>
      <c r="L31" s="2">
        <v>760</v>
      </c>
    </row>
    <row r="32" s="2" customFormat="1" ht="16.5" spans="1:12">
      <c r="A32" s="9">
        <v>55</v>
      </c>
      <c r="B32" s="10">
        <f t="shared" si="0"/>
        <v>610</v>
      </c>
      <c r="C32" s="10">
        <v>780</v>
      </c>
      <c r="D32" s="10">
        <v>15</v>
      </c>
      <c r="E32" s="11">
        <v>11</v>
      </c>
      <c r="F32" s="5">
        <v>29</v>
      </c>
      <c r="L32" s="2">
        <v>770</v>
      </c>
    </row>
    <row r="33" s="2" customFormat="1" ht="16.5" spans="1:12">
      <c r="A33" s="9">
        <v>56</v>
      </c>
      <c r="B33" s="10">
        <f t="shared" si="0"/>
        <v>620</v>
      </c>
      <c r="C33" s="10">
        <v>800</v>
      </c>
      <c r="D33" s="10">
        <v>15</v>
      </c>
      <c r="E33" s="11">
        <v>11</v>
      </c>
      <c r="F33" s="5">
        <v>30</v>
      </c>
      <c r="L33" s="2">
        <v>780</v>
      </c>
    </row>
    <row r="34" s="2" customFormat="1" ht="16.5" spans="1:12">
      <c r="A34" s="9">
        <v>61</v>
      </c>
      <c r="B34" s="10">
        <f t="shared" si="0"/>
        <v>640</v>
      </c>
      <c r="C34" s="10">
        <v>860</v>
      </c>
      <c r="D34" s="10">
        <v>16</v>
      </c>
      <c r="E34" s="11">
        <v>12</v>
      </c>
      <c r="F34" s="5">
        <v>31</v>
      </c>
      <c r="L34" s="2">
        <v>810</v>
      </c>
    </row>
    <row r="35" s="2" customFormat="1" ht="16.5" spans="1:12">
      <c r="A35" s="9">
        <v>62</v>
      </c>
      <c r="B35" s="10">
        <f t="shared" si="0"/>
        <v>650</v>
      </c>
      <c r="C35" s="10">
        <v>880</v>
      </c>
      <c r="D35" s="10">
        <v>16</v>
      </c>
      <c r="E35" s="11">
        <v>12</v>
      </c>
      <c r="F35" s="5">
        <v>32</v>
      </c>
      <c r="L35" s="2">
        <v>820</v>
      </c>
    </row>
    <row r="36" s="2" customFormat="1" ht="16.5" spans="1:12">
      <c r="A36" s="9">
        <v>63</v>
      </c>
      <c r="B36" s="10">
        <f t="shared" si="0"/>
        <v>660</v>
      </c>
      <c r="C36" s="10">
        <v>900</v>
      </c>
      <c r="D36" s="10">
        <v>17</v>
      </c>
      <c r="E36" s="11">
        <v>12</v>
      </c>
      <c r="F36" s="5">
        <v>33</v>
      </c>
      <c r="L36" s="2">
        <v>830</v>
      </c>
    </row>
    <row r="37" s="2" customFormat="1" ht="16.5" spans="1:12">
      <c r="A37" s="9">
        <v>64</v>
      </c>
      <c r="B37" s="10">
        <f t="shared" ref="B37:B82" si="2">INT(L37*0.08)*10</f>
        <v>670</v>
      </c>
      <c r="C37" s="10">
        <v>920</v>
      </c>
      <c r="D37" s="10">
        <v>17</v>
      </c>
      <c r="E37" s="11">
        <v>13</v>
      </c>
      <c r="F37" s="5">
        <v>34</v>
      </c>
      <c r="L37" s="2">
        <v>840</v>
      </c>
    </row>
    <row r="38" s="2" customFormat="1" ht="16.5" spans="1:12">
      <c r="A38" s="9">
        <v>65</v>
      </c>
      <c r="B38" s="10">
        <f t="shared" si="2"/>
        <v>680</v>
      </c>
      <c r="C38" s="10">
        <v>940</v>
      </c>
      <c r="D38" s="10">
        <v>18</v>
      </c>
      <c r="E38" s="11">
        <v>13</v>
      </c>
      <c r="F38" s="5">
        <v>35</v>
      </c>
      <c r="L38" s="2">
        <v>850</v>
      </c>
    </row>
    <row r="39" s="2" customFormat="1" ht="16.5" spans="1:12">
      <c r="A39" s="9">
        <v>66</v>
      </c>
      <c r="B39" s="10">
        <f t="shared" si="2"/>
        <v>680</v>
      </c>
      <c r="C39" s="10">
        <v>960</v>
      </c>
      <c r="D39" s="10">
        <v>18</v>
      </c>
      <c r="E39" s="11">
        <v>14</v>
      </c>
      <c r="F39" s="5">
        <v>36</v>
      </c>
      <c r="L39" s="2">
        <v>860</v>
      </c>
    </row>
    <row r="40" s="2" customFormat="1" ht="16.5" spans="1:12">
      <c r="A40" s="10">
        <v>71</v>
      </c>
      <c r="B40" s="10">
        <f t="shared" si="2"/>
        <v>710</v>
      </c>
      <c r="C40" s="10">
        <v>1020</v>
      </c>
      <c r="D40" s="10">
        <v>18</v>
      </c>
      <c r="E40" s="11">
        <v>14</v>
      </c>
      <c r="F40" s="5">
        <v>37</v>
      </c>
      <c r="L40" s="2">
        <v>890</v>
      </c>
    </row>
    <row r="41" s="2" customFormat="1" ht="16.5" spans="1:12">
      <c r="A41" s="10">
        <v>72</v>
      </c>
      <c r="B41" s="10">
        <f t="shared" si="2"/>
        <v>720</v>
      </c>
      <c r="C41" s="10">
        <v>1040</v>
      </c>
      <c r="D41" s="10">
        <v>19</v>
      </c>
      <c r="E41" s="11">
        <v>14</v>
      </c>
      <c r="F41" s="5">
        <v>38</v>
      </c>
      <c r="L41" s="2">
        <v>900</v>
      </c>
    </row>
    <row r="42" s="2" customFormat="1" ht="16.5" spans="1:12">
      <c r="A42" s="10">
        <v>73</v>
      </c>
      <c r="B42" s="10">
        <f t="shared" si="2"/>
        <v>720</v>
      </c>
      <c r="C42" s="10">
        <v>1060</v>
      </c>
      <c r="D42" s="10">
        <v>19</v>
      </c>
      <c r="E42" s="11">
        <v>15</v>
      </c>
      <c r="F42" s="5">
        <v>39</v>
      </c>
      <c r="L42" s="2">
        <v>910</v>
      </c>
    </row>
    <row r="43" s="2" customFormat="1" ht="17" customHeight="1" spans="1:12">
      <c r="A43" s="10">
        <v>74</v>
      </c>
      <c r="B43" s="10">
        <f t="shared" si="2"/>
        <v>730</v>
      </c>
      <c r="C43" s="10">
        <v>1080</v>
      </c>
      <c r="D43" s="10">
        <v>19</v>
      </c>
      <c r="E43" s="11">
        <v>15</v>
      </c>
      <c r="F43" s="5">
        <v>40</v>
      </c>
      <c r="L43" s="2">
        <v>920</v>
      </c>
    </row>
    <row r="44" s="2" customFormat="1" ht="17" customHeight="1" spans="1:12">
      <c r="A44" s="10">
        <v>75</v>
      </c>
      <c r="B44" s="10">
        <f t="shared" si="2"/>
        <v>740</v>
      </c>
      <c r="C44" s="10">
        <v>1100</v>
      </c>
      <c r="D44" s="10">
        <v>20</v>
      </c>
      <c r="E44" s="11">
        <v>16</v>
      </c>
      <c r="F44" s="5">
        <v>41</v>
      </c>
      <c r="L44" s="2">
        <v>930</v>
      </c>
    </row>
    <row r="45" s="2" customFormat="1" ht="16.5" spans="1:12">
      <c r="A45" s="10">
        <v>76</v>
      </c>
      <c r="B45" s="10">
        <f t="shared" si="2"/>
        <v>750</v>
      </c>
      <c r="C45" s="10">
        <v>1120</v>
      </c>
      <c r="D45" s="10">
        <v>20</v>
      </c>
      <c r="E45" s="11">
        <v>16</v>
      </c>
      <c r="F45" s="5">
        <v>42</v>
      </c>
      <c r="L45" s="2">
        <v>940</v>
      </c>
    </row>
    <row r="46" ht="16.5" spans="1:12">
      <c r="A46" s="10">
        <v>81</v>
      </c>
      <c r="B46" s="10">
        <f t="shared" si="2"/>
        <v>770</v>
      </c>
      <c r="C46" s="10">
        <v>1180</v>
      </c>
      <c r="D46" s="10">
        <v>20</v>
      </c>
      <c r="E46" s="11">
        <v>16</v>
      </c>
      <c r="F46" s="5">
        <v>43</v>
      </c>
      <c r="L46">
        <v>970</v>
      </c>
    </row>
    <row r="47" ht="16.5" spans="1:12">
      <c r="A47" s="10">
        <v>82</v>
      </c>
      <c r="B47" s="10">
        <f t="shared" si="2"/>
        <v>780</v>
      </c>
      <c r="C47" s="10">
        <v>1200</v>
      </c>
      <c r="D47" s="10">
        <v>21</v>
      </c>
      <c r="E47" s="11">
        <v>17</v>
      </c>
      <c r="F47" s="5">
        <v>44</v>
      </c>
      <c r="L47">
        <v>980</v>
      </c>
    </row>
    <row r="48" ht="16.5" spans="1:12">
      <c r="A48" s="10">
        <v>83</v>
      </c>
      <c r="B48" s="10">
        <f t="shared" si="2"/>
        <v>790</v>
      </c>
      <c r="C48" s="10">
        <v>1220</v>
      </c>
      <c r="D48" s="10">
        <v>21</v>
      </c>
      <c r="E48" s="11">
        <v>17</v>
      </c>
      <c r="F48" s="5">
        <v>45</v>
      </c>
      <c r="L48">
        <v>990</v>
      </c>
    </row>
    <row r="49" ht="16.5" spans="1:12">
      <c r="A49" s="10">
        <v>84</v>
      </c>
      <c r="B49" s="10">
        <f t="shared" si="2"/>
        <v>800</v>
      </c>
      <c r="C49" s="10">
        <v>1240</v>
      </c>
      <c r="D49" s="10">
        <v>21</v>
      </c>
      <c r="E49" s="11">
        <v>18</v>
      </c>
      <c r="F49" s="5">
        <v>46</v>
      </c>
      <c r="L49">
        <v>1000</v>
      </c>
    </row>
    <row r="50" ht="16.5" spans="1:12">
      <c r="A50" s="10">
        <v>85</v>
      </c>
      <c r="B50" s="10">
        <f t="shared" si="2"/>
        <v>800</v>
      </c>
      <c r="C50" s="10">
        <v>1260</v>
      </c>
      <c r="D50" s="10">
        <v>22</v>
      </c>
      <c r="E50" s="11">
        <v>18</v>
      </c>
      <c r="F50" s="5">
        <v>47</v>
      </c>
      <c r="L50">
        <v>1010</v>
      </c>
    </row>
    <row r="51" ht="16.5" spans="1:12">
      <c r="A51" s="10">
        <v>86</v>
      </c>
      <c r="B51" s="10">
        <f t="shared" si="2"/>
        <v>810</v>
      </c>
      <c r="C51" s="10">
        <v>1280</v>
      </c>
      <c r="D51" s="10">
        <v>22</v>
      </c>
      <c r="E51" s="11">
        <v>18</v>
      </c>
      <c r="F51" s="5">
        <v>48</v>
      </c>
      <c r="L51">
        <v>1020</v>
      </c>
    </row>
    <row r="52" ht="16.5" spans="1:12">
      <c r="A52" s="10">
        <v>91</v>
      </c>
      <c r="B52" s="10">
        <f t="shared" si="2"/>
        <v>840</v>
      </c>
      <c r="C52" s="10">
        <v>1340</v>
      </c>
      <c r="D52" s="10">
        <v>22</v>
      </c>
      <c r="E52" s="11">
        <v>19</v>
      </c>
      <c r="F52" s="5">
        <v>49</v>
      </c>
      <c r="L52">
        <v>1050</v>
      </c>
    </row>
    <row r="53" ht="16.5" spans="1:12">
      <c r="A53" s="10">
        <v>92</v>
      </c>
      <c r="B53" s="10">
        <f t="shared" si="2"/>
        <v>840</v>
      </c>
      <c r="C53" s="10">
        <v>1360</v>
      </c>
      <c r="D53" s="10">
        <v>23</v>
      </c>
      <c r="E53" s="11">
        <v>19</v>
      </c>
      <c r="F53" s="5">
        <v>50</v>
      </c>
      <c r="L53">
        <v>1060</v>
      </c>
    </row>
    <row r="54" ht="16.5" spans="1:12">
      <c r="A54" s="10">
        <v>93</v>
      </c>
      <c r="B54" s="10">
        <f t="shared" si="2"/>
        <v>850</v>
      </c>
      <c r="C54" s="10">
        <v>1380</v>
      </c>
      <c r="D54" s="10">
        <v>23</v>
      </c>
      <c r="E54" s="11">
        <v>20</v>
      </c>
      <c r="F54" s="5">
        <v>51</v>
      </c>
      <c r="L54">
        <v>1070</v>
      </c>
    </row>
    <row r="55" ht="16.5" spans="1:12">
      <c r="A55" s="10">
        <v>94</v>
      </c>
      <c r="B55" s="10">
        <f t="shared" si="2"/>
        <v>860</v>
      </c>
      <c r="C55" s="10">
        <v>1400</v>
      </c>
      <c r="D55" s="10">
        <v>23</v>
      </c>
      <c r="E55" s="11">
        <v>20</v>
      </c>
      <c r="F55" s="5">
        <v>52</v>
      </c>
      <c r="L55">
        <v>1080</v>
      </c>
    </row>
    <row r="56" ht="16.5" spans="1:12">
      <c r="A56" s="10">
        <v>95</v>
      </c>
      <c r="B56" s="10">
        <f t="shared" si="2"/>
        <v>870</v>
      </c>
      <c r="C56" s="10">
        <v>1420</v>
      </c>
      <c r="D56" s="10">
        <v>24</v>
      </c>
      <c r="E56" s="11">
        <v>20</v>
      </c>
      <c r="F56" s="5">
        <v>53</v>
      </c>
      <c r="L56">
        <v>1090</v>
      </c>
    </row>
    <row r="57" ht="16.5" spans="1:12">
      <c r="A57" s="10">
        <v>96</v>
      </c>
      <c r="B57" s="10">
        <f t="shared" si="2"/>
        <v>880</v>
      </c>
      <c r="C57" s="10">
        <v>1440</v>
      </c>
      <c r="D57" s="10">
        <v>24</v>
      </c>
      <c r="E57" s="11">
        <v>21</v>
      </c>
      <c r="F57" s="5">
        <v>54</v>
      </c>
      <c r="L57">
        <v>1100</v>
      </c>
    </row>
    <row r="58" ht="16.5" spans="1:12">
      <c r="A58" s="10">
        <v>101</v>
      </c>
      <c r="B58" s="10">
        <f t="shared" si="2"/>
        <v>900</v>
      </c>
      <c r="C58" s="10">
        <v>1500</v>
      </c>
      <c r="D58" s="10">
        <v>24</v>
      </c>
      <c r="E58" s="11">
        <v>21</v>
      </c>
      <c r="F58" s="5">
        <v>55</v>
      </c>
      <c r="L58">
        <v>1125</v>
      </c>
    </row>
    <row r="59" ht="16.5" spans="1:12">
      <c r="A59" s="10">
        <v>102</v>
      </c>
      <c r="B59" s="10">
        <f t="shared" si="2"/>
        <v>900</v>
      </c>
      <c r="C59" s="10">
        <v>1510</v>
      </c>
      <c r="D59" s="10">
        <v>25</v>
      </c>
      <c r="E59" s="11">
        <v>22</v>
      </c>
      <c r="F59" s="5">
        <v>56</v>
      </c>
      <c r="L59">
        <v>1130</v>
      </c>
    </row>
    <row r="60" ht="16.5" spans="1:12">
      <c r="A60" s="10">
        <v>103</v>
      </c>
      <c r="B60" s="10">
        <f t="shared" si="2"/>
        <v>900</v>
      </c>
      <c r="C60" s="10">
        <v>1520</v>
      </c>
      <c r="D60" s="10">
        <v>25</v>
      </c>
      <c r="E60" s="11">
        <v>22</v>
      </c>
      <c r="F60" s="5">
        <v>57</v>
      </c>
      <c r="L60">
        <v>1135</v>
      </c>
    </row>
    <row r="61" ht="16.5" spans="1:12">
      <c r="A61" s="10">
        <v>104</v>
      </c>
      <c r="B61" s="10">
        <f t="shared" si="2"/>
        <v>910</v>
      </c>
      <c r="C61" s="10">
        <v>1530</v>
      </c>
      <c r="D61" s="10">
        <v>25</v>
      </c>
      <c r="E61" s="11">
        <v>23</v>
      </c>
      <c r="F61" s="5">
        <v>58</v>
      </c>
      <c r="L61">
        <v>1140</v>
      </c>
    </row>
    <row r="62" ht="16.5" spans="1:12">
      <c r="A62" s="10">
        <v>105</v>
      </c>
      <c r="B62" s="10">
        <f t="shared" si="2"/>
        <v>910</v>
      </c>
      <c r="C62" s="10">
        <v>1540</v>
      </c>
      <c r="D62" s="10">
        <v>26</v>
      </c>
      <c r="E62" s="11">
        <v>23</v>
      </c>
      <c r="F62" s="5">
        <v>59</v>
      </c>
      <c r="L62">
        <v>1145</v>
      </c>
    </row>
    <row r="63" ht="16.5" spans="1:12">
      <c r="A63" s="10">
        <v>106</v>
      </c>
      <c r="B63" s="10">
        <f t="shared" si="2"/>
        <v>920</v>
      </c>
      <c r="C63" s="10">
        <v>1550</v>
      </c>
      <c r="D63" s="10">
        <v>26</v>
      </c>
      <c r="E63" s="11">
        <v>24</v>
      </c>
      <c r="F63" s="5">
        <v>60</v>
      </c>
      <c r="L63">
        <v>1150</v>
      </c>
    </row>
    <row r="64" ht="16.5" spans="1:12">
      <c r="A64" s="10">
        <v>111</v>
      </c>
      <c r="B64" s="10">
        <f t="shared" si="2"/>
        <v>930</v>
      </c>
      <c r="C64" s="10">
        <v>1580</v>
      </c>
      <c r="D64" s="10">
        <v>26</v>
      </c>
      <c r="E64" s="11">
        <v>24</v>
      </c>
      <c r="F64" s="5">
        <v>61</v>
      </c>
      <c r="L64">
        <v>1165</v>
      </c>
    </row>
    <row r="65" ht="16.5" spans="1:12">
      <c r="A65" s="10">
        <v>112</v>
      </c>
      <c r="B65" s="10">
        <f t="shared" si="2"/>
        <v>930</v>
      </c>
      <c r="C65" s="10">
        <v>1590</v>
      </c>
      <c r="D65" s="10">
        <v>27</v>
      </c>
      <c r="E65" s="11">
        <v>24</v>
      </c>
      <c r="F65" s="5">
        <v>62</v>
      </c>
      <c r="L65">
        <v>1170</v>
      </c>
    </row>
    <row r="66" ht="16.5" spans="1:12">
      <c r="A66" s="10">
        <v>113</v>
      </c>
      <c r="B66" s="10">
        <f t="shared" si="2"/>
        <v>940</v>
      </c>
      <c r="C66" s="10">
        <v>1600</v>
      </c>
      <c r="D66" s="10">
        <v>27</v>
      </c>
      <c r="E66" s="11">
        <v>25</v>
      </c>
      <c r="F66" s="5">
        <v>63</v>
      </c>
      <c r="L66">
        <v>1175</v>
      </c>
    </row>
    <row r="67" ht="16.5" spans="1:12">
      <c r="A67" s="10">
        <v>114</v>
      </c>
      <c r="B67" s="10">
        <f t="shared" si="2"/>
        <v>940</v>
      </c>
      <c r="C67" s="10">
        <v>1610</v>
      </c>
      <c r="D67" s="10">
        <v>27</v>
      </c>
      <c r="E67" s="11">
        <v>25</v>
      </c>
      <c r="F67" s="5">
        <v>64</v>
      </c>
      <c r="L67">
        <v>1180</v>
      </c>
    </row>
    <row r="68" ht="16.5" spans="1:12">
      <c r="A68" s="10">
        <v>115</v>
      </c>
      <c r="B68" s="10">
        <f t="shared" si="2"/>
        <v>940</v>
      </c>
      <c r="C68" s="10">
        <v>1620</v>
      </c>
      <c r="D68" s="10">
        <v>28</v>
      </c>
      <c r="E68" s="11">
        <v>26</v>
      </c>
      <c r="F68" s="5">
        <v>65</v>
      </c>
      <c r="L68">
        <v>1185</v>
      </c>
    </row>
    <row r="69" ht="16.5" spans="1:12">
      <c r="A69" s="10">
        <v>116</v>
      </c>
      <c r="B69" s="10">
        <f t="shared" si="2"/>
        <v>950</v>
      </c>
      <c r="C69" s="10">
        <v>1630</v>
      </c>
      <c r="D69" s="10">
        <v>28</v>
      </c>
      <c r="E69" s="11">
        <v>26</v>
      </c>
      <c r="F69" s="5">
        <v>66</v>
      </c>
      <c r="L69">
        <v>1190</v>
      </c>
    </row>
    <row r="70" ht="16.5" spans="1:12">
      <c r="A70" s="10">
        <v>121</v>
      </c>
      <c r="B70" s="10">
        <f t="shared" si="2"/>
        <v>960</v>
      </c>
      <c r="C70" s="10">
        <v>1660</v>
      </c>
      <c r="D70" s="10">
        <v>28</v>
      </c>
      <c r="E70" s="11">
        <v>26</v>
      </c>
      <c r="F70" s="5">
        <v>67</v>
      </c>
      <c r="L70">
        <v>1205</v>
      </c>
    </row>
    <row r="71" ht="16.5" spans="1:12">
      <c r="A71" s="10">
        <v>122</v>
      </c>
      <c r="B71" s="10">
        <f t="shared" si="2"/>
        <v>960</v>
      </c>
      <c r="C71" s="10">
        <v>1670</v>
      </c>
      <c r="D71" s="10">
        <v>29</v>
      </c>
      <c r="E71" s="11">
        <v>27</v>
      </c>
      <c r="F71" s="5">
        <v>68</v>
      </c>
      <c r="L71">
        <v>1210</v>
      </c>
    </row>
    <row r="72" ht="16.5" spans="1:12">
      <c r="A72" s="10">
        <v>123</v>
      </c>
      <c r="B72" s="10">
        <f t="shared" si="2"/>
        <v>970</v>
      </c>
      <c r="C72" s="10">
        <v>1680</v>
      </c>
      <c r="D72" s="10">
        <v>29</v>
      </c>
      <c r="E72" s="11">
        <v>27</v>
      </c>
      <c r="F72" s="5">
        <v>69</v>
      </c>
      <c r="L72">
        <v>1215</v>
      </c>
    </row>
    <row r="73" ht="16.5" spans="1:12">
      <c r="A73" s="10">
        <v>124</v>
      </c>
      <c r="B73" s="10">
        <f t="shared" si="2"/>
        <v>970</v>
      </c>
      <c r="C73" s="10">
        <v>1690</v>
      </c>
      <c r="D73" s="10">
        <v>29</v>
      </c>
      <c r="E73" s="11">
        <v>28</v>
      </c>
      <c r="F73" s="5">
        <v>70</v>
      </c>
      <c r="L73">
        <v>1220</v>
      </c>
    </row>
    <row r="74" ht="16.5" spans="1:12">
      <c r="A74" s="10">
        <v>125</v>
      </c>
      <c r="B74" s="10">
        <f t="shared" si="2"/>
        <v>980</v>
      </c>
      <c r="C74" s="10">
        <v>1700</v>
      </c>
      <c r="D74" s="10">
        <v>30</v>
      </c>
      <c r="E74" s="11">
        <v>29</v>
      </c>
      <c r="F74" s="5">
        <v>71</v>
      </c>
      <c r="L74">
        <v>1225</v>
      </c>
    </row>
    <row r="75" ht="16.5" spans="1:12">
      <c r="A75" s="10">
        <v>126</v>
      </c>
      <c r="B75" s="10">
        <f t="shared" si="2"/>
        <v>980</v>
      </c>
      <c r="C75" s="10">
        <v>1710</v>
      </c>
      <c r="D75" s="10">
        <v>30</v>
      </c>
      <c r="E75" s="11">
        <v>30</v>
      </c>
      <c r="F75" s="5">
        <v>72</v>
      </c>
      <c r="L75">
        <v>1230</v>
      </c>
    </row>
    <row r="76" ht="16.5" spans="1:12">
      <c r="A76" s="10">
        <v>131</v>
      </c>
      <c r="B76" s="10">
        <f t="shared" si="2"/>
        <v>980</v>
      </c>
      <c r="C76" s="10">
        <v>1740</v>
      </c>
      <c r="D76" s="10">
        <v>31</v>
      </c>
      <c r="E76" s="11">
        <v>30</v>
      </c>
      <c r="F76" s="5">
        <v>73</v>
      </c>
      <c r="L76">
        <v>1235</v>
      </c>
    </row>
    <row r="77" ht="16.5" spans="1:12">
      <c r="A77" s="10">
        <v>132</v>
      </c>
      <c r="B77" s="10">
        <f t="shared" si="2"/>
        <v>990</v>
      </c>
      <c r="C77" s="10">
        <v>1770</v>
      </c>
      <c r="D77" s="10">
        <v>32</v>
      </c>
      <c r="E77" s="11">
        <v>31</v>
      </c>
      <c r="F77" s="5">
        <v>68</v>
      </c>
      <c r="L77">
        <v>1240</v>
      </c>
    </row>
    <row r="78" ht="16.5" spans="1:12">
      <c r="A78" s="10">
        <v>133</v>
      </c>
      <c r="B78" s="10">
        <f t="shared" si="2"/>
        <v>990</v>
      </c>
      <c r="C78" s="10">
        <v>1800</v>
      </c>
      <c r="D78" s="10">
        <v>33</v>
      </c>
      <c r="E78" s="11">
        <v>31</v>
      </c>
      <c r="F78" s="5">
        <v>69</v>
      </c>
      <c r="L78">
        <v>1245</v>
      </c>
    </row>
    <row r="79" ht="16.5" spans="1:12">
      <c r="A79" s="10">
        <v>134</v>
      </c>
      <c r="B79" s="10">
        <f t="shared" si="2"/>
        <v>1000</v>
      </c>
      <c r="C79" s="10">
        <v>1830</v>
      </c>
      <c r="D79" s="10">
        <v>34</v>
      </c>
      <c r="E79" s="11">
        <v>32</v>
      </c>
      <c r="F79" s="5">
        <v>70</v>
      </c>
      <c r="L79">
        <v>1250</v>
      </c>
    </row>
    <row r="80" ht="16.5" spans="1:12">
      <c r="A80" s="10">
        <v>135</v>
      </c>
      <c r="B80" s="10">
        <f t="shared" si="2"/>
        <v>1000</v>
      </c>
      <c r="C80" s="10">
        <v>1860</v>
      </c>
      <c r="D80" s="10">
        <v>35</v>
      </c>
      <c r="E80" s="11">
        <v>32</v>
      </c>
      <c r="F80" s="5">
        <v>71</v>
      </c>
      <c r="L80">
        <v>1255</v>
      </c>
    </row>
    <row r="81" ht="16.5" spans="1:12">
      <c r="A81" s="10">
        <v>136</v>
      </c>
      <c r="B81" s="10">
        <f t="shared" si="2"/>
        <v>1000</v>
      </c>
      <c r="C81" s="10">
        <v>1890</v>
      </c>
      <c r="D81" s="10">
        <v>35</v>
      </c>
      <c r="E81" s="11">
        <v>33</v>
      </c>
      <c r="F81" s="5">
        <v>72</v>
      </c>
      <c r="L81">
        <v>1260</v>
      </c>
    </row>
    <row r="82" ht="16.5" spans="1:12">
      <c r="A82" s="12">
        <v>141</v>
      </c>
      <c r="B82" s="10">
        <f t="shared" si="2"/>
        <v>1010</v>
      </c>
      <c r="C82" s="10">
        <v>1910</v>
      </c>
      <c r="D82" s="10">
        <v>36</v>
      </c>
      <c r="E82" s="11">
        <v>33</v>
      </c>
      <c r="F82" s="5">
        <v>73</v>
      </c>
      <c r="L82">
        <v>1265</v>
      </c>
    </row>
    <row r="83" ht="16.5" spans="1:12">
      <c r="A83" s="12">
        <v>142</v>
      </c>
      <c r="B83" s="10">
        <f t="shared" ref="B83:B88" si="3">INT(L83*0.08)*10</f>
        <v>1010</v>
      </c>
      <c r="C83" s="10">
        <v>1930</v>
      </c>
      <c r="D83" s="10">
        <v>36</v>
      </c>
      <c r="E83" s="11">
        <v>34</v>
      </c>
      <c r="F83" s="5">
        <v>74</v>
      </c>
      <c r="L83">
        <v>1270</v>
      </c>
    </row>
    <row r="84" ht="16.5" spans="1:12">
      <c r="A84" s="12">
        <v>143</v>
      </c>
      <c r="B84" s="10">
        <f t="shared" si="3"/>
        <v>1020</v>
      </c>
      <c r="C84" s="10">
        <v>1950</v>
      </c>
      <c r="D84" s="10">
        <v>37</v>
      </c>
      <c r="E84" s="11">
        <v>35</v>
      </c>
      <c r="F84" s="5">
        <v>75</v>
      </c>
      <c r="L84">
        <v>1275</v>
      </c>
    </row>
    <row r="85" ht="16.5" spans="1:12">
      <c r="A85" s="12">
        <v>144</v>
      </c>
      <c r="B85" s="10">
        <f t="shared" si="3"/>
        <v>1020</v>
      </c>
      <c r="C85" s="10">
        <v>1970</v>
      </c>
      <c r="D85" s="10">
        <v>37</v>
      </c>
      <c r="E85" s="11">
        <v>36</v>
      </c>
      <c r="F85" s="5">
        <v>76</v>
      </c>
      <c r="L85">
        <v>1280</v>
      </c>
    </row>
    <row r="86" ht="16.5" spans="1:12">
      <c r="A86" s="12">
        <v>145</v>
      </c>
      <c r="B86" s="10">
        <f t="shared" si="3"/>
        <v>1020</v>
      </c>
      <c r="C86" s="10">
        <v>1990</v>
      </c>
      <c r="D86" s="10">
        <v>38</v>
      </c>
      <c r="E86" s="11">
        <v>36</v>
      </c>
      <c r="F86" s="5">
        <v>77</v>
      </c>
      <c r="L86">
        <v>1285</v>
      </c>
    </row>
    <row r="87" ht="16.5" spans="1:12">
      <c r="A87" s="12">
        <v>146</v>
      </c>
      <c r="B87" s="10">
        <f t="shared" si="3"/>
        <v>1030</v>
      </c>
      <c r="C87" s="10">
        <v>2010</v>
      </c>
      <c r="D87" s="10">
        <v>38</v>
      </c>
      <c r="E87" s="11">
        <v>37</v>
      </c>
      <c r="F87" s="5">
        <v>78</v>
      </c>
      <c r="L87">
        <v>1290</v>
      </c>
    </row>
    <row r="88" ht="16.5" spans="1:12">
      <c r="A88" s="12">
        <v>151</v>
      </c>
      <c r="B88" s="10">
        <f t="shared" si="3"/>
        <v>1030</v>
      </c>
      <c r="C88" s="10">
        <v>2030</v>
      </c>
      <c r="D88" s="10">
        <v>39</v>
      </c>
      <c r="E88" s="11">
        <v>37</v>
      </c>
      <c r="F88" s="5">
        <v>79</v>
      </c>
      <c r="L88">
        <v>1295</v>
      </c>
    </row>
    <row r="89" ht="16.5" spans="1:12">
      <c r="A89" s="12">
        <v>152</v>
      </c>
      <c r="B89" s="10">
        <f t="shared" ref="B89:B94" si="4">INT(L89*0.08)*10</f>
        <v>1040</v>
      </c>
      <c r="C89" s="10">
        <v>2050</v>
      </c>
      <c r="D89" s="10">
        <v>39</v>
      </c>
      <c r="E89" s="11">
        <v>38</v>
      </c>
      <c r="F89" s="5">
        <v>80</v>
      </c>
      <c r="L89">
        <v>1300</v>
      </c>
    </row>
    <row r="90" ht="16.5" spans="1:12">
      <c r="A90" s="12">
        <v>153</v>
      </c>
      <c r="B90" s="10">
        <f t="shared" si="4"/>
        <v>1040</v>
      </c>
      <c r="C90" s="10">
        <v>2070</v>
      </c>
      <c r="D90" s="10">
        <v>40</v>
      </c>
      <c r="E90" s="11">
        <v>38</v>
      </c>
      <c r="F90" s="5">
        <v>81</v>
      </c>
      <c r="L90">
        <v>1305</v>
      </c>
    </row>
    <row r="91" ht="16.5" spans="1:12">
      <c r="A91" s="12">
        <v>154</v>
      </c>
      <c r="B91" s="10">
        <f t="shared" si="4"/>
        <v>1040</v>
      </c>
      <c r="C91" s="10">
        <v>2090</v>
      </c>
      <c r="D91" s="10">
        <v>40</v>
      </c>
      <c r="E91" s="11">
        <v>39</v>
      </c>
      <c r="F91" s="5">
        <v>82</v>
      </c>
      <c r="L91">
        <v>1310</v>
      </c>
    </row>
    <row r="92" ht="16.5" spans="1:12">
      <c r="A92" s="12">
        <v>155</v>
      </c>
      <c r="B92" s="10">
        <f t="shared" si="4"/>
        <v>1050</v>
      </c>
      <c r="C92" s="10">
        <v>2110</v>
      </c>
      <c r="D92" s="10">
        <v>41</v>
      </c>
      <c r="E92" s="11">
        <v>39</v>
      </c>
      <c r="F92" s="5">
        <v>83</v>
      </c>
      <c r="L92">
        <v>1315</v>
      </c>
    </row>
    <row r="93" ht="16.5" spans="1:12">
      <c r="A93" s="12">
        <v>156</v>
      </c>
      <c r="B93" s="10">
        <f t="shared" si="4"/>
        <v>1050</v>
      </c>
      <c r="C93" s="10">
        <v>2130</v>
      </c>
      <c r="D93" s="10">
        <v>41</v>
      </c>
      <c r="E93" s="11">
        <v>40</v>
      </c>
      <c r="F93" s="5">
        <v>84</v>
      </c>
      <c r="L93">
        <v>1320</v>
      </c>
    </row>
    <row r="94" ht="16.5" spans="1:12">
      <c r="A94" s="12">
        <v>161</v>
      </c>
      <c r="B94" s="10">
        <f t="shared" si="4"/>
        <v>1060</v>
      </c>
      <c r="C94" s="10">
        <v>2150</v>
      </c>
      <c r="D94" s="10">
        <v>41</v>
      </c>
      <c r="E94" s="11">
        <v>40</v>
      </c>
      <c r="F94" s="5">
        <v>85</v>
      </c>
      <c r="L94">
        <v>1325</v>
      </c>
    </row>
    <row r="99" spans="1:5">
      <c r="A99" s="10"/>
      <c r="B99" s="10"/>
      <c r="C99" s="10"/>
      <c r="D99" s="10"/>
      <c r="E99" s="11"/>
    </row>
    <row r="101" spans="5:5">
      <c r="E101" s="13"/>
    </row>
    <row r="102" spans="5:5">
      <c r="E102" s="13"/>
    </row>
    <row r="103" spans="5:5">
      <c r="E103" s="13"/>
    </row>
    <row r="104" spans="5:5">
      <c r="E104" s="13"/>
    </row>
    <row r="105" spans="5:5">
      <c r="E105" s="13"/>
    </row>
    <row r="106" spans="5:5">
      <c r="E106" s="13"/>
    </row>
    <row r="107" spans="5:5">
      <c r="E107" s="13"/>
    </row>
    <row r="108" spans="5:5">
      <c r="E108" s="13"/>
    </row>
    <row r="109" spans="5:5">
      <c r="E109" s="13"/>
    </row>
    <row r="110" spans="5:5">
      <c r="E110" s="13"/>
    </row>
    <row r="111" spans="5:5">
      <c r="E111" s="13"/>
    </row>
    <row r="112" spans="5:5">
      <c r="E112" s="13"/>
    </row>
    <row r="113" spans="5:5">
      <c r="E113" s="13"/>
    </row>
    <row r="114" spans="5:5">
      <c r="E114" s="13"/>
    </row>
    <row r="115" spans="5:5">
      <c r="E115" s="13"/>
    </row>
    <row r="116" spans="5:5">
      <c r="E116" s="13"/>
    </row>
    <row r="117" spans="5:5">
      <c r="E117" s="13"/>
    </row>
    <row r="118" spans="5:5">
      <c r="E118" s="13"/>
    </row>
    <row r="119" spans="5:5">
      <c r="E119" s="14"/>
    </row>
    <row r="120" spans="5:5">
      <c r="E120" s="14"/>
    </row>
    <row r="121" spans="5:5">
      <c r="E121" s="14"/>
    </row>
    <row r="122" spans="5:5">
      <c r="E122" s="14"/>
    </row>
    <row r="123" spans="5:5">
      <c r="E123" s="14"/>
    </row>
    <row r="124" spans="5:5">
      <c r="E124" s="14"/>
    </row>
    <row r="125" spans="5:5">
      <c r="E125" s="14"/>
    </row>
    <row r="126" spans="5:5">
      <c r="E126" s="14"/>
    </row>
    <row r="127" spans="5:5">
      <c r="E127" s="14"/>
    </row>
    <row r="128" spans="5:5">
      <c r="E128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" sqref="B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" sqref="B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XunLianChang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2021-11-18T08:00:00Z</dcterms:created>
  <dcterms:modified xsi:type="dcterms:W3CDTF">2024-06-18T06:33:01Z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4570E3E8A45749C2A9C6CE46157FABC1</vt:lpwstr>
  </property>
  <property fmtid="{D5CDD505-2E9C-101B-9397-08002B2CF9AE}" pid="3" name="KSOProductBuildVer">
    <vt:lpwstr>2052-12.1.0.17133</vt:lpwstr>
  </property>
</Properties>
</file>