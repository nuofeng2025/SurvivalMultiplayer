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Item" sheetId="8" r:id="rId1"/>
    <sheet name="连接表" sheetId="10" r:id="rId2"/>
    <sheet name="Sheet1" sheetId="9" r:id="rId3"/>
  </sheets>
  <definedNames>
    <definedName name="_xlnm._FilterDatabase" localSheetId="0" hidden="1">Item!$A$3:$Q$348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  <author>Administrator</author>
  </authors>
  <commentList>
    <comment ref="D1" authorId="0">
      <text>
        <r>
          <rPr>
            <sz val="9"/>
            <rFont val="宋体"/>
            <charset val="134"/>
          </rPr>
          <t>1: 白
2: 蓝
3: 紫
4：橙
只有SR及以上才携带装备技能</t>
        </r>
      </text>
    </comment>
    <comment ref="Q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是否附带buff效果
</t>
        </r>
      </text>
    </comment>
  </commentList>
</comments>
</file>

<file path=xl/comments2.xml><?xml version="1.0" encoding="utf-8"?>
<comments xmlns="http://schemas.openxmlformats.org/spreadsheetml/2006/main">
  <authors>
    <author>NINGMEI</author>
    <author>Administrator</author>
  </authors>
  <commentList>
    <comment ref="D1" authorId="0">
      <text>
        <r>
          <rPr>
            <sz val="9"/>
            <rFont val="宋体"/>
            <charset val="134"/>
          </rPr>
          <t>1: 白
2: 蓝
3: 紫
4：橙
只有SR及以上才携带装备技能</t>
        </r>
      </text>
    </comment>
    <comment ref="Q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是否附带buff效果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是否附带buff效果
</t>
        </r>
      </text>
    </comment>
  </commentList>
</comments>
</file>

<file path=xl/sharedStrings.xml><?xml version="1.0" encoding="utf-8"?>
<sst xmlns="http://schemas.openxmlformats.org/spreadsheetml/2006/main" count="2381" uniqueCount="1170">
  <si>
    <t>ID</t>
  </si>
  <si>
    <t>Name</t>
  </si>
  <si>
    <t>Conditiontext</t>
  </si>
  <si>
    <t>Quality</t>
  </si>
  <si>
    <t>Star</t>
  </si>
  <si>
    <t>Icon</t>
  </si>
  <si>
    <t>Type</t>
  </si>
  <si>
    <t>Type2</t>
  </si>
  <si>
    <t>Type3</t>
  </si>
  <si>
    <t>Ids</t>
  </si>
  <si>
    <t>Effect</t>
  </si>
  <si>
    <t>Bagshow</t>
  </si>
  <si>
    <t>Overlap</t>
  </si>
  <si>
    <t>Used</t>
  </si>
  <si>
    <t>Usedlv</t>
  </si>
  <si>
    <t>PowerLimit</t>
  </si>
  <si>
    <t>EquipSkill</t>
  </si>
  <si>
    <t>tracking</t>
  </si>
  <si>
    <t>Fighting</t>
  </si>
  <si>
    <t>int</t>
  </si>
  <si>
    <t>string</t>
  </si>
  <si>
    <t>id</t>
  </si>
  <si>
    <t>名字</t>
  </si>
  <si>
    <t>文本说明</t>
  </si>
  <si>
    <t>品质</t>
  </si>
  <si>
    <t>装备初始星级</t>
  </si>
  <si>
    <t>图标</t>
  </si>
  <si>
    <t>1道具/2装备</t>
  </si>
  <si>
    <t>道具:1道具2材料3碎片4消耗5英雄经验6随机碎片|装备:3武器4护甲5鞋子2饰品</t>
  </si>
  <si>
    <t>职业划分：1物理2法术（区分装备部位类型，对应职业可以装备部位）</t>
  </si>
  <si>
    <t>使用道具获得另外道具（后端处理）</t>
  </si>
  <si>
    <t>特殊效果</t>
  </si>
  <si>
    <t>0不显示背包1显示背包</t>
  </si>
  <si>
    <t>是否叠放</t>
  </si>
  <si>
    <t>是否可使用</t>
  </si>
  <si>
    <t>使用等级</t>
  </si>
  <si>
    <t>1武将生命2武将攻击3武将防御|4武将智力|5移速|6射程|7攻速|8减伤|9增伤|10技能增伤|11技能减伤|12暴击|13暴击伤害14吸血|15晕击|16暴击抵抗|17爆伤抵抗|18闪避|19命中|20反伤|21真实伤害|22部队生命|23部队攻击|24部队防御|25武将生命恢复|26部队生命恢复</t>
  </si>
  <si>
    <t>装备技能</t>
  </si>
  <si>
    <t>是否埋点</t>
  </si>
  <si>
    <t>战力附加</t>
  </si>
  <si>
    <t>钻石</t>
  </si>
  <si>
    <t>珍贵的货币，一般购买道具</t>
  </si>
  <si>
    <t>CaiZhuang</t>
  </si>
  <si>
    <t>金币</t>
  </si>
  <si>
    <t>常见的货币，一般强化装备</t>
  </si>
  <si>
    <t>JinBi</t>
  </si>
  <si>
    <t>体力</t>
  </si>
  <si>
    <t>玩家的体力，主要用于挑战关卡和副本</t>
  </si>
  <si>
    <t>TiLi-01</t>
  </si>
  <si>
    <t>技能点</t>
  </si>
  <si>
    <t>道具说明</t>
  </si>
  <si>
    <t>黑晶石</t>
  </si>
  <si>
    <t>玩家经验</t>
  </si>
  <si>
    <t>EXP</t>
  </si>
  <si>
    <t>英雄经验</t>
  </si>
  <si>
    <t>入场券</t>
  </si>
  <si>
    <t>招募券</t>
  </si>
  <si>
    <t>符石</t>
  </si>
  <si>
    <t>新手召唤券</t>
  </si>
  <si>
    <t>珍贵的抽奖券，可以在新手召唤中召唤英雄</t>
  </si>
  <si>
    <t>ChouKaZhaoHuanQuan-01</t>
  </si>
  <si>
    <t>高级召唤券</t>
  </si>
  <si>
    <t>珍贵的抽奖券，可以在高级召唤中召唤英雄</t>
  </si>
  <si>
    <t>ChouKaZhaoHuanQuan-02</t>
  </si>
  <si>
    <t>限定召唤券</t>
  </si>
  <si>
    <t>珍贵的抽奖券，可以在限定召唤中召唤英雄</t>
  </si>
  <si>
    <t>ChouKaZhaoHuanQuan-03</t>
  </si>
  <si>
    <t>科技点</t>
  </si>
  <si>
    <t>用于提升科技，可以在关卡通关获得</t>
  </si>
  <si>
    <t>KeJiDian</t>
  </si>
  <si>
    <t>金矿</t>
  </si>
  <si>
    <t>用于战斗中建造建筑，购买英雄和士兵</t>
  </si>
  <si>
    <t>Jinkuang</t>
  </si>
  <si>
    <t>战斗经验</t>
  </si>
  <si>
    <t>战斗中提升英雄等级</t>
  </si>
  <si>
    <t>木戒指</t>
  </si>
  <si>
    <t>equip_wl_sp001</t>
  </si>
  <si>
    <t>铁戒指</t>
  </si>
  <si>
    <t>equip_wl_sp002</t>
  </si>
  <si>
    <t>银戒指</t>
  </si>
  <si>
    <t>equip_wl_sp003</t>
  </si>
  <si>
    <t>2|20</t>
  </si>
  <si>
    <t>金戒指</t>
  </si>
  <si>
    <t>equip_wl_sp004</t>
  </si>
  <si>
    <t>2|2|2|1</t>
  </si>
  <si>
    <t>青铜戒指</t>
  </si>
  <si>
    <t>equip_wl_sp005</t>
  </si>
  <si>
    <t>2|2|2|1|20</t>
  </si>
  <si>
    <t>无常戒</t>
  </si>
  <si>
    <t>2|2|2|1|15</t>
  </si>
  <si>
    <t>魔法戒指</t>
  </si>
  <si>
    <t>2|2|2|1|20|21</t>
  </si>
  <si>
    <t>冥想戒指</t>
  </si>
  <si>
    <t>2|2|2|1|15|21</t>
  </si>
  <si>
    <t>精灵石戒</t>
  </si>
  <si>
    <t>2|2|2|1|1|20</t>
  </si>
  <si>
    <t>无道戒</t>
  </si>
  <si>
    <t>2|2|2|2|1|15</t>
  </si>
  <si>
    <t>青龙戒</t>
  </si>
  <si>
    <t>2|2|2|2|1|1|11</t>
  </si>
  <si>
    <t>铜雀戒</t>
  </si>
  <si>
    <t>2|2|1|2|2|1|14|15</t>
  </si>
  <si>
    <t>冰玉戒</t>
  </si>
  <si>
    <t>2|2|1|2|2|1|15|21</t>
  </si>
  <si>
    <t>炎玉戒</t>
  </si>
  <si>
    <t>2|2|1|2|2|1|15|20</t>
  </si>
  <si>
    <t>翡翠戒</t>
  </si>
  <si>
    <t>2|2|1|2|2|1|14|20</t>
  </si>
  <si>
    <t>龙牙</t>
  </si>
  <si>
    <t>2|2|1|2|2|1|14|21</t>
  </si>
  <si>
    <t>护身戒指</t>
  </si>
  <si>
    <t>2|2|1|2|2|1|1|20|21</t>
  </si>
  <si>
    <t>玄武戒</t>
  </si>
  <si>
    <t>2|2|1|2|2|1|1|15|21</t>
  </si>
  <si>
    <t>白虎戒</t>
  </si>
  <si>
    <t>2|2|1|2|2|1|1|15|20</t>
  </si>
  <si>
    <t>麒麟戒</t>
  </si>
  <si>
    <t>2|2|1|2|2|1|1|14|20</t>
  </si>
  <si>
    <t>神龙戒</t>
  </si>
  <si>
    <t>2|2|1|2|2|1|1|14|15</t>
  </si>
  <si>
    <t>凤凰戒</t>
  </si>
  <si>
    <t>2|2|1|2|2|1|1|14|21</t>
  </si>
  <si>
    <t>损坏的项链</t>
  </si>
  <si>
    <t>破旧的项链</t>
  </si>
  <si>
    <t>绿石项链</t>
  </si>
  <si>
    <t>4|4|4|22</t>
  </si>
  <si>
    <t>红石项链</t>
  </si>
  <si>
    <t>4|4|4|10</t>
  </si>
  <si>
    <t>绿翡翠项链</t>
  </si>
  <si>
    <t>4|4|4|10|24</t>
  </si>
  <si>
    <t>红宝石项链</t>
  </si>
  <si>
    <t>4|4|4|10|23</t>
  </si>
  <si>
    <t>黑公项链</t>
  </si>
  <si>
    <t>4|4|4|10|22</t>
  </si>
  <si>
    <t>绿影项链</t>
  </si>
  <si>
    <t>4|4|4|10|14|23</t>
  </si>
  <si>
    <t>福禄项链</t>
  </si>
  <si>
    <t>4|4|4|10|22|23</t>
  </si>
  <si>
    <t>士兵吊坠</t>
  </si>
  <si>
    <t>4|4|4|10|22|24</t>
  </si>
  <si>
    <t>血石之泪</t>
  </si>
  <si>
    <t>4|4|4|10|14|22</t>
  </si>
  <si>
    <t>天空之心</t>
  </si>
  <si>
    <t>4|4|4|10|10|22|24</t>
  </si>
  <si>
    <t>海洋之心</t>
  </si>
  <si>
    <t>闪电项链</t>
  </si>
  <si>
    <t>4|4|4|10|10|14|24</t>
  </si>
  <si>
    <t>将军项链</t>
  </si>
  <si>
    <t>4|4|4|10|10|22|23</t>
  </si>
  <si>
    <t>皇家项链</t>
  </si>
  <si>
    <t>4|4|4|4|10|14|23</t>
  </si>
  <si>
    <t>护身符</t>
  </si>
  <si>
    <t>4|4|4|4|10|10|23|24</t>
  </si>
  <si>
    <t>白虎项链</t>
  </si>
  <si>
    <t>4|4|4|4|10|10|14|24</t>
  </si>
  <si>
    <t>天使项链</t>
  </si>
  <si>
    <t>4|4|4|1|4|1|22|14</t>
  </si>
  <si>
    <t>死灵项链</t>
  </si>
  <si>
    <t>4|4|4|1|4|1|22|24</t>
  </si>
  <si>
    <t>生命挂件</t>
  </si>
  <si>
    <t>4|4|4|1|4|1|22|23</t>
  </si>
  <si>
    <t>时空怀表</t>
  </si>
  <si>
    <t>残破短刀</t>
  </si>
  <si>
    <t>equip_wl_wq001</t>
  </si>
  <si>
    <t>学徒法杖</t>
  </si>
  <si>
    <t>equip_wl_wq002</t>
  </si>
  <si>
    <t>生锈魔杖</t>
  </si>
  <si>
    <t>equip_wl_wq003</t>
  </si>
  <si>
    <t>2|9</t>
  </si>
  <si>
    <t>木制法杖</t>
  </si>
  <si>
    <t>equip_wl_wq004</t>
  </si>
  <si>
    <t>2|6</t>
  </si>
  <si>
    <t>古老法杖</t>
  </si>
  <si>
    <t>equip_wl_wq005</t>
  </si>
  <si>
    <t>2|2|12</t>
  </si>
  <si>
    <t>铁剑</t>
  </si>
  <si>
    <t>equip_wl_wq006</t>
  </si>
  <si>
    <t>2|2|7</t>
  </si>
  <si>
    <t>训练战斧</t>
  </si>
  <si>
    <t>equip_wl_wq007</t>
  </si>
  <si>
    <t>2|2|9</t>
  </si>
  <si>
    <t>精致匕首</t>
  </si>
  <si>
    <t>equip_wl_wq008</t>
  </si>
  <si>
    <t>2|2|2|12</t>
  </si>
  <si>
    <t>王者之剑</t>
  </si>
  <si>
    <t>equip_wl_wq009</t>
  </si>
  <si>
    <t>2|2|2|9</t>
  </si>
  <si>
    <t>国王之锤</t>
  </si>
  <si>
    <t>2|2|2|7</t>
  </si>
  <si>
    <t>暴风大剑</t>
  </si>
  <si>
    <t>2|2|2|6</t>
  </si>
  <si>
    <t>崭新魔杖</t>
  </si>
  <si>
    <t>2|2|2|7|12</t>
  </si>
  <si>
    <t>细剑</t>
  </si>
  <si>
    <t>2|2|2|7|9</t>
  </si>
  <si>
    <t>巨剑</t>
  </si>
  <si>
    <t>2|2|2|6|12</t>
  </si>
  <si>
    <t>稀有法杖</t>
  </si>
  <si>
    <t>2|2|2|6|7</t>
  </si>
  <si>
    <t>黑绿法杖</t>
  </si>
  <si>
    <t>2|2|2|9|12</t>
  </si>
  <si>
    <t>平衡法杖</t>
  </si>
  <si>
    <t>2|2|2|6|7|9</t>
  </si>
  <si>
    <t>单手饰剑</t>
  </si>
  <si>
    <t>2|2|2|7|9|12</t>
  </si>
  <si>
    <t>暗鸦魔杖</t>
  </si>
  <si>
    <t>2|2|2|7|9|13</t>
  </si>
  <si>
    <t>古丹战锤</t>
  </si>
  <si>
    <t>2|2|2|9|12|13</t>
  </si>
  <si>
    <t>震天锤</t>
  </si>
  <si>
    <t>2|2|2|7|12|13</t>
  </si>
  <si>
    <t>自然法杖</t>
  </si>
  <si>
    <t>2|2|2|6|7|12</t>
  </si>
  <si>
    <t>战国宝剑</t>
  </si>
  <si>
    <t>2|2|2|6|7|13</t>
  </si>
  <si>
    <t>泰坦之剑</t>
  </si>
  <si>
    <t>大法师杖</t>
  </si>
  <si>
    <t>2|2|2|6|9|12</t>
  </si>
  <si>
    <t>领袖之枪</t>
  </si>
  <si>
    <t>2|2|2|6|9|13</t>
  </si>
  <si>
    <t>华丽法杖</t>
  </si>
  <si>
    <t>2|2|2|6|7|12|13</t>
  </si>
  <si>
    <t>雕文法杖</t>
  </si>
  <si>
    <t>2|2|2|6|7|9|12</t>
  </si>
  <si>
    <t>减速法杖</t>
  </si>
  <si>
    <t>2|2|2|6|9|12|13</t>
  </si>
  <si>
    <t>巨战法杖</t>
  </si>
  <si>
    <t>2|2|2|6|7|9|13</t>
  </si>
  <si>
    <t>怒牙法杖</t>
  </si>
  <si>
    <t>2|2|2|7|9|12|13</t>
  </si>
  <si>
    <t>黑铁长剑</t>
  </si>
  <si>
    <t>2|2|2|6|7|12|9</t>
  </si>
  <si>
    <t>远古战斧</t>
  </si>
  <si>
    <t>宫廷法杖</t>
  </si>
  <si>
    <t>黑曜法杖</t>
  </si>
  <si>
    <t>黑影短剑</t>
  </si>
  <si>
    <t>精灵匕首</t>
  </si>
  <si>
    <t>不详魔杖</t>
  </si>
  <si>
    <t>钻石之剑</t>
  </si>
  <si>
    <t>2|2|2|6|7|9|12|13</t>
  </si>
  <si>
    <t>古代法杖</t>
  </si>
  <si>
    <t>神秘法杖</t>
  </si>
  <si>
    <t>海洋之剑</t>
  </si>
  <si>
    <t>熔岩巨刃</t>
  </si>
  <si>
    <t>风之刃</t>
  </si>
  <si>
    <t>雷鸣法杖</t>
  </si>
  <si>
    <t>大地之锤</t>
  </si>
  <si>
    <t>尖锐之刃</t>
  </si>
  <si>
    <t>破晓之刃</t>
  </si>
  <si>
    <t>龙刃</t>
  </si>
  <si>
    <t>裂地法杖</t>
  </si>
  <si>
    <t>太古法杖</t>
  </si>
  <si>
    <t>生命权杖</t>
  </si>
  <si>
    <t>无名法杖</t>
  </si>
  <si>
    <t>普通马甲</t>
  </si>
  <si>
    <t>equip_wl_yf001</t>
  </si>
  <si>
    <t>学徒上衣</t>
  </si>
  <si>
    <t>equip_wl_yf002</t>
  </si>
  <si>
    <t>圆盾</t>
  </si>
  <si>
    <t>equip_wl_yf003</t>
  </si>
  <si>
    <t>1|3</t>
  </si>
  <si>
    <t>青铜甲</t>
  </si>
  <si>
    <t>equip_wl_yf004</t>
  </si>
  <si>
    <t>女巫上衣</t>
  </si>
  <si>
    <t>equip_wl_yf005</t>
  </si>
  <si>
    <t>1|1|3</t>
  </si>
  <si>
    <t>轻皮甲</t>
  </si>
  <si>
    <t>equip_wl_yf006</t>
  </si>
  <si>
    <t>1|3|3</t>
  </si>
  <si>
    <t>皮革战甲</t>
  </si>
  <si>
    <t>equip_wl_yf007</t>
  </si>
  <si>
    <t>1|3|8</t>
  </si>
  <si>
    <t>大盾</t>
  </si>
  <si>
    <t>equip_wl_yf008</t>
  </si>
  <si>
    <t>1|1|3|11</t>
  </si>
  <si>
    <t>国王铠甲</t>
  </si>
  <si>
    <t>equip_wl_yf009</t>
  </si>
  <si>
    <t>1|3|3|8</t>
  </si>
  <si>
    <t>暴风之铠</t>
  </si>
  <si>
    <t>1|3|3|17</t>
  </si>
  <si>
    <t>暗鸦之铠</t>
  </si>
  <si>
    <t>1|1|3|8</t>
  </si>
  <si>
    <t>古丹战甲</t>
  </si>
  <si>
    <t>1|1|3|11|8</t>
  </si>
  <si>
    <t>战士铠甲</t>
  </si>
  <si>
    <t>1|3|3|11|17</t>
  </si>
  <si>
    <t>自然之力</t>
  </si>
  <si>
    <t>1|1|3|8|16</t>
  </si>
  <si>
    <t>战国之力</t>
  </si>
  <si>
    <t>1|3|3|8|17</t>
  </si>
  <si>
    <t>艾文之盾</t>
  </si>
  <si>
    <t>1|1|3|8|11</t>
  </si>
  <si>
    <t>鹰角盾</t>
  </si>
  <si>
    <t>1|1|3|3|11|17</t>
  </si>
  <si>
    <t>鹿盔盾</t>
  </si>
  <si>
    <t>1|1|3|3|8|16</t>
  </si>
  <si>
    <t>泰坦战甲</t>
  </si>
  <si>
    <t>1|1|3|3|17|16</t>
  </si>
  <si>
    <t>大法师袍</t>
  </si>
  <si>
    <t>1|1|3|3|11|16</t>
  </si>
  <si>
    <t>领袖铠甲</t>
  </si>
  <si>
    <t>1|1|3|3|8|17</t>
  </si>
  <si>
    <t>远古战铠</t>
  </si>
  <si>
    <t>宫廷服饰</t>
  </si>
  <si>
    <t>1|1|3|3|8|11</t>
  </si>
  <si>
    <t>黑曜铠甲</t>
  </si>
  <si>
    <t>火纹巨盾</t>
  </si>
  <si>
    <t>皇冠之盾</t>
  </si>
  <si>
    <t>绝缘之盾</t>
  </si>
  <si>
    <t>1|1|3|3|16|17</t>
  </si>
  <si>
    <t>钻石胸甲</t>
  </si>
  <si>
    <t>黑绿甲</t>
  </si>
  <si>
    <t>神秘铠甲</t>
  </si>
  <si>
    <t>元素长袍</t>
  </si>
  <si>
    <t>纯白之铠</t>
  </si>
  <si>
    <t>1|1|3|3|8|11|16|17</t>
  </si>
  <si>
    <t>风之歌者</t>
  </si>
  <si>
    <t>龙骨重铠</t>
  </si>
  <si>
    <t>神圣之光</t>
  </si>
  <si>
    <t>牛皮靴</t>
  </si>
  <si>
    <t>equip_wl_xz001</t>
  </si>
  <si>
    <t>学徒之靴</t>
  </si>
  <si>
    <t>equip_wl_xz002</t>
  </si>
  <si>
    <t>女巫之靴</t>
  </si>
  <si>
    <t>equip_wl_xz003</t>
  </si>
  <si>
    <t>古老战靴</t>
  </si>
  <si>
    <t>equip_wl_xz004</t>
  </si>
  <si>
    <t>牛皮短靴</t>
  </si>
  <si>
    <t>equip_wl_xz005</t>
  </si>
  <si>
    <t>青铜靴</t>
  </si>
  <si>
    <t>equip_wl_xz006</t>
  </si>
  <si>
    <t>国王战靴</t>
  </si>
  <si>
    <t>equip_wl_xz007</t>
  </si>
  <si>
    <t>1|3|19</t>
  </si>
  <si>
    <t>暴风之靴</t>
  </si>
  <si>
    <t>1|3|3|25</t>
  </si>
  <si>
    <t>暗鸦之靴</t>
  </si>
  <si>
    <t>1|1|3|18</t>
  </si>
  <si>
    <t>古丹之靴</t>
  </si>
  <si>
    <t>1|3|3|19</t>
  </si>
  <si>
    <t>战士之靴</t>
  </si>
  <si>
    <t>1|3|1|5</t>
  </si>
  <si>
    <t>自然之靴</t>
  </si>
  <si>
    <t>1|3|3|19|25</t>
  </si>
  <si>
    <t>战国之靴</t>
  </si>
  <si>
    <t>1|3|1|18|19</t>
  </si>
  <si>
    <t>泰坦战靴</t>
  </si>
  <si>
    <t>1|1|3|5|25</t>
  </si>
  <si>
    <t>大法师靴</t>
  </si>
  <si>
    <t>1|3|3|5|25</t>
  </si>
  <si>
    <t>领袖之靴</t>
  </si>
  <si>
    <t>1|3|1|5|19</t>
  </si>
  <si>
    <t>远古战靴</t>
  </si>
  <si>
    <t>1|1|3|3|18|19</t>
  </si>
  <si>
    <t>宫廷皮靴</t>
  </si>
  <si>
    <t>1|1|3|3|19|25</t>
  </si>
  <si>
    <t>黑曜石靴</t>
  </si>
  <si>
    <t>1|1|3|3|5|19</t>
  </si>
  <si>
    <t>钻石之靴</t>
  </si>
  <si>
    <t>1|1|3|3|5|25</t>
  </si>
  <si>
    <t>黑色靴</t>
  </si>
  <si>
    <t>神秘靴</t>
  </si>
  <si>
    <t>1|1|3|3|5|18|19</t>
  </si>
  <si>
    <t>元素之靴</t>
  </si>
  <si>
    <t>纯白之靴</t>
  </si>
  <si>
    <t>1|1|3|3|5|18|19|25</t>
  </si>
  <si>
    <t>轻语之靴</t>
  </si>
  <si>
    <t>龙骨靴</t>
  </si>
  <si>
    <t>圣神之靴</t>
  </si>
  <si>
    <t>能源水晶</t>
  </si>
  <si>
    <t>蕴含强大魔力的水晶，可以用于英雄初级转高级职业</t>
  </si>
  <si>
    <t>jinjieshuijin-01</t>
  </si>
  <si>
    <t>神渝水晶</t>
  </si>
  <si>
    <t>魔力纯净的水晶，可以用于英雄高级职业转特级职业</t>
  </si>
  <si>
    <t>jinjieshuijin-02</t>
  </si>
  <si>
    <t>初级精华</t>
  </si>
  <si>
    <t>英雄遗留下来的魔力精华，英雄进阶基础道具</t>
  </si>
  <si>
    <t>JinJieJingHua-01</t>
  </si>
  <si>
    <t>初级英雄手册</t>
  </si>
  <si>
    <t>印证英雄们的丰功伟绩，英雄进阶基础道具</t>
  </si>
  <si>
    <t>yinxiongjinjieshouce-01</t>
  </si>
  <si>
    <t>中级精华</t>
  </si>
  <si>
    <t>英雄遗留下来的魔力精华，英雄进阶中级道具</t>
  </si>
  <si>
    <t>JinJieJingHua-02</t>
  </si>
  <si>
    <t>中级英雄手册</t>
  </si>
  <si>
    <t>印证英雄们的丰功伟绩，英雄进阶中级道具</t>
  </si>
  <si>
    <t>YinXiongJinJieShouCe-02</t>
  </si>
  <si>
    <t>高级精华</t>
  </si>
  <si>
    <t>英雄遗留下来的魔力精华，英雄进阶高级道具</t>
  </si>
  <si>
    <t>JinJieJingHua-03</t>
  </si>
  <si>
    <t>高级英雄手册</t>
  </si>
  <si>
    <t>印证英雄们的丰功伟绩，英雄进阶高级道具</t>
  </si>
  <si>
    <t>YinXiongJinJieShouCe-03</t>
  </si>
  <si>
    <t>史诗精华</t>
  </si>
  <si>
    <t>英雄遗留下来的魔力精华，英雄进阶特级道具</t>
  </si>
  <si>
    <t>JinJieJingHua-04</t>
  </si>
  <si>
    <t>史诗英雄手册</t>
  </si>
  <si>
    <t>印证英雄们的丰功伟绩，英雄进阶特级道具</t>
  </si>
  <si>
    <t>YinXiongJinJieShouCe-04</t>
  </si>
  <si>
    <t>初级步兵手册</t>
  </si>
  <si>
    <t>步兵训练手册，可以在兵营中强化步兵能力</t>
  </si>
  <si>
    <t>BuBinShouCe-01</t>
  </si>
  <si>
    <t>初级骑兵手册</t>
  </si>
  <si>
    <t>骑兵训练手册，可以在兵营中强化骑兵能力</t>
  </si>
  <si>
    <t>QiBinShouCe-01</t>
  </si>
  <si>
    <t>初级弓兵手册</t>
  </si>
  <si>
    <t>弓兵训练手册，可以在兵营中强化弓兵能力</t>
  </si>
  <si>
    <t>GonBinShouCe-01</t>
  </si>
  <si>
    <t>初级飞兵手册</t>
  </si>
  <si>
    <t>飞兵训练手册，可以在兵营中强化飞兵能力</t>
  </si>
  <si>
    <t>FeiBinShouCe-01</t>
  </si>
  <si>
    <t>初级元素手册</t>
  </si>
  <si>
    <t>元素训练手册，可以在兵营中强化元素能力</t>
  </si>
  <si>
    <t>YuanSuShouCe-01</t>
  </si>
  <si>
    <t>初级生物手册</t>
  </si>
  <si>
    <t>生物训练手册，可以在兵营中强化生物能力</t>
  </si>
  <si>
    <t>ShengWuShouCe-01</t>
  </si>
  <si>
    <t>初级魔法手册</t>
  </si>
  <si>
    <t>魔法训练手册，可以在兵营中强化魔法能力</t>
  </si>
  <si>
    <t>MoFaShouCe-01</t>
  </si>
  <si>
    <t>初级黑暗手册</t>
  </si>
  <si>
    <t>黑暗训练手册，可以在兵营中强化黑暗能力</t>
  </si>
  <si>
    <t>HeiAnShouCe-01</t>
  </si>
  <si>
    <t>初级士兵晶石</t>
  </si>
  <si>
    <t>一种神秘的晶石，视乎蕴含着一丝魔力，可以在兵营中强化士兵能力</t>
  </si>
  <si>
    <t>shibingjinjieshi-01</t>
  </si>
  <si>
    <t>初级士兵徽章</t>
  </si>
  <si>
    <t>象征英勇的徽章，可以在兵营中强化士兵能力</t>
  </si>
  <si>
    <t>JinJieHuiZhang-01</t>
  </si>
  <si>
    <t>中级步兵手册</t>
  </si>
  <si>
    <t>BuBinShouCe-02</t>
  </si>
  <si>
    <t>中级骑兵手册</t>
  </si>
  <si>
    <t>QiBinShouCe-02</t>
  </si>
  <si>
    <t>中级弓兵手册</t>
  </si>
  <si>
    <t>GonBinShouCe-02</t>
  </si>
  <si>
    <t>中级飞兵手册</t>
  </si>
  <si>
    <t>FeiBinShouCe-02</t>
  </si>
  <si>
    <t>中级元素手册</t>
  </si>
  <si>
    <t>YuanSuShouCe-02</t>
  </si>
  <si>
    <t>中级生物手册</t>
  </si>
  <si>
    <t>ShengWuShouCe-02</t>
  </si>
  <si>
    <t>中级魔法手册</t>
  </si>
  <si>
    <t>MoFaShouCe-02</t>
  </si>
  <si>
    <t>中级黑暗手册</t>
  </si>
  <si>
    <t>HeiAnShouCe-02</t>
  </si>
  <si>
    <t>中级士兵晶石</t>
  </si>
  <si>
    <t>shibingjinjieshi-02</t>
  </si>
  <si>
    <t>中级士兵徽章</t>
  </si>
  <si>
    <t>JinJieHuiZhang-02</t>
  </si>
  <si>
    <t>高级步兵手册</t>
  </si>
  <si>
    <t>BuBinShouCe-03</t>
  </si>
  <si>
    <t>高级骑兵手册</t>
  </si>
  <si>
    <t>QiBinShouCe-03</t>
  </si>
  <si>
    <t>高级弓兵手册</t>
  </si>
  <si>
    <t>GonBinShouCe-03</t>
  </si>
  <si>
    <t>高级飞兵手册</t>
  </si>
  <si>
    <t>FeiBinShouCe-03</t>
  </si>
  <si>
    <t>高级元素手册</t>
  </si>
  <si>
    <t>YuanSuShouCe-03</t>
  </si>
  <si>
    <t>高级生物手册</t>
  </si>
  <si>
    <t>ShengWuShouCe-03</t>
  </si>
  <si>
    <t>高级魔法手册</t>
  </si>
  <si>
    <t>MoFaShouCe-03</t>
  </si>
  <si>
    <t>高级黑暗手册</t>
  </si>
  <si>
    <t>HeiAnShouCe-03</t>
  </si>
  <si>
    <t>高级士兵晶石</t>
  </si>
  <si>
    <t>shibingjinjieshi-03</t>
  </si>
  <si>
    <t>高级士兵徽章</t>
  </si>
  <si>
    <t>JinJieHuiZhang-03</t>
  </si>
  <si>
    <t>初级装备精粹</t>
  </si>
  <si>
    <t>一种特殊的材料，与装备在一起时可以发出强烈的共鸣，可以用于装备附魔</t>
  </si>
  <si>
    <t>DuanZaoKuangShi1</t>
  </si>
  <si>
    <t>中级装备精粹</t>
  </si>
  <si>
    <t>DuanZaoKuangShi2</t>
  </si>
  <si>
    <t>高级装备精粹</t>
  </si>
  <si>
    <t>DuanZaoKuangShi3</t>
  </si>
  <si>
    <t>碎片精粹</t>
  </si>
  <si>
    <t>用于在商城兑换昂贵的道具</t>
  </si>
  <si>
    <t>SuiPianJingCui</t>
  </si>
  <si>
    <t>金币袋（小）</t>
  </si>
  <si>
    <t>使用后获得10000金币</t>
  </si>
  <si>
    <t>JiBiDai</t>
  </si>
  <si>
    <t>12:10000</t>
  </si>
  <si>
    <t>钻石袋（小）</t>
  </si>
  <si>
    <t>使用后获得100钻石</t>
  </si>
  <si>
    <t>ZhuangShiDai</t>
  </si>
  <si>
    <t>11:10000</t>
  </si>
  <si>
    <t>体力补给包</t>
  </si>
  <si>
    <t>使用后获得60体力</t>
  </si>
  <si>
    <t>13:60</t>
  </si>
  <si>
    <t>使用后获得1点科技点</t>
  </si>
  <si>
    <t>24:1</t>
  </si>
  <si>
    <t>战令经验</t>
  </si>
  <si>
    <t>可以提升战令等级</t>
  </si>
  <si>
    <t>tubiao2</t>
  </si>
  <si>
    <t>0</t>
  </si>
  <si>
    <t>初级英雄经验书</t>
  </si>
  <si>
    <t>用于提升英雄等级，在为英雄升级时提供50点经验</t>
  </si>
  <si>
    <t>YingXiongJingYanShu1</t>
  </si>
  <si>
    <t>50</t>
  </si>
  <si>
    <t>中级英雄经验书</t>
  </si>
  <si>
    <t>用于提升英雄等级，在为英雄升级时提供100点经验</t>
  </si>
  <si>
    <t>YingXiongJingYanShu2</t>
  </si>
  <si>
    <t>100</t>
  </si>
  <si>
    <t>高级英雄经验书</t>
  </si>
  <si>
    <t>用于提升英雄等级，在为英雄升级时提供250点经验</t>
  </si>
  <si>
    <t>YingXiongJingYanShu3</t>
  </si>
  <si>
    <t>250</t>
  </si>
  <si>
    <t>史诗英雄经验书</t>
  </si>
  <si>
    <t>用于提升英雄等级，在为英雄升级时提供500点经验</t>
  </si>
  <si>
    <t>YingXiongJingYanShu4</t>
  </si>
  <si>
    <t>500</t>
  </si>
  <si>
    <t>随机兵种手册</t>
  </si>
  <si>
    <t>使用后随机获得一种士兵科技手册</t>
  </si>
  <si>
    <t>SuiJiBingZhongShouCe</t>
  </si>
  <si>
    <t>1:10101:10:1000|1:10102:10:1000|1:10103:10:1000|1:10104:10:1000|1:10105:10:1000|1:10106:10:1000|1:10107:10:1000|1:10108:10:1000|1:10111:10:300|1:10112:10:300|1:10113:10:300|1:10114:10:300|1:10115:10:300|1:10116:10:300|1:10117:10:300|1:10118:10:300|1:10121:10:100|1:10122:10:100|1:10123:10:100|1:10124:10:100|1:10125:10:100|1:10126:10:100|1:10127:10:100|1:10128:10:100</t>
  </si>
  <si>
    <t>金色随机武器箱</t>
  </si>
  <si>
    <t>使用后随机获得一个金色品质武器</t>
  </si>
  <si>
    <t>SuiJiWuQiXiang</t>
  </si>
  <si>
    <t>1:4010103:1:1000|1:4010203:1:800|1:4010303:1:600|1:4010403:1:400|1:4010503:1:200|1:4010603:1:100|1:4010703:1:50|1:4010803:1:25|1:4010903:1:20|1:4011003:1:10|1:4020103:1:1000|1:4020203:1:800|1:4020303:1:600|1:4020403:1:400|1:4020503:1:200|1:4020603:1:100|1:4020703:1:50|1:4020803:1:25|1:4020903:1:20|1:4021003:1:10</t>
  </si>
  <si>
    <t>金色随机防具箱</t>
  </si>
  <si>
    <t>使用后随机获得一个金色品质防具</t>
  </si>
  <si>
    <t>SuiJiFangJuXiang</t>
  </si>
  <si>
    <t>1:4010104:1:1000|1:4010204:1:800|1:4010304:1:600|1:4010404:1:400|1:4010504:1:200|1:4010604:1:100|1:4010704:1:50|1:4010804:1:25|1:4010904:1:20|1:4011004:1:10|1:4020104:1:1000|1:4020204:1:800|1:4020304:1:600|1:4020404:1:400|1:4020504:1:200|1:4020604:1:100|1:4020704:1:50|1:4020804:1:25|1:4020904:1:20|1:4021004:1:10</t>
  </si>
  <si>
    <t>金色随机鞋子箱</t>
  </si>
  <si>
    <t>使用后随机获得一个金色品质鞋子</t>
  </si>
  <si>
    <t>SuiJiXieZiXiang</t>
  </si>
  <si>
    <t>1:4010105:1:1000|1:4010205:1:800|1:4010305:1:600|1:4010405:1:400|1:4010505:1:200|1:4010605:1:100|1:4010705:1:50|1:4010805:1:25|1:4010905:1:20|1:4011005:1:10|1:4020105:1:1000|1:4020205:1:800|1:4020305:1:600|1:4020405:1:400|1:4020505:1:200|1:4020605:1:100|1:4020705:1:50|1:4020805:1:25|1:4020905:1:20|1:4021005:1:10</t>
  </si>
  <si>
    <t>金色随机饰品箱</t>
  </si>
  <si>
    <t>使用后随机获得一个金色品质饰品</t>
  </si>
  <si>
    <t>SuiJiShiPingXiang</t>
  </si>
  <si>
    <t>1:4010102:1:1000|1:4010202:1:800|1:4010302:1:600|1:4010402:1:400|1:4010502:1:200|1:4010602:1:100|1:4010702:1:50|1:4010802:1:25|1:4010902:1:20|1:4011002:1:10|1:4020102:1:1000|1:4020202:1:800|1:4020302:1:600|1:4020402:1:400|1:4020502:1:200|1:4020602:1:100|1:4020702:1:50|1:4020802:1:25|1:4020902:1:20|1:4021002:1:10</t>
  </si>
  <si>
    <t>随机装备箱</t>
  </si>
  <si>
    <t>使用后随机获得一个白色到紫色品质的装备</t>
  </si>
  <si>
    <t>1:1010102:1:1000|1:1010103:1:1000|1:1010104:1:1000|1:1010105:1:1000|1:1020102:1:1000|1:1020103:1:1000|1:1020104:1:1000|1:1020105:1:1000|1:2010102:1:63|1:2010103:1:63|1:2010104:1:63|1:2010105:1:63|1:2010202:1:63|1:2010203:1:63|1:2010204:1:63|1:2010205:1:63|1:2010302:1:63|1:2010303:1:63|1:2010304:1:63|1:2010305:1:63|1:2020102:1:63|1:2020103:1:63|1:2020104:1:63|1:2020105:1:63|1:2020202:1:63|1:2020203:1:63|1:2020204:1:63|1:2020205:1:63|1:2020302:1:63|1:2020303:1:63|1:2020304:1:63|1:2020305:1:63|1:3010102:1:21|1:3010103:1:21|1:3010104:1:21|1:3010105:1:21|1:3010202:1:21|1:3010203:1:21|1:3010204:1:21|1:3010205:1:21|1:3010302:1:21|1:3010303:1:21|1:3010304:1:21|1:3010305:1:21|1:3020102:1:21|1:3020103:1:21|1:3020104:1:21|1:3020105:1:21|1:3020202:1:21|1:3020203:1:21|1:3020204:1:21|1:3020205:1:21|1:3020302:1:21|1:3020303:1:21|1:3020304:1:21|1:3020305:1:21</t>
  </si>
  <si>
    <t>紫色随机装备箱</t>
  </si>
  <si>
    <t>使用后随机获得一个紫色品质的装备</t>
  </si>
  <si>
    <t>1:3010102:1:21|1:3010103:1:21|1:3010104:1:21|1:3010105:1:21|1:3010202:1:21|1:3010203:1:21|1:3010204:1:21|1:3010205:1:21|1:3010302:1:21|1:3010303:1:21|1:3010304:1:21|1:3010305:1:21|1:3020102:1:21|1:3020103:1:21|1:3020104:1:21|1:3020105:1:21|1:3020202:1:21|1:3020203:1:21|1:3020204:1:21|1:3020205:1:21|1:3020302:1:21|1:3020303:1:21|1:3020304:1:21|1:3020305:1:21</t>
  </si>
  <si>
    <t>中级兵种自选手册</t>
  </si>
  <si>
    <t>使用后选择获得一种中级士兵手册</t>
  </si>
  <si>
    <t>1:10111:1|1:10112:1|1:10113:1|1:10114:1|1:10115:1|1:10116:1|1:10117:1|1:10118:1</t>
  </si>
  <si>
    <t>中级兵种自选材料</t>
  </si>
  <si>
    <t>使用后选择获得一种中级士兵材料</t>
  </si>
  <si>
    <t>1:10119:1|1:10120:1</t>
  </si>
  <si>
    <t>高级兵种自选手册</t>
  </si>
  <si>
    <t>使用后选择获得一种高级士兵手册</t>
  </si>
  <si>
    <t>1:10121:1|1:10122:1|1:10123:1|1:10124:1|1:10125:1|1:10126:1|1:10127:1|1:10128:1</t>
  </si>
  <si>
    <t>高级兵种自选材料</t>
  </si>
  <si>
    <t>使用后选择获得一种高级士兵材料</t>
  </si>
  <si>
    <t>1:10129:1|1:10130:1</t>
  </si>
  <si>
    <t>随机宝箱</t>
  </si>
  <si>
    <t>使用后随机获得白色到蓝色品质装备以及20000金币</t>
  </si>
  <si>
    <t>1:1010102:1#1:12:20000#80|1:1010103:1#1:12:20000#80|1:1010104:1#1:12:20000#80|1:1010105:1#1:12:20000#80|1:2010102:1#1:12:20000#6|1:2010103:1#1:12:20000#6|1:2010104:1#1:12:20000#6|1:2010105:1#1:12:20000#6|1:2010202:1#1:12:20000#6|1:2010203:1#1:12:20000#6|1:2010204:1#1:12:20000#6|1:2010205:1#1:12:20000#6|1:2010302:1#1:12:20000#6|1:2010303:1#1:12:20000#6|1:2010304:1#1:12:20000#6|1:2010305:1#1:12:20000#6|1:1020102:1#1:12:20000#80|1:1020103:1#1:12:20000#80|1:1020104:1#1:12:20000#80|1:1020105:1#1:12:20000#80|1:2020102:1#1:12:20000#6|1:2020103:1#1:12:20000#6|1:2020104:1#1:12:20000#6|1:2020105:1#1:12:20000#6|1:2020202:1#1:12:20000#6|1:2020203:1#1:12:20000#6|1:2020204:1#1:12:20000#6|1:2020205:1#1:12:20000#6|1:2020302:1#1:12:20000#6|1:2020303:1#1:12:20000#6|1:2020304:1#1:12:20000#6|1:2020305:1#1:12:20000#6</t>
  </si>
  <si>
    <t>稀有宝箱</t>
  </si>
  <si>
    <t>使用后随机获得白色到紫色品质装备以及100钻石</t>
  </si>
  <si>
    <t>1:1010102:1#1:11:100#50|1:1010103:1#1:11:100#50|1:1010104:1#1:11:100#50|1:1010105:1#1:11:100#50|1:2010102:1#1:11:100#13|1:2010103:1#1:11:100#13|1:2010104:1#1:11:100#13|1:2010105:1#1:11:100#13|1:2010202:1#1:11:100#13|1:2010203:1#1:11:100#13|1:2010204:1#1:11:100#13|1:2010205:1#1:11:100#13|1:2010302:1#1:11:100#13|1:2010303:1#1:11:100#13|1:2010304:1#1:11:100#13|1:2010305:1#1:11:100#13|1:3010102:1#1:11:100#3|1:3010103:1#1:11:100#3|1:3010104:1#1:11:100#3|1:3010105:1#1:11:100#3|1:3010202:1#1:11:100#3|1:3010203:1#1:11:100#3|1:3010204:1#1:11:100#3|1:3010205:1#1:11:100#3|1:3010302:1#1:11:100#3|1:3010303:1#1:11:100#3|1:3010304:1#1:11:100#3|1:3010305:1#1:11:100#3|1:1020102:1#1:11:100#50|1:1020103:1#1:11:100#50|1:1020104:1#1:11:100#50|1:1020105:1#1:11:100#50|1:2020102:1#1:11:100#13|1:2020103:1#1:11:100#13|1:2020104:1#1:11:100#13|1:2020105:1#1:11:100#13|1:2020202:1#1:11:100#13|1:2020203:1#1:11:100#13|1:2020204:1#1:11:100#13|1:2020205:1#1:11:100#13|1:2020302:1#1:11:100#13|1:2020303:1#1:11:100#13|1:2020304:1#1:11:100#13|1:2020305:1#1:11:100#13|1:3020102:1#1:11:100#3|1:3020103:1#1:11:100#3|1:3020104:1#1:11:100#3|1:3020105:1#1:11:100#3|1:3020202:1#1:11:100#3|1:3020203:1#1:11:100#3|1:3020204:1#1:11:100#3|1:3020205:1#1:11:100#3|1:3020302:1#1:11:100#3|1:3020303:1#1:11:100#3|1:3020304:1#1:11:100#3|1:3020305:1#1:11:100#3</t>
  </si>
  <si>
    <t>极品宝箱</t>
  </si>
  <si>
    <t>使用后随机获得紫色到金色装备以及200钻石</t>
  </si>
  <si>
    <t>1:3010102:1#1:11:200#326|1:3010103:1#1:11:200#326|1:3010104:1#1:11:200#326|1:3010105:1#1:11:200#326|1:3010202:1#1:11:200#326|1:3010203:1#1:11:200#326|1:3010204:1#1:11:200#326|1:3010205:1#1:11:200#326|1:3010302:1#1:11:200#326|1:3010303:1#1:11:200#326|1:3010304:1#1:11:200#326|1:3010305:1#1:11:200#326|1:4010102:1#1:11:200#2|1:4010103:1#1:11:200#2|1:4010104:1#1:11:200#2|1:4010105:1#1:11:200#2|1:4010202:1#1:11:200#2|1:4010203:1#1:11:200#2|1:4010204:1#1:11:200#2|1:4010205:1#1:11:200#2|1:4010302:1#1:11:200#2|1:4010303:1#1:11:200#2|1:4010304:1#1:11:200#2|1:4010305:1#1:11:200#2|1:4010402:1#1:11:200#2|1:4010403:1#1:11:200#2|1:4010404:1#1:11:200#2|1:4010405:1#1:11:200#2|1:4010502:1#1:11:200#2|1:4010503:1#1:11:200#2|1:4010504:1#1:11:200#2|1:4010505:1#1:11:200#2|1:4010602:1#1:11:200#2|1:4010603:1#1:11:200#2|1:4010604:1#1:11:200#2|1:4010605:1#1:11:200#2|1:4010702:1#1:11:200#2|1:4010703:1#1:11:200#2|1:4010704:1#1:11:200#2|1:4010705:1#1:11:200#2|1:4010802:1#1:11:200#2|1:4010803:1#1:11:200#2|1:4010804:1#1:11:200#2|1:4010805:1#1:11:200#2|1:4010902:1#1:11:200#2|1:4010903:1#1:11:200#2|1:4010904:1#1:11:200#2|1:4010905:1#1:11:200#2|1:4011002:1#1:11:200#2|1:4011003:1#1:11:200#2|1:4011004:1#1:11:200#2|1:4011005:1#1:11:200#2|1:3020102:1#1:11:200#326|1:3020103:1#1:11:200#326|1:3020104:1#1:11:200#326|1:3020105:1#1:11:200#326|1:3020202:1#1:11:200#326|1:3020203:1#1:11:200#326|1:3020204:1#1:11:200#326|1:3020205:1#1:11:200#326|1:3020302:1#1:11:200#326|1:3020303:1#1:11:200#326|1:3020304:1#1:11:200#326|1:3020305:1#1:11:200#326|1:4020102:1#1:11:200#2|1:4020103:1#1:11:200#2|1:4020104:1#1:11:200#2|1:4020105:1#1:11:200#2|1:4020202:1#1:11:200#2|1:4020203:1#1:11:200#2|1:4020204:1#1:11:200#2|1:4020205:1#1:11:200#2|1:4020302:1#1:11:200#2|1:4020303:1#1:11:200#2|1:4020304:1#1:11:200#2|1:4020305:1#1:11:200#2|1:4020402:1#1:11:200#2|1:4020403:1#1:11:200#2|1:4020404:1#1:11:200#2|1:4020405:1#1:11:200#2|1:4020502:1#1:11:200#2|1:4020503:1#1:11:200#2|1:4020504:1#1:11:200#2|1:4020505:1#1:11:200#2|1:4020602:1#1:11:200#2|1:4020603:1#1:11:200#2|1:4020604:1#1:11:200#2|1:4020605:1#1:11:200#2|1:4020702:1#1:11:200#2|1:4020703:1#1:11:200#2|1:4020704:1#1:11:200#2|1:4020705:1#1:11:200#2|1:4020802:1#1:11:200#2|1:4020803:1#1:11:200#2|1:4020804:1#1:11:200#2|1:4020805:1#1:11:200#2|1:4020902:1#1:11:200#2|1:4020903:1#1:11:200#2|1:4020904:1#1:11:200#2|1:4020905:1#1:11:200#2|1:4021002:1#1:11:200#2|1:4021003:1#1:11:200#2|1:4021004:1#1:11:200#2|1:4021005:1#1:11:200#2</t>
  </si>
  <si>
    <t>璀璨宝箱</t>
  </si>
  <si>
    <t>使用后随机获得蓝色到金色装备或升星道具以及500钻石</t>
  </si>
  <si>
    <t>1:2010102:1#1:11:500#410|1:2010103:1#1:11:500#410|1:2010104:1#1:11:500#410|1:2010105:1#1:11:500#410|1:2010202:1#1:11:500#410|1:2010203:1#1:11:500#410|1:2010204:1#1:11:500#410|1:2010205:1#1:11:500#410|1:2010302:1#1:11:500#410|1:2010303:1#1:11:500#410|1:2010304:1#1:11:500#410|1:2010305:1#1:11:500#410|1:3010102:1#1:11:500#310|1:3010103:1#1:11:500#310|1:3010104:1#1:11:500#310|1:3010105:1#1:11:500#310|1:3010202:1#1:11:500#310|1:3010203:1#1:11:500#310|1:3010204:1#1:11:500#310|1:3010205:1#1:11:500#310|1:3010302:1#1:11:500#310|1:3010303:1#1:11:500#310|1:3010304:1#1:11:500#310|1:3010305:1#1:11:500#310|1:4010102:1#1:11:500#5|1:4010103:1#1:11:500#5|1:4010104:1#1:11:500#5|1:4010105:1#1:11:500#5|1:4010202:1#1:11:500#5|1:4010203:1#1:11:500#5|1:4010204:1#1:11:500#5|1:4010205:1#1:11:500#5|1:4010302:1#1:11:500#5|1:4010303:1#1:11:500#5|1:4010304:1#1:11:500#5|1:4010305:1#1:11:500#5|1:4010402:1#1:11:500#5|1:4010403:1#1:11:500#5|1:4010404:1#1:11:500#5|1:4010405:1#1:11:500#5|1:4010502:1#1:11:500#5|1:4010503:1#1:11:500#5|1:4010504:1#1:11:500#5|1:4010505:1#1:11:500#5|1:4010602:1#1:11:500#5|1:4010603:1#1:11:500#5|1:4010604:1#1:11:500#5|1:4010605:1#1:11:500#5|1:4010702:1#1:11:500#5|1:4010703:1#1:11:500#5|1:4010704:1#1:11:500#5|1:4010705:1#1:11:500#5|1:4010802:1#1:11:500#5|1:4010803:1#1:11:500#5|1:4010804:1#1:11:500#5|1:4010805:1#1:11:500#5|1:4010902:1#1:11:500#5|1:4010903:1#1:11:500#5|1:4010904:1#1:11:500#5|1:4010905:1#1:11:500#5|1:4011002:1#1:11:500#5|1:4011003:1#1:11:500#5|1:4011004:1#1:11:500#5|1:4011005:1#1:11:500#5|1:2020102:1#1:11:500#410|1:2020103:1#1:11:500#410|1:2020104:1#1:11:500#410|1:2020105:1#1:11:500#410|1:2020202:1#1:11:500#410|1:2020203:1#1:11:500#410|1:2020204:1#1:11:500#410|1:2020205:1#1:11:500#410|1:2020302:1#1:11:500#410|1:2020303:1#1:11:500#410|1:2020304:1#1:11:500#410|1:2020305:1#1:11:500#410|1:3020102:1#1:11:500#310|1:3020103:1#1:11:500#310|1:3020104:1#1:11:500#310|1:3020105:1#1:11:500#310|1:3020202:1#1:11:500#310|1:3020203:1#1:11:500#310|1:3020204:1#1:11:500#310|1:3020205:1#1:11:500#310|1:3020302:1#1:11:500#310|1:3020303:1#1:11:500#310|1:3020304:1#1:11:500#310|1:3020305:1#1:11:500#310|1:4020102:1#1:11:500#5|1:4020103:1#1:11:500#5|1:4020104:1#1:11:500#5|1:4020105:1#1:11:500#5|1:4020202:1#1:11:500#5|1:4020203:1#1:11:500#5|1:4020204:1#1:11:500#5|1:4020205:1#1:11:500#5|1:4020302:1#1:11:500#5|1:4020303:1#1:11:500#5|1:4020304:1#1:11:500#5|1:4020305:1#1:11:500#5|1:4020402:1#1:11:500#5|1:4020403:1#1:11:500#5|1:4020404:1#1:11:500#5|1:4020405:1#1:11:500#5|1:4020502:1#1:11:500#5|1:4020503:1#1:11:500#5|1:4020504:1#1:11:500#5|1:4020505:1#1:11:500#5|1:4020602:1#1:11:500#5|1:4020603:1#1:11:500#5|1:4020604:1#1:11:500#5|1:4020605:1#1:11:500#5|1:4020702:1#1:11:500#5|1:4020703:1#1:11:500#5|1:4020704:1#1:11:500#5|1:4020705:1#1:11:500#5|1:4020802:1#1:11:500#5|1:4020803:1#1:11:500#5|1:4020804:1#1:11:500#5|1:4020805:1#1:11:500#5|1:4020902:1#1:11:500#5|1:4020903:1#1:11:500#5|1:4020904:1#1:11:500#5|1:4020905:1#1:11:500#5|1:4021002:1#1:11:500#5|1:4021003:1#1:11:500#5|1:4021004:1#1:11:500#5|1:4021005:1#1:11:500#5|1:10014:16#1:11:500#1000|1:10016:16#1:11:500#1000</t>
  </si>
  <si>
    <t>玛伦碎片</t>
  </si>
  <si>
    <t>英雄碎片，主要用于英雄升星时突破桎梏</t>
  </si>
  <si>
    <t>Mahlon.1</t>
  </si>
  <si>
    <t>11001:5</t>
  </si>
  <si>
    <t>克莱斯碎片</t>
  </si>
  <si>
    <t>Kress.1</t>
  </si>
  <si>
    <t>艾丝琳碎片</t>
  </si>
  <si>
    <t>Eileen.1</t>
  </si>
  <si>
    <t>克莱亚碎片</t>
  </si>
  <si>
    <t>Lela.1</t>
  </si>
  <si>
    <t>法拉碎片</t>
  </si>
  <si>
    <t>Farad.1</t>
  </si>
  <si>
    <t>米娜碎片</t>
  </si>
  <si>
    <t>Mina.1</t>
  </si>
  <si>
    <t>迈森碎片</t>
  </si>
  <si>
    <t>Meissen.1</t>
  </si>
  <si>
    <t>11001:10</t>
  </si>
  <si>
    <t>格莱碎片</t>
  </si>
  <si>
    <t>Glay.1</t>
  </si>
  <si>
    <t>蒂亚碎片</t>
  </si>
  <si>
    <t>Tia.1</t>
  </si>
  <si>
    <t>卡秋雅碎片</t>
  </si>
  <si>
    <t>Kachuya.1</t>
  </si>
  <si>
    <t>索尼娅碎片</t>
  </si>
  <si>
    <t>Sonia.1</t>
  </si>
  <si>
    <t>莱恩碎片</t>
  </si>
  <si>
    <t>Ryan.1</t>
  </si>
  <si>
    <t>姆多碎片</t>
  </si>
  <si>
    <t>Mudo.1</t>
  </si>
  <si>
    <t>亚瑟碎片</t>
  </si>
  <si>
    <t>Arthur.1</t>
  </si>
  <si>
    <t>11001:20</t>
  </si>
  <si>
    <t>蕾贝卡碎片</t>
  </si>
  <si>
    <t>Rebecca.1</t>
  </si>
  <si>
    <t>罗宾碎片</t>
  </si>
  <si>
    <t>Robin.1</t>
  </si>
  <si>
    <t>兰斯碎片</t>
  </si>
  <si>
    <t>Lance.1</t>
  </si>
  <si>
    <t>贝尔碎片</t>
  </si>
  <si>
    <t>Bel.1</t>
  </si>
  <si>
    <t>卢修斯碎片</t>
  </si>
  <si>
    <t>Lucius.1</t>
  </si>
  <si>
    <t>莉斯碎片</t>
  </si>
  <si>
    <t>Liz.1</t>
  </si>
  <si>
    <t>奥迪斯碎片</t>
  </si>
  <si>
    <t>Otis.1</t>
  </si>
  <si>
    <t>卢比碎片</t>
  </si>
  <si>
    <t>Ruby.1</t>
  </si>
  <si>
    <t>莫妮卡碎片</t>
  </si>
  <si>
    <t>Monica.1</t>
  </si>
  <si>
    <t>迪蒙碎片</t>
  </si>
  <si>
    <t>Dimon.1</t>
  </si>
  <si>
    <t>迪亚碎片</t>
  </si>
  <si>
    <t>Dia.1</t>
  </si>
  <si>
    <t>罗瑟碎片</t>
  </si>
  <si>
    <t>Rosser.1</t>
  </si>
  <si>
    <t>城堡碎片</t>
  </si>
  <si>
    <t>卡片碎片，主要用于卡牌升级。</t>
  </si>
  <si>
    <t>1_chengbao</t>
  </si>
  <si>
    <t>士兵碎片</t>
  </si>
  <si>
    <t>1_shibing</t>
  </si>
  <si>
    <t>重甲武士碎片</t>
  </si>
  <si>
    <t>1_zhongjia</t>
  </si>
  <si>
    <t>弓箭手碎片</t>
  </si>
  <si>
    <t>1_gongjian</t>
  </si>
  <si>
    <t>箭塔碎片</t>
  </si>
  <si>
    <t>1_jianta</t>
  </si>
  <si>
    <t>农场碎片</t>
  </si>
  <si>
    <t>1_nongchang</t>
  </si>
  <si>
    <t>万能卡碎片</t>
  </si>
  <si>
    <t>1_wanneng</t>
  </si>
  <si>
    <t>铁匠铺碎片</t>
  </si>
  <si>
    <t>1_tiejiang</t>
  </si>
  <si>
    <t>刚甲碎片</t>
  </si>
  <si>
    <t>1_gangjia</t>
  </si>
  <si>
    <t>宝塔碎片</t>
  </si>
  <si>
    <t>5_gubao</t>
  </si>
  <si>
    <t>轰炸者碎片</t>
  </si>
  <si>
    <t>5_kulou</t>
  </si>
  <si>
    <t>小鬼碎片</t>
  </si>
  <si>
    <t>5_emo</t>
  </si>
  <si>
    <t>大屠杀碎片</t>
  </si>
  <si>
    <t>5_fenshao</t>
  </si>
  <si>
    <t>牺牲碎片</t>
  </si>
  <si>
    <t>5_xianji</t>
  </si>
  <si>
    <t>吸血碎片</t>
  </si>
  <si>
    <t>5_xixue</t>
  </si>
  <si>
    <t>绞肉塔碎片</t>
  </si>
  <si>
    <t>5_baoxiang</t>
  </si>
  <si>
    <t>墓地碎片</t>
  </si>
  <si>
    <t>5_jitan</t>
  </si>
  <si>
    <t>恶魔祭坛碎片</t>
  </si>
  <si>
    <t>5_modian</t>
  </si>
  <si>
    <t>宫殿碎片</t>
  </si>
  <si>
    <t>4_zhucheng</t>
  </si>
  <si>
    <t>信标碎片</t>
  </si>
  <si>
    <t>4_juneng</t>
  </si>
  <si>
    <t>金库碎片</t>
  </si>
  <si>
    <t>4_jinkuang</t>
  </si>
  <si>
    <t>分发塔碎片</t>
  </si>
  <si>
    <t>4_fenjin</t>
  </si>
  <si>
    <t>点金术碎片</t>
  </si>
  <si>
    <t>4_qiangjie</t>
  </si>
  <si>
    <t>抵押碎片</t>
  </si>
  <si>
    <t>4_dianjin</t>
  </si>
  <si>
    <t>重金投入碎片</t>
  </si>
  <si>
    <t>4_touzi</t>
  </si>
  <si>
    <t>雇佣兵碎片</t>
  </si>
  <si>
    <t>4_dijing</t>
  </si>
  <si>
    <t>盗贼碎片</t>
  </si>
  <si>
    <t>4_lueduo</t>
  </si>
  <si>
    <t>堡垒碎片</t>
  </si>
  <si>
    <t>3_chengbao</t>
  </si>
  <si>
    <t>法师碎片</t>
  </si>
  <si>
    <t>3_puke</t>
  </si>
  <si>
    <t>术士碎片</t>
  </si>
  <si>
    <t>3_chabei</t>
  </si>
  <si>
    <t>静电碎片</t>
  </si>
  <si>
    <t>3_shandian</t>
  </si>
  <si>
    <t>献祭碎片</t>
  </si>
  <si>
    <t>3_tunshi</t>
  </si>
  <si>
    <t>燃烧碎片</t>
  </si>
  <si>
    <t>3_zhuoshao</t>
  </si>
  <si>
    <t>萨满碎片</t>
  </si>
  <si>
    <t>3_lazhu</t>
  </si>
  <si>
    <t>图书馆碎片</t>
  </si>
  <si>
    <t>3_shizhen</t>
  </si>
  <si>
    <t>尖塔碎片</t>
  </si>
  <si>
    <t>3_shuijing</t>
  </si>
  <si>
    <t>树人碎片</t>
  </si>
  <si>
    <t>2_zhucheng</t>
  </si>
  <si>
    <t>菌丝碎片</t>
  </si>
  <si>
    <t>2_moguta</t>
  </si>
  <si>
    <t>克隆碎片</t>
  </si>
  <si>
    <t>2_jingxiang</t>
  </si>
  <si>
    <t>精灵碎片</t>
  </si>
  <si>
    <t>2_jingling</t>
  </si>
  <si>
    <t>野猪碎片</t>
  </si>
  <si>
    <t>2_mifeng</t>
  </si>
  <si>
    <t>果园碎片</t>
  </si>
  <si>
    <t>2_tengman</t>
  </si>
  <si>
    <t>繁衍碎片</t>
  </si>
  <si>
    <t>2_zhufu</t>
  </si>
  <si>
    <t>森林碎片</t>
  </si>
  <si>
    <t>2_yuejing</t>
  </si>
  <si>
    <t>毒药瓶碎片</t>
  </si>
  <si>
    <t>2_duping</t>
  </si>
  <si>
    <t>要塞碎片</t>
  </si>
  <si>
    <t>6_chengbao</t>
  </si>
  <si>
    <t>炼制锅碎片</t>
  </si>
  <si>
    <t>6_tanlu</t>
  </si>
  <si>
    <t>投石塔碎片</t>
  </si>
  <si>
    <t>6_jupao</t>
  </si>
  <si>
    <t>采石矿碎片</t>
  </si>
  <si>
    <t>6_danyao</t>
  </si>
  <si>
    <t>土木工事碎片</t>
  </si>
  <si>
    <t>6_kuozhang</t>
  </si>
  <si>
    <t>弩炮手碎片</t>
  </si>
  <si>
    <t>6_nuche</t>
  </si>
  <si>
    <t>陷阱猎手碎片</t>
  </si>
  <si>
    <t>6_dilei</t>
  </si>
  <si>
    <t>筑墙巧匠碎片</t>
  </si>
  <si>
    <t>6_chengfang</t>
  </si>
  <si>
    <t>烈焰塔碎片</t>
  </si>
  <si>
    <t>6_lieyan</t>
  </si>
  <si>
    <t>母舰碎片</t>
  </si>
  <si>
    <t>刽子手碎片</t>
  </si>
  <si>
    <t>防御者碎片</t>
  </si>
  <si>
    <t>实验鼠碎片</t>
  </si>
  <si>
    <t>增益站碎片</t>
  </si>
  <si>
    <t>强化碎片</t>
  </si>
  <si>
    <t>精准碎片</t>
  </si>
  <si>
    <t>转化塔碎片</t>
  </si>
  <si>
    <t>彻底改造碎片</t>
  </si>
  <si>
    <t>铁血统帅碎片</t>
  </si>
  <si>
    <t>暴徒碎片</t>
  </si>
  <si>
    <t>猛禽兽碎片</t>
  </si>
  <si>
    <t>冰冻碎片</t>
  </si>
  <si>
    <t>营地碎片</t>
  </si>
  <si>
    <t>迁移碎片</t>
  </si>
  <si>
    <t>利剑碎片</t>
  </si>
  <si>
    <t>护盾碎片</t>
  </si>
  <si>
    <t>龙之巢穴碎片</t>
  </si>
  <si>
    <t>绿色卡牌碎片</t>
  </si>
  <si>
    <t>获得随机的绿色国王卡牌碎片</t>
  </si>
  <si>
    <t>kapaisp_1</t>
  </si>
  <si>
    <t>1:1010101:1:1000|1:1020101:1:1000|1:1040101:1:1000|1:2010101:1:1000|1:2030101:1:1000|1:2080101:1:1000|1:3010101:1:1000|1:3020101:1:1000|1:3080101:1:1000|1:4010101:1:1000|1:4020101:1:1000|1:4030101:1:1000|1:5010101:1:1000|1:5020101:1:1000|1:5060101:1:1000</t>
  </si>
  <si>
    <t>蓝色卡牌碎片</t>
  </si>
  <si>
    <t>获得随机的蓝色国王卡牌碎片</t>
  </si>
  <si>
    <t>kapaisp_2</t>
  </si>
  <si>
    <t>1:1050101:1:1000|1:1080101:1:1000|1:1090101:1:1000|1:2020101:1:1000|1:2070101:1:1000|1:2090101:1:1000|1:3040101:1:1000|1:3060101:1:1000|1:3090101:1:1000|1:4050101:1:1000|1:4070101:1:1000|1:4090101:1:1000|1:5040101:1:1000|1:5050101:1:1000|1:5090101:1:1000</t>
  </si>
  <si>
    <t>紫色卡牌碎片</t>
  </si>
  <si>
    <t>获得随机的紫色国王卡牌碎片</t>
  </si>
  <si>
    <t>kapaisp_3</t>
  </si>
  <si>
    <t>1:1030101:1:1000|1:1070101:1:1000|1:2040101:1:1000|1:2060101:1:1000|1:3050101:1:1000|1:3070101:1:1000|1:4040101:1:1000|1:4060101:1:1000|1:5030101:1:1000|1:5070101:1:1000</t>
  </si>
  <si>
    <t>金色卡牌碎片</t>
  </si>
  <si>
    <t>获得随机的金色国王卡牌碎片</t>
  </si>
  <si>
    <t>kapaisp_4</t>
  </si>
  <si>
    <t>1:1060101:1:1000|1:2050101:1:1000|1:3030101:1:1000|1:4080101:1:1000|1:5080101:1:1000</t>
  </si>
  <si>
    <t>道具:1道具2材料3碎片4消耗5英雄经验|装备:3武器4护甲5鞋子2饰品</t>
  </si>
  <si>
    <t>Zuanshi</t>
  </si>
  <si>
    <t>Tongbi</t>
  </si>
  <si>
    <t>Energy</t>
  </si>
  <si>
    <t>Jinengdian</t>
  </si>
  <si>
    <t>Heijing</t>
  </si>
  <si>
    <t>PlayerExp</t>
  </si>
  <si>
    <t>HeroExp</t>
  </si>
  <si>
    <t>Ruchangjuan</t>
  </si>
  <si>
    <t>Choujiangjuan</t>
  </si>
  <si>
    <t>Stone</t>
  </si>
  <si>
    <t>Mujiezhi</t>
  </si>
  <si>
    <t>Tiejiezhi</t>
  </si>
  <si>
    <t>Yinjiezhi</t>
  </si>
  <si>
    <t>Jinjiezhi</t>
  </si>
  <si>
    <t>Qingtongjiezhi</t>
  </si>
  <si>
    <t>Wuchangjie</t>
  </si>
  <si>
    <t>Mofajiezhi</t>
  </si>
  <si>
    <t>Mingxiangjiezhi</t>
  </si>
  <si>
    <t>Wuxinjie</t>
  </si>
  <si>
    <t>Wudaojie</t>
  </si>
  <si>
    <t>Qinglongjie</t>
  </si>
  <si>
    <t>Tongquejie</t>
  </si>
  <si>
    <t>Bingyujie</t>
  </si>
  <si>
    <t>Yanyujie</t>
  </si>
  <si>
    <t>Feicuijie</t>
  </si>
  <si>
    <t>Longya</t>
  </si>
  <si>
    <t>Hushenjie</t>
  </si>
  <si>
    <t>Xuanwujie</t>
  </si>
  <si>
    <t>Baihujie</t>
  </si>
  <si>
    <t>Qilinjie</t>
  </si>
  <si>
    <t>Shenlongjie</t>
  </si>
  <si>
    <t>Fenghuangjie</t>
  </si>
  <si>
    <t>Suanhuaidexianglian</t>
  </si>
  <si>
    <t>Bojiudexianglian</t>
  </si>
  <si>
    <t>Lvshixianglian</t>
  </si>
  <si>
    <t>Hongshixianglian</t>
  </si>
  <si>
    <t>Lvfeicuixianglian</t>
  </si>
  <si>
    <t>Hongbaoshixianglian</t>
  </si>
  <si>
    <t>Heigongxianglian</t>
  </si>
  <si>
    <t>Lvyingxianglian</t>
  </si>
  <si>
    <t>Fuluxianglian</t>
  </si>
  <si>
    <t>Shibingdiaozhui</t>
  </si>
  <si>
    <t>Xueshizhilei</t>
  </si>
  <si>
    <t>Tiankongzhixin</t>
  </si>
  <si>
    <t>Haiyangzhixin</t>
  </si>
  <si>
    <t>Shandianxianglian</t>
  </si>
  <si>
    <t>Jiangjunxianglian</t>
  </si>
  <si>
    <t>Huangjiaxianglian</t>
  </si>
  <si>
    <t>Hushenfu</t>
  </si>
  <si>
    <t>Baihuxianglian</t>
  </si>
  <si>
    <t>Tianshixianglian</t>
  </si>
  <si>
    <t>Silingxianglian</t>
  </si>
  <si>
    <t>Shengmguajian</t>
  </si>
  <si>
    <t>Shikonghuaibiao</t>
  </si>
  <si>
    <t>Canpodeduandao</t>
  </si>
  <si>
    <t>Xuetufazhang</t>
  </si>
  <si>
    <t>Shengxiudemozhang</t>
  </si>
  <si>
    <t>Muzhifazhang</t>
  </si>
  <si>
    <t>Gulaofazhang</t>
  </si>
  <si>
    <t>Tiejian</t>
  </si>
  <si>
    <t>Manzuzhanfu</t>
  </si>
  <si>
    <t>Daozeibishou</t>
  </si>
  <si>
    <t>Wangzhezhijian</t>
  </si>
  <si>
    <t>Guowangzhichui</t>
  </si>
  <si>
    <t>Baofengdajian</t>
  </si>
  <si>
    <t>Zhanxindemozhang</t>
  </si>
  <si>
    <t>Xijian</t>
  </si>
  <si>
    <t>Jujian</t>
  </si>
  <si>
    <t>Xiyoufazhang</t>
  </si>
  <si>
    <t>Zuzhoufazhang</t>
  </si>
  <si>
    <t>Pinghengfazhang</t>
  </si>
  <si>
    <t>Danshoushijian</t>
  </si>
  <si>
    <t>Anyamozhang</t>
  </si>
  <si>
    <t>Gudanzhanchui</t>
  </si>
  <si>
    <t>Zhengtianchui</t>
  </si>
  <si>
    <t>Ziranfazhang</t>
  </si>
  <si>
    <t>Zhanguodebaojian</t>
  </si>
  <si>
    <t>Taitanzhijian</t>
  </si>
  <si>
    <t>Dafashifazhang</t>
  </si>
  <si>
    <t>Lingxiuzhiqiang</t>
  </si>
  <si>
    <t>Hualifazhang</t>
  </si>
  <si>
    <t>Diaowenfazhang</t>
  </si>
  <si>
    <t>Jieliufazhang</t>
  </si>
  <si>
    <t>Juzhanfazhang</t>
  </si>
  <si>
    <t>Nuyafazhang</t>
  </si>
  <si>
    <t>Mieshichangjian</t>
  </si>
  <si>
    <t>Yuanguzhanfu</t>
  </si>
  <si>
    <t>Gongtingfazhang</t>
  </si>
  <si>
    <t>Heiyaoshifazhang</t>
  </si>
  <si>
    <t>Youlingduanjian</t>
  </si>
  <si>
    <t>Jinglingbishou</t>
  </si>
  <si>
    <t>Jisimozhang</t>
  </si>
  <si>
    <t>Zuanshizhijian</t>
  </si>
  <si>
    <t>Silingfazhang</t>
  </si>
  <si>
    <t>Shenmifazhang</t>
  </si>
  <si>
    <t>Haiyangzhizai</t>
  </si>
  <si>
    <t>Rongyanjuren</t>
  </si>
  <si>
    <t>Fengzhiren</t>
  </si>
  <si>
    <t>Leimingfazhang</t>
  </si>
  <si>
    <t>Dadizhichui</t>
  </si>
  <si>
    <t>Siliezhiren</t>
  </si>
  <si>
    <t>Poxiaozhiren</t>
  </si>
  <si>
    <t>Zhanlongren</t>
  </si>
  <si>
    <t>Liedifazhang</t>
  </si>
  <si>
    <t>Emofazhang</t>
  </si>
  <si>
    <t>Diaolingfazhang</t>
  </si>
  <si>
    <t>Wumingfazhang</t>
  </si>
  <si>
    <t>Putongdemajia</t>
  </si>
  <si>
    <t>Xuetushangyi</t>
  </si>
  <si>
    <t>Yuandun</t>
  </si>
  <si>
    <t>Qingtongjia</t>
  </si>
  <si>
    <t>Nvwudeshangyi</t>
  </si>
  <si>
    <t>Daozeipijia</t>
  </si>
  <si>
    <t>Manzuzhanjia</t>
  </si>
  <si>
    <t>Dadun</t>
  </si>
  <si>
    <t>Guowangdekaijia</t>
  </si>
  <si>
    <t>Baofengzhikai</t>
  </si>
  <si>
    <t>Anyazhikai</t>
  </si>
  <si>
    <t>Gudanzhanjia</t>
  </si>
  <si>
    <t>Zhanshikaijia</t>
  </si>
  <si>
    <t>Ziranzhili</t>
  </si>
  <si>
    <t>Zhanguozhili</t>
  </si>
  <si>
    <t>Aiwenzhidun</t>
  </si>
  <si>
    <t>Yingjiaodun</t>
  </si>
  <si>
    <t>Lvkuidun</t>
  </si>
  <si>
    <t>Taitanzhanjia</t>
  </si>
  <si>
    <t>Dafashichangpao</t>
  </si>
  <si>
    <t>Lingxiukaijia</t>
  </si>
  <si>
    <t>Yuanguzhankai</t>
  </si>
  <si>
    <t>Gongtingfushi</t>
  </si>
  <si>
    <t>Heiyaoshikaijia</t>
  </si>
  <si>
    <t>Huowenjudun</t>
  </si>
  <si>
    <t>Huangguanzhidun</t>
  </si>
  <si>
    <t>Jueyuanfazhang</t>
  </si>
  <si>
    <t>Zuanshixiongjia</t>
  </si>
  <si>
    <t>Silingjia</t>
  </si>
  <si>
    <t>Shenmikaijia</t>
  </si>
  <si>
    <t>Yuansuchangpao</t>
  </si>
  <si>
    <t>Chunbaizhikai</t>
  </si>
  <si>
    <t>Fengzhigezhe</t>
  </si>
  <si>
    <t>Longguzhongkai</t>
  </si>
  <si>
    <t>Shenshengzhiguang</t>
  </si>
  <si>
    <t>Putongdeniupixue</t>
  </si>
  <si>
    <t>Xuetuzhixue</t>
  </si>
  <si>
    <t>Nvwuzhixue</t>
  </si>
  <si>
    <t>Manzuzhanxue</t>
  </si>
  <si>
    <t>Daozeiduanxue</t>
  </si>
  <si>
    <t>Qingtongxue</t>
  </si>
  <si>
    <t>Guowangdezhanxue</t>
  </si>
  <si>
    <t>Baofengzhixue</t>
  </si>
  <si>
    <t>Anyazhixue</t>
  </si>
  <si>
    <t>Gudanzhixue</t>
  </si>
  <si>
    <t>Zhanshizhixue</t>
  </si>
  <si>
    <t>Ziranzhixue</t>
  </si>
  <si>
    <t>Zhanguozhixue</t>
  </si>
  <si>
    <t>Taitanzhanxue</t>
  </si>
  <si>
    <t>Dafashichangxue</t>
  </si>
  <si>
    <t>Lingxiuzhixue</t>
  </si>
  <si>
    <t>Yuanguzhanxue</t>
  </si>
  <si>
    <t>Gongtingpixue</t>
  </si>
  <si>
    <t>Heiyaoshizhixue</t>
  </si>
  <si>
    <t>Zuanshizhixue</t>
  </si>
  <si>
    <t>Silingxue</t>
  </si>
  <si>
    <t>Shenmixue</t>
  </si>
  <si>
    <t>Yuansuzhixue</t>
  </si>
  <si>
    <t>Chunbaizhixue</t>
  </si>
  <si>
    <t>Qingyuzhixue</t>
  </si>
  <si>
    <t>Longguxue</t>
  </si>
  <si>
    <t>Shenshengzhixue</t>
  </si>
  <si>
    <t>SR进阶材料</t>
  </si>
  <si>
    <t>SSR进阶材料</t>
  </si>
  <si>
    <t>进阶普通材料1</t>
  </si>
  <si>
    <t>进阶普通材料2</t>
  </si>
  <si>
    <t>进阶优秀材料1</t>
  </si>
  <si>
    <t>进阶优秀材料2</t>
  </si>
  <si>
    <t>进阶精良材料1</t>
  </si>
  <si>
    <t>进阶精良材料2</t>
  </si>
  <si>
    <t>进阶史诗材料1</t>
  </si>
  <si>
    <t>进阶史诗材料2</t>
  </si>
  <si>
    <t>初级训练器材</t>
  </si>
  <si>
    <t>中级训练器材</t>
  </si>
  <si>
    <t>高级训练器材</t>
  </si>
  <si>
    <t>初级士兵手册</t>
  </si>
  <si>
    <t>中级士兵手册</t>
  </si>
  <si>
    <t>高级士兵手册</t>
  </si>
  <si>
    <t>英雄经验书</t>
  </si>
  <si>
    <t>人族女王碎片</t>
  </si>
  <si>
    <t>白色物理第01套饰品</t>
  </si>
  <si>
    <t>白色物理第01套武器</t>
  </si>
  <si>
    <t>白色物理第01套盔甲</t>
  </si>
  <si>
    <t>白色物理第01套鞋子</t>
  </si>
  <si>
    <t>蓝色物理第01套饰品</t>
  </si>
  <si>
    <t>蓝色物理第01套武器</t>
  </si>
  <si>
    <t>蓝色物理第01套盔甲</t>
  </si>
  <si>
    <t>蓝色物理第01套鞋子</t>
  </si>
  <si>
    <t>蓝色物理第02套饰品</t>
  </si>
  <si>
    <t>蓝色物理第02套武器</t>
  </si>
  <si>
    <t>蓝色物理第02套盔甲</t>
  </si>
  <si>
    <t>蓝色物理第02套鞋子</t>
  </si>
  <si>
    <t>蓝色物理第03套饰品</t>
  </si>
  <si>
    <t>蓝色物理第03套武器</t>
  </si>
  <si>
    <t>蓝色物理第03套盔甲</t>
  </si>
  <si>
    <t>蓝色物理第03套鞋子</t>
  </si>
  <si>
    <t>紫色物理第01套饰品</t>
  </si>
  <si>
    <t>紫色物理第01套武器</t>
  </si>
  <si>
    <t>紫色物理第01套盔甲</t>
  </si>
  <si>
    <t>紫色物理第01套鞋子</t>
  </si>
  <si>
    <t>紫色物理第02套饰品</t>
  </si>
  <si>
    <t>紫色物理第02套武器</t>
  </si>
  <si>
    <t>紫色物理第02套盔甲</t>
  </si>
  <si>
    <t>紫色物理第02套鞋子</t>
  </si>
  <si>
    <t>紫色物理第03套饰品</t>
  </si>
  <si>
    <t>紫色物理第03套武器</t>
  </si>
  <si>
    <t>紫色物理第03套盔甲</t>
  </si>
  <si>
    <t>紫色物理第03套鞋子</t>
  </si>
  <si>
    <t>橙色物理第01套饰品</t>
  </si>
  <si>
    <t>橙色物理第01套武器</t>
  </si>
  <si>
    <t>橙色物理第01套盔甲</t>
  </si>
  <si>
    <t>橙色物理第01套鞋子</t>
  </si>
  <si>
    <t>橙色物理第02套饰品</t>
  </si>
  <si>
    <t>橙色物理第02套武器</t>
  </si>
  <si>
    <t>橙色物理第02套盔甲</t>
  </si>
  <si>
    <t>橙色物理第02套鞋子</t>
  </si>
  <si>
    <t>橙色物理第03套饰品</t>
  </si>
  <si>
    <t>橙色物理第03套武器</t>
  </si>
  <si>
    <t>橙色物理第03套盔甲</t>
  </si>
  <si>
    <t>橙色物理第03套鞋子</t>
  </si>
  <si>
    <t>橙色物理第04套饰品</t>
  </si>
  <si>
    <t>橙色物理第04套武器</t>
  </si>
  <si>
    <t>橙色物理第04套盔甲</t>
  </si>
  <si>
    <t>橙色物理第04套鞋子</t>
  </si>
  <si>
    <t>橙色物理第05套饰品</t>
  </si>
  <si>
    <t>橙色物理第05套武器</t>
  </si>
  <si>
    <t>橙色物理第05套盔甲</t>
  </si>
  <si>
    <t>橙色物理第05套鞋子</t>
  </si>
  <si>
    <t>橙色物理第06套饰品</t>
  </si>
  <si>
    <t>橙色物理第06套武器</t>
  </si>
  <si>
    <t>橙色物理第06套盔甲</t>
  </si>
  <si>
    <t>橙色物理第06套鞋子</t>
  </si>
  <si>
    <t>橙色物理第07套饰品</t>
  </si>
  <si>
    <t>橙色物理第07套武器</t>
  </si>
  <si>
    <t>橙色物理第07套盔甲</t>
  </si>
  <si>
    <t>橙色物理第07套鞋子</t>
  </si>
  <si>
    <t>橙色物理第08套饰品</t>
  </si>
  <si>
    <t>橙色物理第08套武器</t>
  </si>
  <si>
    <t>橙色物理第08套盔甲</t>
  </si>
  <si>
    <t>橙色物理第08套鞋子</t>
  </si>
  <si>
    <t>橙色物理第09套饰品</t>
  </si>
  <si>
    <t>橙色物理第09套武器</t>
  </si>
  <si>
    <t>橙色物理第09套盔甲</t>
  </si>
  <si>
    <t>橙色物理第09套鞋子</t>
  </si>
  <si>
    <t>橙色物理第10套饰品</t>
  </si>
  <si>
    <t>橙色物理第10套武器</t>
  </si>
  <si>
    <t>橙色物理第10套盔甲</t>
  </si>
  <si>
    <t>橙色物理第10套鞋子</t>
  </si>
  <si>
    <t>白色魔法第01套饰品</t>
  </si>
  <si>
    <t>白色魔法第01套武器</t>
  </si>
  <si>
    <t>白色魔法第01套盔甲</t>
  </si>
  <si>
    <t>白色魔法第01套鞋子</t>
  </si>
  <si>
    <t>蓝色魔法第01套饰品</t>
  </si>
  <si>
    <t>蓝色魔法第01套武器</t>
  </si>
  <si>
    <t>蓝色魔法第01套盔甲</t>
  </si>
  <si>
    <t>蓝色魔法第01套鞋子</t>
  </si>
  <si>
    <t>蓝色魔法第02套饰品</t>
  </si>
  <si>
    <t>蓝色魔法第02套武器</t>
  </si>
  <si>
    <t>蓝色魔法第02套盔甲</t>
  </si>
  <si>
    <t>蓝色魔法第02套鞋子</t>
  </si>
  <si>
    <t>蓝色魔法第03套饰品</t>
  </si>
  <si>
    <t>蓝色魔法第03套武器</t>
  </si>
  <si>
    <t>蓝色魔法第03套盔甲</t>
  </si>
  <si>
    <t>蓝色魔法第03套鞋子</t>
  </si>
  <si>
    <t>紫色魔法第01套饰品</t>
  </si>
  <si>
    <t>紫色魔法第01套武器</t>
  </si>
  <si>
    <t>紫色魔法第01套盔甲</t>
  </si>
  <si>
    <t>紫色魔法第01套鞋子</t>
  </si>
  <si>
    <t>紫色魔法第02套饰品</t>
  </si>
  <si>
    <t>紫色魔法第02套武器</t>
  </si>
  <si>
    <t>紫色魔法第02套盔甲</t>
  </si>
  <si>
    <t>紫色魔法第02套鞋子</t>
  </si>
  <si>
    <t>紫色魔法第03套饰品</t>
  </si>
  <si>
    <t>紫色魔法第03套武器</t>
  </si>
  <si>
    <t>紫色魔法第03套盔甲</t>
  </si>
  <si>
    <t>紫色魔法第03套鞋子</t>
  </si>
  <si>
    <t>橙色魔法第01套饰品</t>
  </si>
  <si>
    <t>橙色魔法第01套武器</t>
  </si>
  <si>
    <t>橙色魔法第01套盔甲</t>
  </si>
  <si>
    <t>橙色魔法第01套鞋子</t>
  </si>
  <si>
    <t>橙色魔法第02套饰品</t>
  </si>
  <si>
    <t>橙色魔法第02套武器</t>
  </si>
  <si>
    <t>橙色魔法第02套盔甲</t>
  </si>
  <si>
    <t>橙色魔法第02套鞋子</t>
  </si>
  <si>
    <t>橙色魔法第03套饰品</t>
  </si>
  <si>
    <t>橙色魔法第03套武器</t>
  </si>
  <si>
    <t>橙色魔法第03套盔甲</t>
  </si>
  <si>
    <t>橙色魔法第03套鞋子</t>
  </si>
  <si>
    <t>橙色魔法第04套饰品</t>
  </si>
  <si>
    <t>橙色魔法第04套武器</t>
  </si>
  <si>
    <t>橙色魔法第04套盔甲</t>
  </si>
  <si>
    <t>橙色魔法第04套鞋子</t>
  </si>
  <si>
    <t>橙色魔法第05套饰品</t>
  </si>
  <si>
    <t>橙色魔法第05套武器</t>
  </si>
  <si>
    <t>橙色魔法第05套盔甲</t>
  </si>
  <si>
    <t>橙色魔法第05套鞋子</t>
  </si>
  <si>
    <t>橙色魔法第06套饰品</t>
  </si>
  <si>
    <t>橙色魔法第06套武器</t>
  </si>
  <si>
    <t>橙色魔法第06套盔甲</t>
  </si>
  <si>
    <t>橙色魔法第06套鞋子</t>
  </si>
  <si>
    <t>橙色魔法第07套饰品</t>
  </si>
  <si>
    <t>橙色魔法第07套武器</t>
  </si>
  <si>
    <t>橙色魔法第07套盔甲</t>
  </si>
  <si>
    <t>橙色魔法第07套鞋子</t>
  </si>
  <si>
    <t>橙色魔法第08套饰品</t>
  </si>
  <si>
    <t>橙色魔法第08套武器</t>
  </si>
  <si>
    <t>橙色魔法第08套盔甲</t>
  </si>
  <si>
    <t>橙色魔法第08套鞋子</t>
  </si>
  <si>
    <t>橙色魔法第09套饰品</t>
  </si>
  <si>
    <t>橙色魔法第09套武器</t>
  </si>
  <si>
    <t>橙色魔法第09套盔甲</t>
  </si>
  <si>
    <t>橙色魔法第09套鞋子</t>
  </si>
  <si>
    <t>橙色魔法第10套饰品</t>
  </si>
  <si>
    <t>橙色魔法第10套武器</t>
  </si>
  <si>
    <t>橙色魔法第10套盔甲</t>
  </si>
  <si>
    <t>橙色魔法第10套鞋子</t>
  </si>
  <si>
    <t>Type1</t>
  </si>
  <si>
    <t>道具:1道具2材料3碎片4消耗装备:1武器2护甲3头盔4饰品</t>
  </si>
  <si>
    <t>0基础/1戒指/2项链/3武器/4防具/5鞋子/6宝物/9材料/10经验书</t>
  </si>
  <si>
    <t>军旗</t>
  </si>
  <si>
    <t>Junqi</t>
  </si>
  <si>
    <t>1|4|22|23|24|26</t>
  </si>
  <si>
    <t>风暴图腾</t>
  </si>
  <si>
    <t>Fengbaotuteng</t>
  </si>
  <si>
    <t>宝珠</t>
  </si>
  <si>
    <t>Baozhu</t>
  </si>
  <si>
    <t>4|4|1</t>
  </si>
  <si>
    <t>魔法石</t>
  </si>
  <si>
    <t>Mofashi</t>
  </si>
  <si>
    <t>4|1|4</t>
  </si>
  <si>
    <t>魔法宝石</t>
  </si>
  <si>
    <t>Mofabaoshi</t>
  </si>
  <si>
    <t>4|4|4|1</t>
  </si>
  <si>
    <t>魔法书</t>
  </si>
  <si>
    <t>Mofashu</t>
  </si>
  <si>
    <t>4|4|1|4</t>
  </si>
  <si>
    <t>魔法卷轴</t>
  </si>
  <si>
    <t>Mofajuanzhou</t>
  </si>
  <si>
    <t>4|4|4|1|26</t>
  </si>
  <si>
    <t>炼金石</t>
  </si>
  <si>
    <t>Lianjinshi</t>
  </si>
  <si>
    <t>4|4|4|1|24</t>
  </si>
  <si>
    <t>信仰雕像</t>
  </si>
  <si>
    <t>Xinyangdiaoxiang</t>
  </si>
  <si>
    <t>4|4|4|1|22</t>
  </si>
  <si>
    <t>天使之羽</t>
  </si>
  <si>
    <t>Tianshizhiyu</t>
  </si>
  <si>
    <t>4|4|4|1|23</t>
  </si>
  <si>
    <t>魔镜</t>
  </si>
  <si>
    <t>Mojing</t>
  </si>
  <si>
    <t>4|4|4|1|22|26</t>
  </si>
  <si>
    <t>步兵护符</t>
  </si>
  <si>
    <t>Bubingfuwen</t>
  </si>
  <si>
    <t>4|4|4|1|1|26</t>
  </si>
  <si>
    <t>魔法符文</t>
  </si>
  <si>
    <t>Mofafuwen</t>
  </si>
  <si>
    <t>4|4|4|1|22|24</t>
  </si>
  <si>
    <t>龙心</t>
  </si>
  <si>
    <t>Longxin</t>
  </si>
  <si>
    <t>4|4|4|1|22|23</t>
  </si>
  <si>
    <t>魔法披风</t>
  </si>
  <si>
    <t>Mofapifeng</t>
  </si>
  <si>
    <t>4|4|1|4|1|24</t>
  </si>
  <si>
    <t>勇气勋章</t>
  </si>
  <si>
    <t>Yongqixunzhang</t>
  </si>
  <si>
    <t>4|4|1|4|1|23</t>
  </si>
  <si>
    <t>天羽箭袋</t>
  </si>
  <si>
    <t>Tianyujiandai</t>
  </si>
  <si>
    <t>瓶中小鬼</t>
  </si>
  <si>
    <t>Pingzhongxiaogui</t>
  </si>
  <si>
    <t>4|4|4|1|4|1|22|26</t>
  </si>
  <si>
    <t>活力圣瓶</t>
  </si>
  <si>
    <t>Huolishengping</t>
  </si>
  <si>
    <t>1|4|1|4|4|1|23|24|26</t>
  </si>
  <si>
    <t>龙之血瓶</t>
  </si>
  <si>
    <t>Longzhixueping</t>
  </si>
  <si>
    <t>1|1|4|4|4|1|22|23|24</t>
  </si>
  <si>
    <t>魔法宝珠</t>
  </si>
  <si>
    <t>Mofabaozhu</t>
  </si>
  <si>
    <t>1|1|4|4|4|1|22|23|26</t>
  </si>
  <si>
    <t>气灵球</t>
  </si>
  <si>
    <t>Qilingqiu</t>
  </si>
  <si>
    <t>1|1|4|4|4|1|26|23|24</t>
  </si>
  <si>
    <t>土灵球</t>
  </si>
  <si>
    <t>Tulingqiu</t>
  </si>
  <si>
    <t>1|1|4|4|4|1|23|24|26</t>
  </si>
  <si>
    <t>火灵球</t>
  </si>
  <si>
    <t>Huolingqiu</t>
  </si>
  <si>
    <t>1|1|4|4|4|1|22|24|26</t>
  </si>
  <si>
    <t>水灵球</t>
  </si>
  <si>
    <t>Shuilingqiu</t>
  </si>
  <si>
    <t>1|1|4|44|1|23|24|26</t>
  </si>
  <si>
    <t>水系魔法书</t>
  </si>
  <si>
    <t>Shuiximofashu</t>
  </si>
  <si>
    <t>1|1|4|4|22|4|23|24|26</t>
  </si>
  <si>
    <t>土系魔法书</t>
  </si>
  <si>
    <t>Tuximofashu</t>
  </si>
  <si>
    <t>火系魔法书</t>
  </si>
  <si>
    <t>Huoximofashu</t>
  </si>
  <si>
    <t>气系魔法书</t>
  </si>
  <si>
    <t>Qiximofashu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</si>
</sst>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8"/>
  <sheetViews>
    <sheetView tabSelected="1" workbookViewId="0">
      <pane ySplit="3" topLeftCell="A303" activePane="bottomLeft" state="frozen"/>
      <selection/>
      <selection pane="bottomLeft" activeCell="D344" sqref="B343:D344"/>
    </sheetView>
  </sheetViews>
  <sheetFormatPr defaultColWidth="9" defaultRowHeight="13.5"/>
  <cols>
    <col min="1" max="1" width="9.375" style="24" customWidth="1"/>
    <col min="2" max="2" width="19.375" style="24" customWidth="1"/>
    <col min="3" max="3" width="43.875" style="24" customWidth="1"/>
    <col min="4" max="5" width="8.75" style="24" customWidth="1"/>
    <col min="6" max="6" width="15" style="24" customWidth="1"/>
    <col min="7" max="9" width="8.75" style="24" customWidth="1"/>
    <col min="10" max="10" width="28.125" style="24" customWidth="1"/>
    <col min="11" max="18" width="8.75" style="24" customWidth="1"/>
    <col min="19" max="19" width="9" style="24"/>
    <col min="20" max="16384" width="9" style="12"/>
  </cols>
  <sheetData>
    <row r="1" s="12" customFormat="1" spans="1:19">
      <c r="A1" s="15" t="s">
        <v>0</v>
      </c>
      <c r="B1" s="15" t="s">
        <v>1</v>
      </c>
      <c r="C1" s="2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27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15" t="s">
        <v>15</v>
      </c>
      <c r="Q1" s="28" t="s">
        <v>16</v>
      </c>
      <c r="R1" s="26" t="s">
        <v>17</v>
      </c>
      <c r="S1" s="26" t="s">
        <v>18</v>
      </c>
    </row>
    <row r="2" s="12" customFormat="1" spans="1:19">
      <c r="A2" s="15" t="s">
        <v>19</v>
      </c>
      <c r="B2" s="15" t="s">
        <v>20</v>
      </c>
      <c r="C2" s="26" t="s">
        <v>20</v>
      </c>
      <c r="D2" s="15" t="s">
        <v>19</v>
      </c>
      <c r="E2" s="15" t="s">
        <v>19</v>
      </c>
      <c r="F2" s="15" t="s">
        <v>20</v>
      </c>
      <c r="G2" s="15" t="s">
        <v>19</v>
      </c>
      <c r="H2" s="15" t="s">
        <v>19</v>
      </c>
      <c r="I2" s="27" t="s">
        <v>19</v>
      </c>
      <c r="J2" s="26" t="s">
        <v>20</v>
      </c>
      <c r="K2" s="26" t="s">
        <v>20</v>
      </c>
      <c r="L2" s="26" t="s">
        <v>19</v>
      </c>
      <c r="M2" s="26" t="s">
        <v>19</v>
      </c>
      <c r="N2" s="26" t="s">
        <v>19</v>
      </c>
      <c r="O2" s="26" t="s">
        <v>19</v>
      </c>
      <c r="P2" s="15" t="s">
        <v>20</v>
      </c>
      <c r="Q2" s="29" t="s">
        <v>20</v>
      </c>
      <c r="R2" s="26" t="s">
        <v>19</v>
      </c>
      <c r="S2" s="26" t="s">
        <v>19</v>
      </c>
    </row>
    <row r="3" s="12" customFormat="1" ht="169" customHeight="1" spans="1:19">
      <c r="A3" s="21" t="s">
        <v>21</v>
      </c>
      <c r="B3" s="21" t="s">
        <v>22</v>
      </c>
      <c r="C3" s="30" t="s">
        <v>23</v>
      </c>
      <c r="D3" s="21" t="s">
        <v>24</v>
      </c>
      <c r="E3" s="21" t="s">
        <v>25</v>
      </c>
      <c r="F3" s="21" t="s">
        <v>26</v>
      </c>
      <c r="G3" s="21" t="s">
        <v>27</v>
      </c>
      <c r="H3" s="21" t="s">
        <v>28</v>
      </c>
      <c r="I3" s="31" t="s">
        <v>29</v>
      </c>
      <c r="J3" s="30" t="s">
        <v>30</v>
      </c>
      <c r="K3" s="30" t="s">
        <v>31</v>
      </c>
      <c r="L3" s="30" t="s">
        <v>32</v>
      </c>
      <c r="M3" s="30" t="s">
        <v>33</v>
      </c>
      <c r="N3" s="30" t="s">
        <v>34</v>
      </c>
      <c r="O3" s="30" t="s">
        <v>35</v>
      </c>
      <c r="P3" s="21" t="s">
        <v>36</v>
      </c>
      <c r="Q3" s="32" t="s">
        <v>37</v>
      </c>
      <c r="R3" s="30" t="s">
        <v>38</v>
      </c>
      <c r="S3" s="26" t="s">
        <v>39</v>
      </c>
    </row>
    <row r="4" s="12" customFormat="1" spans="1:19">
      <c r="A4" s="24">
        <v>11</v>
      </c>
      <c r="B4" s="24" t="s">
        <v>40</v>
      </c>
      <c r="C4" s="24" t="s">
        <v>41</v>
      </c>
      <c r="D4" s="24">
        <v>4</v>
      </c>
      <c r="E4" s="24">
        <v>0</v>
      </c>
      <c r="F4" s="24" t="s">
        <v>42</v>
      </c>
      <c r="G4" s="24">
        <v>1</v>
      </c>
      <c r="H4" s="24">
        <v>1</v>
      </c>
      <c r="I4" s="24">
        <v>0</v>
      </c>
      <c r="J4" s="24">
        <v>0</v>
      </c>
      <c r="K4" s="24">
        <v>0</v>
      </c>
      <c r="L4" s="24">
        <v>0</v>
      </c>
      <c r="M4" s="24">
        <f t="shared" ref="M4:M11" si="0">IF(G4=1,1,0)</f>
        <v>1</v>
      </c>
      <c r="N4" s="24">
        <v>0</v>
      </c>
      <c r="O4" s="24">
        <v>0</v>
      </c>
      <c r="P4" s="24">
        <v>0</v>
      </c>
      <c r="Q4" s="24">
        <v>0</v>
      </c>
      <c r="R4" s="24">
        <v>1</v>
      </c>
      <c r="S4" s="24">
        <v>0</v>
      </c>
    </row>
    <row r="5" s="12" customFormat="1" spans="1:19">
      <c r="A5" s="24">
        <v>12</v>
      </c>
      <c r="B5" s="24" t="s">
        <v>43</v>
      </c>
      <c r="C5" s="24" t="s">
        <v>44</v>
      </c>
      <c r="D5" s="24">
        <v>3</v>
      </c>
      <c r="E5" s="24">
        <v>0</v>
      </c>
      <c r="F5" s="24" t="s">
        <v>45</v>
      </c>
      <c r="G5" s="24">
        <v>1</v>
      </c>
      <c r="H5" s="24">
        <v>1</v>
      </c>
      <c r="I5" s="24">
        <v>0</v>
      </c>
      <c r="J5" s="24">
        <v>0</v>
      </c>
      <c r="K5" s="24">
        <v>0</v>
      </c>
      <c r="L5" s="24">
        <v>0</v>
      </c>
      <c r="M5" s="24">
        <f t="shared" si="0"/>
        <v>1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</row>
    <row r="6" s="12" customFormat="1" spans="1:19">
      <c r="A6" s="24">
        <v>13</v>
      </c>
      <c r="B6" s="24" t="s">
        <v>46</v>
      </c>
      <c r="C6" s="24" t="s">
        <v>47</v>
      </c>
      <c r="D6" s="24">
        <v>3</v>
      </c>
      <c r="E6" s="24">
        <v>0</v>
      </c>
      <c r="F6" s="24" t="s">
        <v>48</v>
      </c>
      <c r="G6" s="24">
        <v>1</v>
      </c>
      <c r="H6" s="24">
        <v>1</v>
      </c>
      <c r="I6" s="24">
        <v>0</v>
      </c>
      <c r="J6" s="24">
        <v>0</v>
      </c>
      <c r="K6" s="24">
        <v>0</v>
      </c>
      <c r="L6" s="24">
        <v>0</v>
      </c>
      <c r="M6" s="24">
        <f t="shared" si="0"/>
        <v>1</v>
      </c>
      <c r="N6" s="24">
        <v>0</v>
      </c>
      <c r="O6" s="24">
        <v>0</v>
      </c>
      <c r="P6" s="24">
        <v>0</v>
      </c>
      <c r="Q6" s="24">
        <v>0</v>
      </c>
      <c r="R6" s="24">
        <v>1</v>
      </c>
      <c r="S6" s="24">
        <v>0</v>
      </c>
    </row>
    <row r="7" s="12" customFormat="1" spans="1:19">
      <c r="A7" s="24">
        <v>14</v>
      </c>
      <c r="B7" s="24" t="s">
        <v>49</v>
      </c>
      <c r="C7" s="24" t="s">
        <v>50</v>
      </c>
      <c r="D7" s="24">
        <v>1</v>
      </c>
      <c r="E7" s="24">
        <v>0</v>
      </c>
      <c r="F7" s="24" t="s">
        <v>45</v>
      </c>
      <c r="G7" s="24">
        <v>1</v>
      </c>
      <c r="H7" s="24">
        <v>1</v>
      </c>
      <c r="I7" s="24">
        <v>0</v>
      </c>
      <c r="J7" s="24">
        <v>0</v>
      </c>
      <c r="K7" s="24">
        <v>0</v>
      </c>
      <c r="L7" s="24">
        <v>0</v>
      </c>
      <c r="M7" s="24">
        <f t="shared" si="0"/>
        <v>1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</row>
    <row r="8" s="12" customFormat="1" spans="1:19">
      <c r="A8" s="24">
        <v>15</v>
      </c>
      <c r="B8" s="24" t="s">
        <v>51</v>
      </c>
      <c r="C8" s="24" t="s">
        <v>50</v>
      </c>
      <c r="D8" s="24">
        <v>1</v>
      </c>
      <c r="E8" s="24">
        <v>0</v>
      </c>
      <c r="F8" s="24" t="s">
        <v>45</v>
      </c>
      <c r="G8" s="24">
        <v>1</v>
      </c>
      <c r="H8" s="24">
        <v>1</v>
      </c>
      <c r="I8" s="24">
        <v>0</v>
      </c>
      <c r="J8" s="24">
        <v>0</v>
      </c>
      <c r="K8" s="24">
        <v>0</v>
      </c>
      <c r="L8" s="24">
        <v>1</v>
      </c>
      <c r="M8" s="24">
        <f t="shared" si="0"/>
        <v>1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</row>
    <row r="9" s="12" customFormat="1" spans="1:19">
      <c r="A9" s="24">
        <v>16</v>
      </c>
      <c r="B9" s="24" t="s">
        <v>52</v>
      </c>
      <c r="C9" s="24" t="s">
        <v>50</v>
      </c>
      <c r="D9" s="24">
        <v>1</v>
      </c>
      <c r="E9" s="24">
        <v>0</v>
      </c>
      <c r="F9" s="24" t="s">
        <v>53</v>
      </c>
      <c r="G9" s="24">
        <v>1</v>
      </c>
      <c r="H9" s="24">
        <v>1</v>
      </c>
      <c r="I9" s="24">
        <v>0</v>
      </c>
      <c r="J9" s="24">
        <v>0</v>
      </c>
      <c r="K9" s="24">
        <v>0</v>
      </c>
      <c r="L9" s="24">
        <v>0</v>
      </c>
      <c r="M9" s="24">
        <f t="shared" si="0"/>
        <v>1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</row>
    <row r="10" s="12" customFormat="1" spans="1:19">
      <c r="A10" s="24">
        <v>17</v>
      </c>
      <c r="B10" s="24" t="s">
        <v>54</v>
      </c>
      <c r="C10" s="24" t="s">
        <v>50</v>
      </c>
      <c r="D10" s="24">
        <v>1</v>
      </c>
      <c r="E10" s="24">
        <v>0</v>
      </c>
      <c r="F10" s="24" t="s">
        <v>45</v>
      </c>
      <c r="G10" s="24">
        <v>1</v>
      </c>
      <c r="H10" s="24">
        <v>2</v>
      </c>
      <c r="I10" s="24">
        <v>0</v>
      </c>
      <c r="J10" s="24">
        <v>0</v>
      </c>
      <c r="K10" s="24">
        <v>0</v>
      </c>
      <c r="L10" s="24">
        <v>1</v>
      </c>
      <c r="M10" s="24">
        <f t="shared" si="0"/>
        <v>1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</row>
    <row r="11" s="12" customFormat="1" ht="15" customHeight="1" spans="1:19">
      <c r="A11" s="24">
        <v>18</v>
      </c>
      <c r="B11" s="24" t="s">
        <v>55</v>
      </c>
      <c r="C11" s="24" t="s">
        <v>50</v>
      </c>
      <c r="D11" s="24">
        <v>1</v>
      </c>
      <c r="E11" s="24">
        <v>0</v>
      </c>
      <c r="F11" s="24" t="s">
        <v>45</v>
      </c>
      <c r="G11" s="24">
        <v>1</v>
      </c>
      <c r="H11" s="24">
        <v>2</v>
      </c>
      <c r="I11" s="24">
        <v>0</v>
      </c>
      <c r="J11" s="24">
        <v>0</v>
      </c>
      <c r="K11" s="24">
        <v>0</v>
      </c>
      <c r="L11" s="24">
        <v>1</v>
      </c>
      <c r="M11" s="24">
        <f t="shared" si="0"/>
        <v>1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="12" customFormat="1" ht="15" customHeight="1" spans="1:19">
      <c r="A12" s="24">
        <v>19</v>
      </c>
      <c r="B12" s="24" t="s">
        <v>56</v>
      </c>
      <c r="C12" s="24" t="s">
        <v>50</v>
      </c>
      <c r="D12" s="24">
        <v>1</v>
      </c>
      <c r="E12" s="24">
        <v>0</v>
      </c>
      <c r="F12" s="24" t="s">
        <v>45</v>
      </c>
      <c r="G12" s="24">
        <v>1</v>
      </c>
      <c r="H12" s="24">
        <v>2</v>
      </c>
      <c r="I12" s="24">
        <v>0</v>
      </c>
      <c r="J12" s="24">
        <v>0</v>
      </c>
      <c r="K12" s="24">
        <v>0</v>
      </c>
      <c r="L12" s="24">
        <v>1</v>
      </c>
      <c r="M12" s="24">
        <f t="shared" ref="M12:M17" si="1">IF(G12=1,1,0)</f>
        <v>1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</row>
    <row r="13" s="12" customFormat="1" ht="15" customHeight="1" spans="1:19">
      <c r="A13" s="24">
        <v>20</v>
      </c>
      <c r="B13" s="24" t="s">
        <v>57</v>
      </c>
      <c r="C13" s="24" t="s">
        <v>50</v>
      </c>
      <c r="D13" s="24">
        <v>1</v>
      </c>
      <c r="E13" s="24">
        <v>0</v>
      </c>
      <c r="F13" s="24" t="s">
        <v>45</v>
      </c>
      <c r="G13" s="24">
        <v>1</v>
      </c>
      <c r="H13" s="24">
        <v>2</v>
      </c>
      <c r="I13" s="24">
        <v>0</v>
      </c>
      <c r="J13" s="24">
        <v>0</v>
      </c>
      <c r="K13" s="24">
        <v>0</v>
      </c>
      <c r="L13" s="24">
        <v>1</v>
      </c>
      <c r="M13" s="24">
        <f t="shared" si="1"/>
        <v>1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</row>
    <row r="14" s="12" customFormat="1" spans="1:19">
      <c r="A14" s="24">
        <v>21</v>
      </c>
      <c r="B14" s="24" t="s">
        <v>58</v>
      </c>
      <c r="C14" s="24" t="s">
        <v>59</v>
      </c>
      <c r="D14" s="24">
        <v>2</v>
      </c>
      <c r="E14" s="24">
        <v>0</v>
      </c>
      <c r="F14" s="24" t="s">
        <v>60</v>
      </c>
      <c r="G14" s="24">
        <v>1</v>
      </c>
      <c r="H14" s="24">
        <v>1</v>
      </c>
      <c r="I14" s="24">
        <v>0</v>
      </c>
      <c r="J14" s="24">
        <v>0</v>
      </c>
      <c r="K14" s="24">
        <v>0</v>
      </c>
      <c r="L14" s="24">
        <v>1</v>
      </c>
      <c r="M14" s="24">
        <f t="shared" si="1"/>
        <v>1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</row>
    <row r="15" s="12" customFormat="1" spans="1:19">
      <c r="A15" s="24">
        <v>22</v>
      </c>
      <c r="B15" s="24" t="s">
        <v>61</v>
      </c>
      <c r="C15" s="24" t="s">
        <v>62</v>
      </c>
      <c r="D15" s="24">
        <v>3</v>
      </c>
      <c r="E15" s="24">
        <v>0</v>
      </c>
      <c r="F15" s="24" t="s">
        <v>63</v>
      </c>
      <c r="G15" s="24">
        <v>1</v>
      </c>
      <c r="H15" s="24">
        <v>1</v>
      </c>
      <c r="I15" s="24">
        <v>0</v>
      </c>
      <c r="J15" s="24">
        <v>0</v>
      </c>
      <c r="K15" s="24">
        <v>0</v>
      </c>
      <c r="L15" s="24">
        <v>1</v>
      </c>
      <c r="M15" s="24">
        <f t="shared" si="1"/>
        <v>1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</row>
    <row r="16" s="12" customFormat="1" spans="1:19">
      <c r="A16" s="24">
        <v>23</v>
      </c>
      <c r="B16" s="24" t="s">
        <v>64</v>
      </c>
      <c r="C16" s="24" t="s">
        <v>65</v>
      </c>
      <c r="D16" s="24">
        <v>4</v>
      </c>
      <c r="E16" s="24">
        <v>0</v>
      </c>
      <c r="F16" s="24" t="s">
        <v>66</v>
      </c>
      <c r="G16" s="24">
        <v>1</v>
      </c>
      <c r="H16" s="24">
        <v>1</v>
      </c>
      <c r="I16" s="24">
        <v>0</v>
      </c>
      <c r="J16" s="24">
        <v>0</v>
      </c>
      <c r="K16" s="24">
        <v>0</v>
      </c>
      <c r="L16" s="24">
        <v>1</v>
      </c>
      <c r="M16" s="24">
        <f t="shared" si="1"/>
        <v>1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</row>
    <row r="17" s="12" customFormat="1" spans="1:19">
      <c r="A17" s="24">
        <v>24</v>
      </c>
      <c r="B17" s="24" t="s">
        <v>67</v>
      </c>
      <c r="C17" s="24" t="s">
        <v>68</v>
      </c>
      <c r="D17" s="24">
        <v>4</v>
      </c>
      <c r="E17" s="24">
        <v>0</v>
      </c>
      <c r="F17" s="24" t="s">
        <v>69</v>
      </c>
      <c r="G17" s="24">
        <v>1</v>
      </c>
      <c r="H17" s="24">
        <v>1</v>
      </c>
      <c r="I17" s="24">
        <v>0</v>
      </c>
      <c r="J17" s="24">
        <v>0</v>
      </c>
      <c r="K17" s="24">
        <v>0</v>
      </c>
      <c r="L17" s="24">
        <v>0</v>
      </c>
      <c r="M17" s="24">
        <f t="shared" si="1"/>
        <v>1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</row>
    <row r="18" s="12" customFormat="1" spans="1:19">
      <c r="A18" s="24">
        <v>25</v>
      </c>
      <c r="B18" s="24" t="s">
        <v>70</v>
      </c>
      <c r="C18" s="24" t="s">
        <v>71</v>
      </c>
      <c r="D18" s="24">
        <v>1</v>
      </c>
      <c r="E18" s="24">
        <v>0</v>
      </c>
      <c r="F18" s="24" t="s">
        <v>72</v>
      </c>
      <c r="G18" s="24">
        <v>1</v>
      </c>
      <c r="H18" s="24">
        <v>1</v>
      </c>
      <c r="I18" s="24">
        <v>0</v>
      </c>
      <c r="J18" s="24">
        <v>0</v>
      </c>
      <c r="K18" s="24">
        <v>0</v>
      </c>
      <c r="L18" s="24">
        <v>0</v>
      </c>
      <c r="M18" s="24">
        <v>1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</row>
    <row r="19" s="12" customFormat="1" spans="1:19">
      <c r="A19" s="24">
        <v>26</v>
      </c>
      <c r="B19" s="24" t="s">
        <v>73</v>
      </c>
      <c r="C19" s="24" t="s">
        <v>74</v>
      </c>
      <c r="D19" s="24">
        <v>1</v>
      </c>
      <c r="E19" s="24">
        <v>0</v>
      </c>
      <c r="F19" s="24" t="s">
        <v>53</v>
      </c>
      <c r="G19" s="24">
        <v>1</v>
      </c>
      <c r="H19" s="24">
        <v>1</v>
      </c>
      <c r="I19" s="24">
        <v>0</v>
      </c>
      <c r="J19" s="24">
        <v>0</v>
      </c>
      <c r="K19" s="24">
        <v>0</v>
      </c>
      <c r="L19" s="24">
        <v>0</v>
      </c>
      <c r="M19" s="24">
        <v>1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</row>
    <row r="20" s="12" customFormat="1" spans="1:19">
      <c r="A20" s="24">
        <v>101</v>
      </c>
      <c r="B20" s="24" t="s">
        <v>75</v>
      </c>
      <c r="C20" s="24" t="s">
        <v>50</v>
      </c>
      <c r="D20" s="24">
        <v>1</v>
      </c>
      <c r="E20" s="24">
        <v>1</v>
      </c>
      <c r="F20" s="24" t="s">
        <v>76</v>
      </c>
      <c r="G20" s="24">
        <v>2</v>
      </c>
      <c r="H20" s="24">
        <v>2</v>
      </c>
      <c r="I20" s="24">
        <v>1</v>
      </c>
      <c r="J20" s="24">
        <v>0</v>
      </c>
      <c r="K20" s="24">
        <v>0</v>
      </c>
      <c r="L20" s="24">
        <v>1</v>
      </c>
      <c r="M20" s="24">
        <f t="shared" ref="M20:M70" si="2">IF(G20=1,1,0)</f>
        <v>0</v>
      </c>
      <c r="N20" s="24">
        <v>0</v>
      </c>
      <c r="O20" s="24">
        <v>0</v>
      </c>
      <c r="P20" s="24">
        <v>2</v>
      </c>
      <c r="Q20" s="24">
        <v>0</v>
      </c>
      <c r="R20" s="24">
        <v>0</v>
      </c>
      <c r="S20" s="24">
        <v>50</v>
      </c>
    </row>
    <row r="21" s="12" customFormat="1" spans="1:19">
      <c r="A21" s="24">
        <v>102</v>
      </c>
      <c r="B21" s="24" t="s">
        <v>77</v>
      </c>
      <c r="C21" s="24" t="s">
        <v>50</v>
      </c>
      <c r="D21" s="24">
        <v>1</v>
      </c>
      <c r="E21" s="24">
        <v>1</v>
      </c>
      <c r="F21" s="24" t="s">
        <v>78</v>
      </c>
      <c r="G21" s="24">
        <v>2</v>
      </c>
      <c r="H21" s="24">
        <v>2</v>
      </c>
      <c r="I21" s="24">
        <v>1</v>
      </c>
      <c r="J21" s="24">
        <v>0</v>
      </c>
      <c r="K21" s="24">
        <v>0</v>
      </c>
      <c r="L21" s="24">
        <v>1</v>
      </c>
      <c r="M21" s="24">
        <f t="shared" si="2"/>
        <v>0</v>
      </c>
      <c r="N21" s="24">
        <v>0</v>
      </c>
      <c r="O21" s="24">
        <v>0</v>
      </c>
      <c r="P21" s="24">
        <v>1</v>
      </c>
      <c r="Q21" s="24">
        <v>0</v>
      </c>
      <c r="R21" s="24">
        <v>0</v>
      </c>
      <c r="S21" s="24">
        <v>50</v>
      </c>
    </row>
    <row r="22" s="12" customFormat="1" spans="1:19">
      <c r="A22" s="24">
        <v>103</v>
      </c>
      <c r="B22" s="24" t="s">
        <v>79</v>
      </c>
      <c r="C22" s="24" t="s">
        <v>50</v>
      </c>
      <c r="D22" s="24">
        <v>1</v>
      </c>
      <c r="E22" s="24">
        <v>1</v>
      </c>
      <c r="F22" s="24" t="s">
        <v>80</v>
      </c>
      <c r="G22" s="24">
        <v>2</v>
      </c>
      <c r="H22" s="24">
        <v>2</v>
      </c>
      <c r="I22" s="24">
        <v>1</v>
      </c>
      <c r="J22" s="24">
        <v>0</v>
      </c>
      <c r="K22" s="24">
        <v>0</v>
      </c>
      <c r="L22" s="24">
        <v>1</v>
      </c>
      <c r="M22" s="24">
        <f t="shared" si="2"/>
        <v>0</v>
      </c>
      <c r="N22" s="24">
        <v>0</v>
      </c>
      <c r="O22" s="24">
        <v>0</v>
      </c>
      <c r="P22" s="24" t="s">
        <v>81</v>
      </c>
      <c r="Q22" s="24">
        <v>0</v>
      </c>
      <c r="R22" s="24">
        <v>0</v>
      </c>
      <c r="S22" s="24">
        <v>50</v>
      </c>
    </row>
    <row r="23" s="12" customFormat="1" spans="1:19">
      <c r="A23" s="24">
        <v>104</v>
      </c>
      <c r="B23" s="24" t="s">
        <v>82</v>
      </c>
      <c r="C23" s="24" t="s">
        <v>50</v>
      </c>
      <c r="D23" s="24">
        <v>2</v>
      </c>
      <c r="E23" s="24">
        <v>1</v>
      </c>
      <c r="F23" s="24" t="s">
        <v>83</v>
      </c>
      <c r="G23" s="24">
        <v>2</v>
      </c>
      <c r="H23" s="24">
        <v>2</v>
      </c>
      <c r="I23" s="24">
        <v>1</v>
      </c>
      <c r="J23" s="24">
        <v>0</v>
      </c>
      <c r="K23" s="24">
        <v>0</v>
      </c>
      <c r="L23" s="24">
        <v>1</v>
      </c>
      <c r="M23" s="24">
        <f t="shared" si="2"/>
        <v>0</v>
      </c>
      <c r="N23" s="24">
        <v>0</v>
      </c>
      <c r="O23" s="24">
        <v>0</v>
      </c>
      <c r="P23" s="24" t="s">
        <v>84</v>
      </c>
      <c r="Q23" s="24">
        <v>0</v>
      </c>
      <c r="R23" s="24">
        <v>0</v>
      </c>
      <c r="S23" s="24">
        <v>50</v>
      </c>
    </row>
    <row r="24" s="12" customFormat="1" spans="1:19">
      <c r="A24" s="24">
        <v>105</v>
      </c>
      <c r="B24" s="24" t="s">
        <v>85</v>
      </c>
      <c r="C24" s="24" t="s">
        <v>50</v>
      </c>
      <c r="D24" s="24">
        <v>2</v>
      </c>
      <c r="E24" s="24">
        <v>1</v>
      </c>
      <c r="F24" s="24" t="s">
        <v>86</v>
      </c>
      <c r="G24" s="24">
        <v>2</v>
      </c>
      <c r="H24" s="24">
        <v>2</v>
      </c>
      <c r="I24" s="24">
        <v>1</v>
      </c>
      <c r="J24" s="24">
        <v>0</v>
      </c>
      <c r="K24" s="24">
        <v>0</v>
      </c>
      <c r="L24" s="24">
        <v>1</v>
      </c>
      <c r="M24" s="24">
        <f t="shared" si="2"/>
        <v>0</v>
      </c>
      <c r="N24" s="24">
        <v>0</v>
      </c>
      <c r="O24" s="24">
        <v>0</v>
      </c>
      <c r="P24" s="24" t="s">
        <v>87</v>
      </c>
      <c r="Q24" s="24">
        <v>0</v>
      </c>
      <c r="R24" s="24">
        <v>0</v>
      </c>
      <c r="S24" s="24">
        <v>50</v>
      </c>
    </row>
    <row r="25" s="12" customFormat="1" spans="1:19">
      <c r="A25" s="24">
        <v>106</v>
      </c>
      <c r="B25" s="24" t="s">
        <v>88</v>
      </c>
      <c r="C25" s="24" t="s">
        <v>50</v>
      </c>
      <c r="D25" s="24">
        <v>2</v>
      </c>
      <c r="E25" s="24">
        <v>1</v>
      </c>
      <c r="F25" s="24" t="s">
        <v>76</v>
      </c>
      <c r="G25" s="24">
        <v>2</v>
      </c>
      <c r="H25" s="24">
        <v>2</v>
      </c>
      <c r="I25" s="24">
        <v>1</v>
      </c>
      <c r="J25" s="24">
        <v>0</v>
      </c>
      <c r="K25" s="24">
        <v>0</v>
      </c>
      <c r="L25" s="24">
        <v>1</v>
      </c>
      <c r="M25" s="24">
        <f t="shared" si="2"/>
        <v>0</v>
      </c>
      <c r="N25" s="24">
        <v>0</v>
      </c>
      <c r="O25" s="24">
        <v>0</v>
      </c>
      <c r="P25" s="24" t="s">
        <v>89</v>
      </c>
      <c r="Q25" s="24">
        <v>0</v>
      </c>
      <c r="R25" s="24">
        <v>0</v>
      </c>
      <c r="S25" s="24">
        <v>50</v>
      </c>
    </row>
    <row r="26" s="12" customFormat="1" spans="1:19">
      <c r="A26" s="24">
        <v>107</v>
      </c>
      <c r="B26" s="24" t="s">
        <v>90</v>
      </c>
      <c r="C26" s="24" t="s">
        <v>50</v>
      </c>
      <c r="D26" s="24">
        <v>2</v>
      </c>
      <c r="E26" s="24">
        <v>1</v>
      </c>
      <c r="F26" s="24" t="s">
        <v>78</v>
      </c>
      <c r="G26" s="24">
        <v>2</v>
      </c>
      <c r="H26" s="24">
        <v>2</v>
      </c>
      <c r="I26" s="24">
        <v>1</v>
      </c>
      <c r="J26" s="24">
        <v>0</v>
      </c>
      <c r="K26" s="24">
        <v>0</v>
      </c>
      <c r="L26" s="24">
        <v>1</v>
      </c>
      <c r="M26" s="24">
        <f t="shared" si="2"/>
        <v>0</v>
      </c>
      <c r="N26" s="24">
        <v>0</v>
      </c>
      <c r="O26" s="24">
        <v>0</v>
      </c>
      <c r="P26" s="24" t="s">
        <v>91</v>
      </c>
      <c r="Q26" s="24">
        <v>0</v>
      </c>
      <c r="R26" s="24">
        <v>0</v>
      </c>
      <c r="S26" s="24">
        <v>50</v>
      </c>
    </row>
    <row r="27" s="12" customFormat="1" spans="1:19">
      <c r="A27" s="24">
        <v>108</v>
      </c>
      <c r="B27" s="24" t="s">
        <v>92</v>
      </c>
      <c r="C27" s="24" t="s">
        <v>50</v>
      </c>
      <c r="D27" s="24">
        <v>3</v>
      </c>
      <c r="E27" s="24">
        <v>2</v>
      </c>
      <c r="F27" s="24" t="s">
        <v>80</v>
      </c>
      <c r="G27" s="24">
        <v>2</v>
      </c>
      <c r="H27" s="24">
        <v>2</v>
      </c>
      <c r="I27" s="24">
        <v>1</v>
      </c>
      <c r="J27" s="24">
        <v>0</v>
      </c>
      <c r="K27" s="24">
        <v>0</v>
      </c>
      <c r="L27" s="24">
        <v>1</v>
      </c>
      <c r="M27" s="24">
        <f t="shared" si="2"/>
        <v>0</v>
      </c>
      <c r="N27" s="24">
        <v>0</v>
      </c>
      <c r="O27" s="24">
        <v>0</v>
      </c>
      <c r="P27" s="24" t="s">
        <v>93</v>
      </c>
      <c r="Q27" s="24">
        <v>0</v>
      </c>
      <c r="R27" s="24">
        <v>0</v>
      </c>
      <c r="S27" s="24">
        <v>50</v>
      </c>
    </row>
    <row r="28" s="12" customFormat="1" spans="1:19">
      <c r="A28" s="24">
        <v>109</v>
      </c>
      <c r="B28" s="24" t="s">
        <v>94</v>
      </c>
      <c r="C28" s="24" t="s">
        <v>50</v>
      </c>
      <c r="D28" s="24">
        <v>3</v>
      </c>
      <c r="E28" s="24">
        <v>2</v>
      </c>
      <c r="F28" s="24" t="s">
        <v>83</v>
      </c>
      <c r="G28" s="24">
        <v>2</v>
      </c>
      <c r="H28" s="24">
        <v>2</v>
      </c>
      <c r="I28" s="24">
        <v>1</v>
      </c>
      <c r="J28" s="24">
        <v>0</v>
      </c>
      <c r="K28" s="24">
        <v>0</v>
      </c>
      <c r="L28" s="24">
        <v>1</v>
      </c>
      <c r="M28" s="24">
        <f t="shared" si="2"/>
        <v>0</v>
      </c>
      <c r="N28" s="24">
        <v>0</v>
      </c>
      <c r="O28" s="24">
        <v>0</v>
      </c>
      <c r="P28" s="24" t="s">
        <v>95</v>
      </c>
      <c r="Q28" s="24">
        <v>0</v>
      </c>
      <c r="R28" s="24">
        <v>0</v>
      </c>
      <c r="S28" s="24">
        <v>50</v>
      </c>
    </row>
    <row r="29" s="12" customFormat="1" spans="1:19">
      <c r="A29" s="24">
        <v>110</v>
      </c>
      <c r="B29" s="24" t="s">
        <v>96</v>
      </c>
      <c r="C29" s="24" t="s">
        <v>50</v>
      </c>
      <c r="D29" s="24">
        <v>3</v>
      </c>
      <c r="E29" s="24">
        <v>2</v>
      </c>
      <c r="F29" s="24" t="s">
        <v>86</v>
      </c>
      <c r="G29" s="24">
        <v>2</v>
      </c>
      <c r="H29" s="24">
        <v>2</v>
      </c>
      <c r="I29" s="24">
        <v>1</v>
      </c>
      <c r="J29" s="24">
        <v>0</v>
      </c>
      <c r="K29" s="24">
        <v>0</v>
      </c>
      <c r="L29" s="24">
        <v>1</v>
      </c>
      <c r="M29" s="24">
        <f t="shared" si="2"/>
        <v>0</v>
      </c>
      <c r="N29" s="24">
        <v>0</v>
      </c>
      <c r="O29" s="24">
        <v>0</v>
      </c>
      <c r="P29" s="24" t="s">
        <v>97</v>
      </c>
      <c r="Q29" s="24">
        <v>0</v>
      </c>
      <c r="R29" s="24">
        <v>0</v>
      </c>
      <c r="S29" s="24">
        <v>50</v>
      </c>
    </row>
    <row r="30" s="12" customFormat="1" spans="1:19">
      <c r="A30" s="24">
        <v>111</v>
      </c>
      <c r="B30" s="24" t="s">
        <v>98</v>
      </c>
      <c r="C30" s="24" t="s">
        <v>50</v>
      </c>
      <c r="D30" s="24">
        <v>3</v>
      </c>
      <c r="E30" s="24">
        <v>2</v>
      </c>
      <c r="F30" s="24" t="s">
        <v>76</v>
      </c>
      <c r="G30" s="24">
        <v>2</v>
      </c>
      <c r="H30" s="24">
        <v>2</v>
      </c>
      <c r="I30" s="24">
        <v>1</v>
      </c>
      <c r="J30" s="24">
        <v>0</v>
      </c>
      <c r="K30" s="24">
        <v>0</v>
      </c>
      <c r="L30" s="24">
        <v>1</v>
      </c>
      <c r="M30" s="24">
        <f t="shared" si="2"/>
        <v>0</v>
      </c>
      <c r="N30" s="24">
        <v>0</v>
      </c>
      <c r="O30" s="24">
        <v>0</v>
      </c>
      <c r="P30" s="24" t="s">
        <v>99</v>
      </c>
      <c r="Q30" s="24">
        <v>0</v>
      </c>
      <c r="R30" s="24">
        <v>0</v>
      </c>
      <c r="S30" s="24">
        <v>50</v>
      </c>
    </row>
    <row r="31" s="12" customFormat="1" spans="1:19">
      <c r="A31" s="24">
        <v>112</v>
      </c>
      <c r="B31" s="24" t="s">
        <v>100</v>
      </c>
      <c r="C31" s="24" t="s">
        <v>50</v>
      </c>
      <c r="D31" s="24">
        <v>3</v>
      </c>
      <c r="E31" s="24">
        <v>2</v>
      </c>
      <c r="F31" s="24" t="s">
        <v>78</v>
      </c>
      <c r="G31" s="24">
        <v>2</v>
      </c>
      <c r="H31" s="24">
        <v>2</v>
      </c>
      <c r="I31" s="24">
        <v>1</v>
      </c>
      <c r="J31" s="24">
        <v>0</v>
      </c>
      <c r="K31" s="24">
        <v>0</v>
      </c>
      <c r="L31" s="24">
        <v>1</v>
      </c>
      <c r="M31" s="24">
        <f t="shared" si="2"/>
        <v>0</v>
      </c>
      <c r="N31" s="24">
        <v>0</v>
      </c>
      <c r="O31" s="24">
        <v>0</v>
      </c>
      <c r="P31" s="24" t="s">
        <v>101</v>
      </c>
      <c r="Q31" s="24">
        <v>0</v>
      </c>
      <c r="R31" s="24">
        <v>0</v>
      </c>
      <c r="S31" s="24">
        <v>50</v>
      </c>
    </row>
    <row r="32" s="12" customFormat="1" spans="1:19">
      <c r="A32" s="24">
        <v>113</v>
      </c>
      <c r="B32" s="24" t="s">
        <v>102</v>
      </c>
      <c r="C32" s="24" t="s">
        <v>50</v>
      </c>
      <c r="D32" s="24">
        <v>3</v>
      </c>
      <c r="E32" s="24">
        <v>2</v>
      </c>
      <c r="F32" s="24" t="s">
        <v>80</v>
      </c>
      <c r="G32" s="24">
        <v>2</v>
      </c>
      <c r="H32" s="24">
        <v>2</v>
      </c>
      <c r="I32" s="24">
        <v>1</v>
      </c>
      <c r="J32" s="24">
        <v>0</v>
      </c>
      <c r="K32" s="24">
        <v>0</v>
      </c>
      <c r="L32" s="24">
        <v>1</v>
      </c>
      <c r="M32" s="24">
        <f t="shared" si="2"/>
        <v>0</v>
      </c>
      <c r="N32" s="24">
        <v>0</v>
      </c>
      <c r="O32" s="24">
        <v>0</v>
      </c>
      <c r="P32" s="24" t="s">
        <v>103</v>
      </c>
      <c r="Q32" s="24">
        <v>0</v>
      </c>
      <c r="R32" s="24">
        <v>0</v>
      </c>
      <c r="S32" s="24">
        <v>50</v>
      </c>
    </row>
    <row r="33" s="12" customFormat="1" spans="1:19">
      <c r="A33" s="24">
        <v>114</v>
      </c>
      <c r="B33" s="24" t="s">
        <v>104</v>
      </c>
      <c r="C33" s="24" t="s">
        <v>50</v>
      </c>
      <c r="D33" s="24">
        <v>3</v>
      </c>
      <c r="E33" s="24">
        <v>2</v>
      </c>
      <c r="F33" s="24" t="s">
        <v>83</v>
      </c>
      <c r="G33" s="24">
        <v>2</v>
      </c>
      <c r="H33" s="24">
        <v>2</v>
      </c>
      <c r="I33" s="24">
        <v>1</v>
      </c>
      <c r="J33" s="24">
        <v>0</v>
      </c>
      <c r="K33" s="24">
        <v>0</v>
      </c>
      <c r="L33" s="24">
        <v>1</v>
      </c>
      <c r="M33" s="24">
        <f t="shared" si="2"/>
        <v>0</v>
      </c>
      <c r="N33" s="24">
        <v>0</v>
      </c>
      <c r="O33" s="24">
        <v>0</v>
      </c>
      <c r="P33" s="24" t="s">
        <v>105</v>
      </c>
      <c r="Q33" s="24">
        <v>0</v>
      </c>
      <c r="R33" s="24">
        <v>0</v>
      </c>
      <c r="S33" s="24">
        <v>50</v>
      </c>
    </row>
    <row r="34" s="12" customFormat="1" spans="1:19">
      <c r="A34" s="24">
        <v>115</v>
      </c>
      <c r="B34" s="24" t="s">
        <v>106</v>
      </c>
      <c r="C34" s="24" t="s">
        <v>50</v>
      </c>
      <c r="D34" s="24">
        <v>4</v>
      </c>
      <c r="E34" s="24">
        <v>3</v>
      </c>
      <c r="F34" s="24" t="s">
        <v>86</v>
      </c>
      <c r="G34" s="24">
        <v>2</v>
      </c>
      <c r="H34" s="24">
        <v>2</v>
      </c>
      <c r="I34" s="24">
        <v>1</v>
      </c>
      <c r="J34" s="24">
        <v>0</v>
      </c>
      <c r="K34" s="24">
        <v>0</v>
      </c>
      <c r="L34" s="24">
        <v>1</v>
      </c>
      <c r="M34" s="24">
        <f t="shared" si="2"/>
        <v>0</v>
      </c>
      <c r="N34" s="24">
        <v>0</v>
      </c>
      <c r="O34" s="24">
        <v>0</v>
      </c>
      <c r="P34" s="24" t="s">
        <v>107</v>
      </c>
      <c r="Q34" s="24">
        <v>0</v>
      </c>
      <c r="R34" s="24">
        <v>0</v>
      </c>
      <c r="S34" s="24">
        <v>50</v>
      </c>
    </row>
    <row r="35" s="12" customFormat="1" spans="1:19">
      <c r="A35" s="24">
        <v>116</v>
      </c>
      <c r="B35" s="24" t="s">
        <v>108</v>
      </c>
      <c r="C35" s="24" t="s">
        <v>50</v>
      </c>
      <c r="D35" s="24">
        <v>4</v>
      </c>
      <c r="E35" s="24">
        <v>3</v>
      </c>
      <c r="F35" s="24" t="s">
        <v>76</v>
      </c>
      <c r="G35" s="24">
        <v>2</v>
      </c>
      <c r="H35" s="24">
        <v>2</v>
      </c>
      <c r="I35" s="24">
        <v>1</v>
      </c>
      <c r="J35" s="24">
        <v>0</v>
      </c>
      <c r="K35" s="24">
        <v>0</v>
      </c>
      <c r="L35" s="24">
        <v>1</v>
      </c>
      <c r="M35" s="24">
        <f t="shared" si="2"/>
        <v>0</v>
      </c>
      <c r="N35" s="24">
        <v>0</v>
      </c>
      <c r="O35" s="24">
        <v>0</v>
      </c>
      <c r="P35" s="24" t="s">
        <v>109</v>
      </c>
      <c r="Q35" s="24">
        <v>0</v>
      </c>
      <c r="R35" s="24">
        <v>0</v>
      </c>
      <c r="S35" s="24">
        <v>50</v>
      </c>
    </row>
    <row r="36" s="12" customFormat="1" spans="1:19">
      <c r="A36" s="24">
        <v>117</v>
      </c>
      <c r="B36" s="24" t="s">
        <v>110</v>
      </c>
      <c r="C36" s="24" t="s">
        <v>50</v>
      </c>
      <c r="D36" s="24">
        <v>4</v>
      </c>
      <c r="E36" s="24">
        <v>3</v>
      </c>
      <c r="F36" s="24" t="s">
        <v>78</v>
      </c>
      <c r="G36" s="24">
        <v>2</v>
      </c>
      <c r="H36" s="24">
        <v>2</v>
      </c>
      <c r="I36" s="24">
        <v>1</v>
      </c>
      <c r="J36" s="24">
        <v>0</v>
      </c>
      <c r="K36" s="24">
        <v>0</v>
      </c>
      <c r="L36" s="24">
        <v>1</v>
      </c>
      <c r="M36" s="24">
        <f t="shared" si="2"/>
        <v>0</v>
      </c>
      <c r="N36" s="24">
        <v>0</v>
      </c>
      <c r="O36" s="24">
        <v>0</v>
      </c>
      <c r="P36" s="24" t="s">
        <v>111</v>
      </c>
      <c r="Q36" s="24">
        <v>0</v>
      </c>
      <c r="R36" s="24">
        <v>0</v>
      </c>
      <c r="S36" s="24">
        <v>50</v>
      </c>
    </row>
    <row r="37" s="12" customFormat="1" spans="1:19">
      <c r="A37" s="24">
        <v>118</v>
      </c>
      <c r="B37" s="24" t="s">
        <v>112</v>
      </c>
      <c r="C37" s="24" t="s">
        <v>50</v>
      </c>
      <c r="D37" s="24">
        <v>4</v>
      </c>
      <c r="E37" s="24">
        <v>3</v>
      </c>
      <c r="F37" s="24" t="s">
        <v>80</v>
      </c>
      <c r="G37" s="24">
        <v>2</v>
      </c>
      <c r="H37" s="24">
        <v>2</v>
      </c>
      <c r="I37" s="24">
        <v>1</v>
      </c>
      <c r="J37" s="24">
        <v>0</v>
      </c>
      <c r="K37" s="24">
        <v>0</v>
      </c>
      <c r="L37" s="24">
        <v>1</v>
      </c>
      <c r="M37" s="24">
        <f t="shared" si="2"/>
        <v>0</v>
      </c>
      <c r="N37" s="24">
        <v>0</v>
      </c>
      <c r="O37" s="24">
        <v>0</v>
      </c>
      <c r="P37" s="24" t="s">
        <v>113</v>
      </c>
      <c r="Q37" s="24">
        <v>0</v>
      </c>
      <c r="R37" s="24">
        <v>0</v>
      </c>
      <c r="S37" s="24">
        <v>50</v>
      </c>
    </row>
    <row r="38" s="12" customFormat="1" spans="1:19">
      <c r="A38" s="24">
        <v>119</v>
      </c>
      <c r="B38" s="24" t="s">
        <v>114</v>
      </c>
      <c r="C38" s="24" t="s">
        <v>50</v>
      </c>
      <c r="D38" s="24">
        <v>4</v>
      </c>
      <c r="E38" s="24">
        <v>3</v>
      </c>
      <c r="F38" s="24" t="s">
        <v>83</v>
      </c>
      <c r="G38" s="24">
        <v>2</v>
      </c>
      <c r="H38" s="24">
        <v>2</v>
      </c>
      <c r="I38" s="24">
        <v>1</v>
      </c>
      <c r="J38" s="24">
        <v>0</v>
      </c>
      <c r="K38" s="24">
        <v>0</v>
      </c>
      <c r="L38" s="24">
        <v>1</v>
      </c>
      <c r="M38" s="24">
        <f t="shared" si="2"/>
        <v>0</v>
      </c>
      <c r="N38" s="24">
        <v>0</v>
      </c>
      <c r="O38" s="24">
        <v>0</v>
      </c>
      <c r="P38" s="24" t="s">
        <v>115</v>
      </c>
      <c r="Q38" s="24">
        <v>0</v>
      </c>
      <c r="R38" s="24">
        <v>0</v>
      </c>
      <c r="S38" s="24">
        <v>50</v>
      </c>
    </row>
    <row r="39" s="12" customFormat="1" spans="1:19">
      <c r="A39" s="24">
        <v>120</v>
      </c>
      <c r="B39" s="24" t="s">
        <v>116</v>
      </c>
      <c r="C39" s="24" t="s">
        <v>50</v>
      </c>
      <c r="D39" s="24">
        <v>4</v>
      </c>
      <c r="E39" s="24">
        <v>3</v>
      </c>
      <c r="F39" s="24" t="s">
        <v>86</v>
      </c>
      <c r="G39" s="24">
        <v>2</v>
      </c>
      <c r="H39" s="24">
        <v>2</v>
      </c>
      <c r="I39" s="24">
        <v>1</v>
      </c>
      <c r="J39" s="24">
        <v>0</v>
      </c>
      <c r="K39" s="24">
        <v>0</v>
      </c>
      <c r="L39" s="24">
        <v>1</v>
      </c>
      <c r="M39" s="24">
        <f t="shared" si="2"/>
        <v>0</v>
      </c>
      <c r="N39" s="24">
        <v>0</v>
      </c>
      <c r="O39" s="24">
        <v>0</v>
      </c>
      <c r="P39" s="24" t="s">
        <v>117</v>
      </c>
      <c r="Q39" s="24">
        <v>0</v>
      </c>
      <c r="R39" s="24">
        <v>0</v>
      </c>
      <c r="S39" s="24">
        <v>50</v>
      </c>
    </row>
    <row r="40" s="12" customFormat="1" spans="1:19">
      <c r="A40" s="24">
        <v>121</v>
      </c>
      <c r="B40" s="24" t="s">
        <v>118</v>
      </c>
      <c r="C40" s="24" t="s">
        <v>50</v>
      </c>
      <c r="D40" s="24">
        <v>4</v>
      </c>
      <c r="E40" s="24">
        <v>3</v>
      </c>
      <c r="F40" s="24" t="s">
        <v>76</v>
      </c>
      <c r="G40" s="24">
        <v>2</v>
      </c>
      <c r="H40" s="24">
        <v>2</v>
      </c>
      <c r="I40" s="24">
        <v>1</v>
      </c>
      <c r="J40" s="24">
        <v>0</v>
      </c>
      <c r="K40" s="24">
        <v>0</v>
      </c>
      <c r="L40" s="24">
        <v>1</v>
      </c>
      <c r="M40" s="24">
        <f t="shared" si="2"/>
        <v>0</v>
      </c>
      <c r="N40" s="24">
        <v>0</v>
      </c>
      <c r="O40" s="24">
        <v>0</v>
      </c>
      <c r="P40" s="24" t="s">
        <v>119</v>
      </c>
      <c r="Q40" s="24">
        <v>0</v>
      </c>
      <c r="R40" s="24">
        <v>0</v>
      </c>
      <c r="S40" s="24">
        <v>50</v>
      </c>
    </row>
    <row r="41" s="12" customFormat="1" spans="1:19">
      <c r="A41" s="24">
        <v>122</v>
      </c>
      <c r="B41" s="24" t="s">
        <v>120</v>
      </c>
      <c r="C41" s="24" t="s">
        <v>50</v>
      </c>
      <c r="D41" s="24">
        <v>4</v>
      </c>
      <c r="E41" s="24">
        <v>3</v>
      </c>
      <c r="F41" s="24" t="s">
        <v>78</v>
      </c>
      <c r="G41" s="24">
        <v>2</v>
      </c>
      <c r="H41" s="24">
        <v>2</v>
      </c>
      <c r="I41" s="24">
        <v>1</v>
      </c>
      <c r="J41" s="24">
        <v>0</v>
      </c>
      <c r="K41" s="24">
        <v>0</v>
      </c>
      <c r="L41" s="24">
        <v>1</v>
      </c>
      <c r="M41" s="24">
        <f t="shared" si="2"/>
        <v>0</v>
      </c>
      <c r="N41" s="24">
        <v>0</v>
      </c>
      <c r="O41" s="24">
        <v>0</v>
      </c>
      <c r="P41" s="24" t="s">
        <v>121</v>
      </c>
      <c r="Q41" s="24">
        <v>0</v>
      </c>
      <c r="R41" s="24">
        <v>0</v>
      </c>
      <c r="S41" s="24">
        <v>50</v>
      </c>
    </row>
    <row r="42" s="12" customFormat="1" spans="1:19">
      <c r="A42" s="24">
        <v>201</v>
      </c>
      <c r="B42" s="24" t="s">
        <v>122</v>
      </c>
      <c r="C42" s="24" t="s">
        <v>50</v>
      </c>
      <c r="D42" s="24">
        <v>1</v>
      </c>
      <c r="E42" s="24">
        <v>1</v>
      </c>
      <c r="F42" s="24" t="s">
        <v>80</v>
      </c>
      <c r="G42" s="24">
        <v>2</v>
      </c>
      <c r="H42" s="24">
        <v>2</v>
      </c>
      <c r="I42" s="24">
        <v>2</v>
      </c>
      <c r="J42" s="24">
        <v>0</v>
      </c>
      <c r="K42" s="24">
        <v>0</v>
      </c>
      <c r="L42" s="24">
        <v>1</v>
      </c>
      <c r="M42" s="24">
        <f t="shared" si="2"/>
        <v>0</v>
      </c>
      <c r="N42" s="24">
        <v>0</v>
      </c>
      <c r="O42" s="24">
        <v>0</v>
      </c>
      <c r="P42" s="24">
        <v>10</v>
      </c>
      <c r="Q42" s="24">
        <v>0</v>
      </c>
      <c r="R42" s="24">
        <v>0</v>
      </c>
      <c r="S42" s="24">
        <v>50</v>
      </c>
    </row>
    <row r="43" s="12" customFormat="1" spans="1:19">
      <c r="A43" s="24">
        <v>202</v>
      </c>
      <c r="B43" s="24" t="s">
        <v>123</v>
      </c>
      <c r="C43" s="24" t="s">
        <v>50</v>
      </c>
      <c r="D43" s="24">
        <v>1</v>
      </c>
      <c r="E43" s="24">
        <v>1</v>
      </c>
      <c r="F43" s="24" t="s">
        <v>83</v>
      </c>
      <c r="G43" s="24">
        <v>2</v>
      </c>
      <c r="H43" s="24">
        <v>2</v>
      </c>
      <c r="I43" s="24">
        <v>2</v>
      </c>
      <c r="J43" s="24">
        <v>0</v>
      </c>
      <c r="K43" s="24">
        <v>0</v>
      </c>
      <c r="L43" s="24">
        <v>1</v>
      </c>
      <c r="M43" s="24">
        <f t="shared" si="2"/>
        <v>0</v>
      </c>
      <c r="N43" s="24">
        <v>0</v>
      </c>
      <c r="O43" s="24">
        <v>0</v>
      </c>
      <c r="P43" s="24">
        <v>4</v>
      </c>
      <c r="Q43" s="24">
        <v>0</v>
      </c>
      <c r="R43" s="24">
        <v>0</v>
      </c>
      <c r="S43" s="24">
        <v>50</v>
      </c>
    </row>
    <row r="44" s="12" customFormat="1" spans="1:19">
      <c r="A44" s="24">
        <v>203</v>
      </c>
      <c r="B44" s="24" t="s">
        <v>124</v>
      </c>
      <c r="C44" s="24" t="s">
        <v>50</v>
      </c>
      <c r="D44" s="24">
        <v>1</v>
      </c>
      <c r="E44" s="24">
        <v>1</v>
      </c>
      <c r="F44" s="24" t="s">
        <v>86</v>
      </c>
      <c r="G44" s="24">
        <v>2</v>
      </c>
      <c r="H44" s="24">
        <v>2</v>
      </c>
      <c r="I44" s="24">
        <v>2</v>
      </c>
      <c r="J44" s="24">
        <v>0</v>
      </c>
      <c r="K44" s="24">
        <v>0</v>
      </c>
      <c r="L44" s="24">
        <v>1</v>
      </c>
      <c r="M44" s="24">
        <f t="shared" si="2"/>
        <v>0</v>
      </c>
      <c r="N44" s="24">
        <v>0</v>
      </c>
      <c r="O44" s="24">
        <v>0</v>
      </c>
      <c r="P44" s="24" t="s">
        <v>125</v>
      </c>
      <c r="Q44" s="24">
        <v>0</v>
      </c>
      <c r="R44" s="24">
        <v>0</v>
      </c>
      <c r="S44" s="24">
        <v>50</v>
      </c>
    </row>
    <row r="45" s="12" customFormat="1" spans="1:19">
      <c r="A45" s="24">
        <v>204</v>
      </c>
      <c r="B45" s="24" t="s">
        <v>126</v>
      </c>
      <c r="C45" s="24" t="s">
        <v>50</v>
      </c>
      <c r="D45" s="24">
        <v>2</v>
      </c>
      <c r="E45" s="24">
        <v>1</v>
      </c>
      <c r="F45" s="24" t="s">
        <v>76</v>
      </c>
      <c r="G45" s="24">
        <v>2</v>
      </c>
      <c r="H45" s="24">
        <v>2</v>
      </c>
      <c r="I45" s="24">
        <v>2</v>
      </c>
      <c r="J45" s="24">
        <v>0</v>
      </c>
      <c r="K45" s="24">
        <v>0</v>
      </c>
      <c r="L45" s="24">
        <v>1</v>
      </c>
      <c r="M45" s="24">
        <f t="shared" si="2"/>
        <v>0</v>
      </c>
      <c r="N45" s="24">
        <v>0</v>
      </c>
      <c r="O45" s="24">
        <v>0</v>
      </c>
      <c r="P45" s="24" t="s">
        <v>127</v>
      </c>
      <c r="Q45" s="24">
        <v>0</v>
      </c>
      <c r="R45" s="24">
        <v>0</v>
      </c>
      <c r="S45" s="24">
        <v>50</v>
      </c>
    </row>
    <row r="46" s="12" customFormat="1" spans="1:19">
      <c r="A46" s="24">
        <v>205</v>
      </c>
      <c r="B46" s="24" t="s">
        <v>128</v>
      </c>
      <c r="C46" s="24" t="s">
        <v>50</v>
      </c>
      <c r="D46" s="24">
        <v>2</v>
      </c>
      <c r="E46" s="24">
        <v>1</v>
      </c>
      <c r="F46" s="24" t="s">
        <v>78</v>
      </c>
      <c r="G46" s="24">
        <v>2</v>
      </c>
      <c r="H46" s="24">
        <v>2</v>
      </c>
      <c r="I46" s="24">
        <v>2</v>
      </c>
      <c r="J46" s="24">
        <v>0</v>
      </c>
      <c r="K46" s="24">
        <v>0</v>
      </c>
      <c r="L46" s="24">
        <v>1</v>
      </c>
      <c r="M46" s="24">
        <f t="shared" si="2"/>
        <v>0</v>
      </c>
      <c r="N46" s="24">
        <v>0</v>
      </c>
      <c r="O46" s="24">
        <v>0</v>
      </c>
      <c r="P46" s="24" t="s">
        <v>129</v>
      </c>
      <c r="Q46" s="24">
        <v>0</v>
      </c>
      <c r="R46" s="24">
        <v>0</v>
      </c>
      <c r="S46" s="24">
        <v>50</v>
      </c>
    </row>
    <row r="47" s="12" customFormat="1" spans="1:19">
      <c r="A47" s="24">
        <v>206</v>
      </c>
      <c r="B47" s="24" t="s">
        <v>130</v>
      </c>
      <c r="C47" s="24" t="s">
        <v>50</v>
      </c>
      <c r="D47" s="24">
        <v>2</v>
      </c>
      <c r="E47" s="24">
        <v>1</v>
      </c>
      <c r="F47" s="24" t="s">
        <v>80</v>
      </c>
      <c r="G47" s="24">
        <v>2</v>
      </c>
      <c r="H47" s="24">
        <v>2</v>
      </c>
      <c r="I47" s="24">
        <v>2</v>
      </c>
      <c r="J47" s="24">
        <v>0</v>
      </c>
      <c r="K47" s="24">
        <v>0</v>
      </c>
      <c r="L47" s="24">
        <v>1</v>
      </c>
      <c r="M47" s="24">
        <f t="shared" si="2"/>
        <v>0</v>
      </c>
      <c r="N47" s="24">
        <v>0</v>
      </c>
      <c r="O47" s="24">
        <v>0</v>
      </c>
      <c r="P47" s="24" t="s">
        <v>131</v>
      </c>
      <c r="Q47" s="24">
        <v>0</v>
      </c>
      <c r="R47" s="24">
        <v>0</v>
      </c>
      <c r="S47" s="24">
        <v>50</v>
      </c>
    </row>
    <row r="48" s="12" customFormat="1" spans="1:19">
      <c r="A48" s="24">
        <v>207</v>
      </c>
      <c r="B48" s="24" t="s">
        <v>132</v>
      </c>
      <c r="C48" s="24" t="s">
        <v>50</v>
      </c>
      <c r="D48" s="24">
        <v>3</v>
      </c>
      <c r="E48" s="24">
        <v>2</v>
      </c>
      <c r="F48" s="24" t="s">
        <v>83</v>
      </c>
      <c r="G48" s="24">
        <v>2</v>
      </c>
      <c r="H48" s="24">
        <v>2</v>
      </c>
      <c r="I48" s="24">
        <v>2</v>
      </c>
      <c r="J48" s="24">
        <v>0</v>
      </c>
      <c r="K48" s="24">
        <v>0</v>
      </c>
      <c r="L48" s="24">
        <v>1</v>
      </c>
      <c r="M48" s="24">
        <f t="shared" si="2"/>
        <v>0</v>
      </c>
      <c r="N48" s="24">
        <v>0</v>
      </c>
      <c r="O48" s="24">
        <v>0</v>
      </c>
      <c r="P48" s="24" t="s">
        <v>133</v>
      </c>
      <c r="Q48" s="24">
        <v>0</v>
      </c>
      <c r="R48" s="24">
        <v>0</v>
      </c>
      <c r="S48" s="24">
        <v>50</v>
      </c>
    </row>
    <row r="49" s="12" customFormat="1" spans="1:19">
      <c r="A49" s="24">
        <v>208</v>
      </c>
      <c r="B49" s="24" t="s">
        <v>134</v>
      </c>
      <c r="C49" s="24" t="s">
        <v>50</v>
      </c>
      <c r="D49" s="24">
        <v>3</v>
      </c>
      <c r="E49" s="24">
        <v>2</v>
      </c>
      <c r="F49" s="24" t="s">
        <v>86</v>
      </c>
      <c r="G49" s="24">
        <v>2</v>
      </c>
      <c r="H49" s="24">
        <v>2</v>
      </c>
      <c r="I49" s="24">
        <v>2</v>
      </c>
      <c r="J49" s="24">
        <v>0</v>
      </c>
      <c r="K49" s="24">
        <v>0</v>
      </c>
      <c r="L49" s="24">
        <v>1</v>
      </c>
      <c r="M49" s="24">
        <f t="shared" si="2"/>
        <v>0</v>
      </c>
      <c r="N49" s="24">
        <v>0</v>
      </c>
      <c r="O49" s="24">
        <v>0</v>
      </c>
      <c r="P49" s="24" t="s">
        <v>135</v>
      </c>
      <c r="Q49" s="24">
        <v>0</v>
      </c>
      <c r="R49" s="24">
        <v>0</v>
      </c>
      <c r="S49" s="24">
        <v>50</v>
      </c>
    </row>
    <row r="50" s="12" customFormat="1" spans="1:19">
      <c r="A50" s="24">
        <v>209</v>
      </c>
      <c r="B50" s="24" t="s">
        <v>136</v>
      </c>
      <c r="C50" s="24" t="s">
        <v>50</v>
      </c>
      <c r="D50" s="24">
        <v>3</v>
      </c>
      <c r="E50" s="24">
        <v>2</v>
      </c>
      <c r="F50" s="24" t="s">
        <v>76</v>
      </c>
      <c r="G50" s="24">
        <v>2</v>
      </c>
      <c r="H50" s="24">
        <v>2</v>
      </c>
      <c r="I50" s="24">
        <v>2</v>
      </c>
      <c r="J50" s="24">
        <v>0</v>
      </c>
      <c r="K50" s="24">
        <v>0</v>
      </c>
      <c r="L50" s="24">
        <v>1</v>
      </c>
      <c r="M50" s="24">
        <f t="shared" si="2"/>
        <v>0</v>
      </c>
      <c r="N50" s="24">
        <v>0</v>
      </c>
      <c r="O50" s="24">
        <v>0</v>
      </c>
      <c r="P50" s="24" t="s">
        <v>137</v>
      </c>
      <c r="Q50" s="24">
        <v>0</v>
      </c>
      <c r="R50" s="24">
        <v>0</v>
      </c>
      <c r="S50" s="24">
        <v>50</v>
      </c>
    </row>
    <row r="51" s="12" customFormat="1" spans="1:19">
      <c r="A51" s="24">
        <v>210</v>
      </c>
      <c r="B51" s="24" t="s">
        <v>138</v>
      </c>
      <c r="C51" s="24" t="s">
        <v>50</v>
      </c>
      <c r="D51" s="24">
        <v>3</v>
      </c>
      <c r="E51" s="24">
        <v>2</v>
      </c>
      <c r="F51" s="24" t="s">
        <v>78</v>
      </c>
      <c r="G51" s="24">
        <v>2</v>
      </c>
      <c r="H51" s="24">
        <v>2</v>
      </c>
      <c r="I51" s="24">
        <v>2</v>
      </c>
      <c r="J51" s="24">
        <v>0</v>
      </c>
      <c r="K51" s="24">
        <v>0</v>
      </c>
      <c r="L51" s="24">
        <v>1</v>
      </c>
      <c r="M51" s="24">
        <f t="shared" si="2"/>
        <v>0</v>
      </c>
      <c r="N51" s="24">
        <v>0</v>
      </c>
      <c r="O51" s="24">
        <v>0</v>
      </c>
      <c r="P51" s="24" t="s">
        <v>139</v>
      </c>
      <c r="Q51" s="24">
        <v>0</v>
      </c>
      <c r="R51" s="24">
        <v>0</v>
      </c>
      <c r="S51" s="24">
        <v>50</v>
      </c>
    </row>
    <row r="52" s="12" customFormat="1" spans="1:19">
      <c r="A52" s="24">
        <v>211</v>
      </c>
      <c r="B52" s="24" t="s">
        <v>140</v>
      </c>
      <c r="C52" s="24" t="s">
        <v>50</v>
      </c>
      <c r="D52" s="24">
        <v>3</v>
      </c>
      <c r="E52" s="24">
        <v>2</v>
      </c>
      <c r="F52" s="24" t="s">
        <v>80</v>
      </c>
      <c r="G52" s="24">
        <v>2</v>
      </c>
      <c r="H52" s="24">
        <v>2</v>
      </c>
      <c r="I52" s="24">
        <v>2</v>
      </c>
      <c r="J52" s="24">
        <v>0</v>
      </c>
      <c r="K52" s="24">
        <v>0</v>
      </c>
      <c r="L52" s="24">
        <v>1</v>
      </c>
      <c r="M52" s="24">
        <f t="shared" si="2"/>
        <v>0</v>
      </c>
      <c r="N52" s="24">
        <v>0</v>
      </c>
      <c r="O52" s="24">
        <v>0</v>
      </c>
      <c r="P52" s="24" t="s">
        <v>141</v>
      </c>
      <c r="Q52" s="24">
        <v>0</v>
      </c>
      <c r="R52" s="24">
        <v>0</v>
      </c>
      <c r="S52" s="24">
        <v>50</v>
      </c>
    </row>
    <row r="53" s="12" customFormat="1" spans="1:19">
      <c r="A53" s="24">
        <v>212</v>
      </c>
      <c r="B53" s="24" t="s">
        <v>142</v>
      </c>
      <c r="C53" s="24" t="s">
        <v>50</v>
      </c>
      <c r="D53" s="24">
        <v>3</v>
      </c>
      <c r="E53" s="24">
        <v>2</v>
      </c>
      <c r="F53" s="24" t="s">
        <v>83</v>
      </c>
      <c r="G53" s="24">
        <v>2</v>
      </c>
      <c r="H53" s="24">
        <v>2</v>
      </c>
      <c r="I53" s="24">
        <v>2</v>
      </c>
      <c r="J53" s="24">
        <v>0</v>
      </c>
      <c r="K53" s="24">
        <v>0</v>
      </c>
      <c r="L53" s="24">
        <v>1</v>
      </c>
      <c r="M53" s="24">
        <f t="shared" si="2"/>
        <v>0</v>
      </c>
      <c r="N53" s="24">
        <v>0</v>
      </c>
      <c r="O53" s="24">
        <v>0</v>
      </c>
      <c r="P53" s="24" t="s">
        <v>143</v>
      </c>
      <c r="Q53" s="24">
        <v>0</v>
      </c>
      <c r="R53" s="24">
        <v>0</v>
      </c>
      <c r="S53" s="24">
        <v>50</v>
      </c>
    </row>
    <row r="54" s="12" customFormat="1" spans="1:19">
      <c r="A54" s="24">
        <v>213</v>
      </c>
      <c r="B54" s="24" t="s">
        <v>144</v>
      </c>
      <c r="C54" s="24" t="s">
        <v>50</v>
      </c>
      <c r="D54" s="24">
        <v>3</v>
      </c>
      <c r="E54" s="24">
        <v>2</v>
      </c>
      <c r="F54" s="24" t="s">
        <v>86</v>
      </c>
      <c r="G54" s="24">
        <v>2</v>
      </c>
      <c r="H54" s="24">
        <v>2</v>
      </c>
      <c r="I54" s="24">
        <v>2</v>
      </c>
      <c r="J54" s="24">
        <v>0</v>
      </c>
      <c r="K54" s="24">
        <v>0</v>
      </c>
      <c r="L54" s="24">
        <v>1</v>
      </c>
      <c r="M54" s="24">
        <f t="shared" si="2"/>
        <v>0</v>
      </c>
      <c r="N54" s="24">
        <v>0</v>
      </c>
      <c r="O54" s="24">
        <v>0</v>
      </c>
      <c r="P54" s="24" t="s">
        <v>139</v>
      </c>
      <c r="Q54" s="24">
        <v>0</v>
      </c>
      <c r="R54" s="24">
        <v>0</v>
      </c>
      <c r="S54" s="24">
        <v>50</v>
      </c>
    </row>
    <row r="55" s="12" customFormat="1" spans="1:19">
      <c r="A55" s="24">
        <v>214</v>
      </c>
      <c r="B55" s="24" t="s">
        <v>145</v>
      </c>
      <c r="C55" s="24" t="s">
        <v>50</v>
      </c>
      <c r="D55" s="24">
        <v>4</v>
      </c>
      <c r="E55" s="24">
        <v>3</v>
      </c>
      <c r="F55" s="24" t="s">
        <v>76</v>
      </c>
      <c r="G55" s="24">
        <v>2</v>
      </c>
      <c r="H55" s="24">
        <v>2</v>
      </c>
      <c r="I55" s="24">
        <v>2</v>
      </c>
      <c r="J55" s="24">
        <v>0</v>
      </c>
      <c r="K55" s="24">
        <v>0</v>
      </c>
      <c r="L55" s="24">
        <v>1</v>
      </c>
      <c r="M55" s="24">
        <f t="shared" si="2"/>
        <v>0</v>
      </c>
      <c r="N55" s="24">
        <v>0</v>
      </c>
      <c r="O55" s="24">
        <v>0</v>
      </c>
      <c r="P55" s="24" t="s">
        <v>146</v>
      </c>
      <c r="Q55" s="24">
        <v>0</v>
      </c>
      <c r="R55" s="24">
        <v>0</v>
      </c>
      <c r="S55" s="24">
        <v>50</v>
      </c>
    </row>
    <row r="56" s="12" customFormat="1" spans="1:19">
      <c r="A56" s="24">
        <v>215</v>
      </c>
      <c r="B56" s="24" t="s">
        <v>147</v>
      </c>
      <c r="C56" s="24" t="s">
        <v>50</v>
      </c>
      <c r="D56" s="24">
        <v>4</v>
      </c>
      <c r="E56" s="24">
        <v>3</v>
      </c>
      <c r="F56" s="24" t="s">
        <v>78</v>
      </c>
      <c r="G56" s="24">
        <v>2</v>
      </c>
      <c r="H56" s="24">
        <v>2</v>
      </c>
      <c r="I56" s="24">
        <v>2</v>
      </c>
      <c r="J56" s="24">
        <v>0</v>
      </c>
      <c r="K56" s="24">
        <v>0</v>
      </c>
      <c r="L56" s="24">
        <v>1</v>
      </c>
      <c r="M56" s="24">
        <f t="shared" si="2"/>
        <v>0</v>
      </c>
      <c r="N56" s="24">
        <v>0</v>
      </c>
      <c r="O56" s="24">
        <v>0</v>
      </c>
      <c r="P56" s="24" t="s">
        <v>148</v>
      </c>
      <c r="Q56" s="24">
        <v>0</v>
      </c>
      <c r="R56" s="24">
        <v>0</v>
      </c>
      <c r="S56" s="24">
        <v>50</v>
      </c>
    </row>
    <row r="57" s="12" customFormat="1" spans="1:19">
      <c r="A57" s="24">
        <v>216</v>
      </c>
      <c r="B57" s="24" t="s">
        <v>149</v>
      </c>
      <c r="C57" s="24" t="s">
        <v>50</v>
      </c>
      <c r="D57" s="24">
        <v>4</v>
      </c>
      <c r="E57" s="24">
        <v>3</v>
      </c>
      <c r="F57" s="24" t="s">
        <v>80</v>
      </c>
      <c r="G57" s="24">
        <v>2</v>
      </c>
      <c r="H57" s="24">
        <v>2</v>
      </c>
      <c r="I57" s="24">
        <v>2</v>
      </c>
      <c r="J57" s="24">
        <v>0</v>
      </c>
      <c r="K57" s="24">
        <v>0</v>
      </c>
      <c r="L57" s="24">
        <v>1</v>
      </c>
      <c r="M57" s="24">
        <f t="shared" si="2"/>
        <v>0</v>
      </c>
      <c r="N57" s="24">
        <v>0</v>
      </c>
      <c r="O57" s="24">
        <v>0</v>
      </c>
      <c r="P57" s="24" t="s">
        <v>150</v>
      </c>
      <c r="Q57" s="24">
        <v>0</v>
      </c>
      <c r="R57" s="24">
        <v>0</v>
      </c>
      <c r="S57" s="24">
        <v>50</v>
      </c>
    </row>
    <row r="58" s="12" customFormat="1" spans="1:19">
      <c r="A58" s="24">
        <v>217</v>
      </c>
      <c r="B58" s="24" t="s">
        <v>151</v>
      </c>
      <c r="C58" s="24" t="s">
        <v>50</v>
      </c>
      <c r="D58" s="24">
        <v>4</v>
      </c>
      <c r="E58" s="24">
        <v>3</v>
      </c>
      <c r="F58" s="24" t="s">
        <v>83</v>
      </c>
      <c r="G58" s="24">
        <v>2</v>
      </c>
      <c r="H58" s="24">
        <v>2</v>
      </c>
      <c r="I58" s="24">
        <v>2</v>
      </c>
      <c r="J58" s="24">
        <v>0</v>
      </c>
      <c r="K58" s="24">
        <v>0</v>
      </c>
      <c r="L58" s="24">
        <v>1</v>
      </c>
      <c r="M58" s="24">
        <f t="shared" si="2"/>
        <v>0</v>
      </c>
      <c r="N58" s="24">
        <v>0</v>
      </c>
      <c r="O58" s="24">
        <v>0</v>
      </c>
      <c r="P58" s="24" t="s">
        <v>152</v>
      </c>
      <c r="Q58" s="24">
        <v>0</v>
      </c>
      <c r="R58" s="24">
        <v>0</v>
      </c>
      <c r="S58" s="24">
        <v>50</v>
      </c>
    </row>
    <row r="59" s="12" customFormat="1" spans="1:19">
      <c r="A59" s="24">
        <v>218</v>
      </c>
      <c r="B59" s="24" t="s">
        <v>153</v>
      </c>
      <c r="C59" s="24" t="s">
        <v>50</v>
      </c>
      <c r="D59" s="24">
        <v>4</v>
      </c>
      <c r="E59" s="24">
        <v>3</v>
      </c>
      <c r="F59" s="24" t="s">
        <v>86</v>
      </c>
      <c r="G59" s="24">
        <v>2</v>
      </c>
      <c r="H59" s="24">
        <v>2</v>
      </c>
      <c r="I59" s="24">
        <v>2</v>
      </c>
      <c r="J59" s="24">
        <v>0</v>
      </c>
      <c r="K59" s="24">
        <v>0</v>
      </c>
      <c r="L59" s="24">
        <v>1</v>
      </c>
      <c r="M59" s="24">
        <f t="shared" si="2"/>
        <v>0</v>
      </c>
      <c r="N59" s="24">
        <v>0</v>
      </c>
      <c r="O59" s="24">
        <v>0</v>
      </c>
      <c r="P59" s="24" t="s">
        <v>154</v>
      </c>
      <c r="Q59" s="24">
        <v>0</v>
      </c>
      <c r="R59" s="24">
        <v>0</v>
      </c>
      <c r="S59" s="24">
        <v>50</v>
      </c>
    </row>
    <row r="60" s="12" customFormat="1" spans="1:19">
      <c r="A60" s="24">
        <v>219</v>
      </c>
      <c r="B60" s="24" t="s">
        <v>155</v>
      </c>
      <c r="C60" s="24" t="s">
        <v>50</v>
      </c>
      <c r="D60" s="24">
        <v>4</v>
      </c>
      <c r="E60" s="24">
        <v>3</v>
      </c>
      <c r="F60" s="24" t="s">
        <v>86</v>
      </c>
      <c r="G60" s="24">
        <v>2</v>
      </c>
      <c r="H60" s="24">
        <v>2</v>
      </c>
      <c r="I60" s="24">
        <v>2</v>
      </c>
      <c r="J60" s="24">
        <v>0</v>
      </c>
      <c r="K60" s="24">
        <v>0</v>
      </c>
      <c r="L60" s="24">
        <v>1</v>
      </c>
      <c r="M60" s="24">
        <f t="shared" si="2"/>
        <v>0</v>
      </c>
      <c r="N60" s="24">
        <v>0</v>
      </c>
      <c r="O60" s="24">
        <v>0</v>
      </c>
      <c r="P60" s="24" t="s">
        <v>156</v>
      </c>
      <c r="Q60" s="24">
        <v>0</v>
      </c>
      <c r="R60" s="24">
        <v>0</v>
      </c>
      <c r="S60" s="24">
        <v>50</v>
      </c>
    </row>
    <row r="61" s="12" customFormat="1" spans="1:19">
      <c r="A61" s="24">
        <v>220</v>
      </c>
      <c r="B61" s="24" t="s">
        <v>157</v>
      </c>
      <c r="C61" s="24" t="s">
        <v>50</v>
      </c>
      <c r="D61" s="24">
        <v>4</v>
      </c>
      <c r="E61" s="24">
        <v>3</v>
      </c>
      <c r="F61" s="24" t="s">
        <v>86</v>
      </c>
      <c r="G61" s="24">
        <v>2</v>
      </c>
      <c r="H61" s="24">
        <v>2</v>
      </c>
      <c r="I61" s="24">
        <v>2</v>
      </c>
      <c r="J61" s="24">
        <v>0</v>
      </c>
      <c r="K61" s="24">
        <v>0</v>
      </c>
      <c r="L61" s="24">
        <v>1</v>
      </c>
      <c r="M61" s="24">
        <f t="shared" si="2"/>
        <v>0</v>
      </c>
      <c r="N61" s="24">
        <v>0</v>
      </c>
      <c r="O61" s="24">
        <v>0</v>
      </c>
      <c r="P61" s="24" t="s">
        <v>158</v>
      </c>
      <c r="Q61" s="24">
        <v>0</v>
      </c>
      <c r="R61" s="24">
        <v>0</v>
      </c>
      <c r="S61" s="24">
        <v>50</v>
      </c>
    </row>
    <row r="62" s="12" customFormat="1" spans="1:19">
      <c r="A62" s="24">
        <v>221</v>
      </c>
      <c r="B62" s="24" t="s">
        <v>159</v>
      </c>
      <c r="C62" s="24" t="s">
        <v>50</v>
      </c>
      <c r="D62" s="24">
        <v>4</v>
      </c>
      <c r="E62" s="24">
        <v>3</v>
      </c>
      <c r="F62" s="24" t="s">
        <v>86</v>
      </c>
      <c r="G62" s="24">
        <v>2</v>
      </c>
      <c r="H62" s="24">
        <v>2</v>
      </c>
      <c r="I62" s="24">
        <v>2</v>
      </c>
      <c r="J62" s="24">
        <v>0</v>
      </c>
      <c r="K62" s="24">
        <v>0</v>
      </c>
      <c r="L62" s="24">
        <v>1</v>
      </c>
      <c r="M62" s="24">
        <f t="shared" si="2"/>
        <v>0</v>
      </c>
      <c r="N62" s="24">
        <v>0</v>
      </c>
      <c r="O62" s="24">
        <v>0</v>
      </c>
      <c r="P62" s="24" t="s">
        <v>160</v>
      </c>
      <c r="Q62" s="24">
        <v>0</v>
      </c>
      <c r="R62" s="24">
        <v>0</v>
      </c>
      <c r="S62" s="24">
        <v>50</v>
      </c>
    </row>
    <row r="63" s="12" customFormat="1" spans="1:19">
      <c r="A63" s="24">
        <v>222</v>
      </c>
      <c r="B63" s="24" t="s">
        <v>161</v>
      </c>
      <c r="C63" s="24" t="s">
        <v>50</v>
      </c>
      <c r="D63" s="24">
        <v>4</v>
      </c>
      <c r="E63" s="24">
        <v>3</v>
      </c>
      <c r="F63" s="24" t="s">
        <v>86</v>
      </c>
      <c r="G63" s="24">
        <v>2</v>
      </c>
      <c r="H63" s="24">
        <v>2</v>
      </c>
      <c r="I63" s="24">
        <v>2</v>
      </c>
      <c r="J63" s="24">
        <v>0</v>
      </c>
      <c r="K63" s="24">
        <v>0</v>
      </c>
      <c r="L63" s="24">
        <v>1</v>
      </c>
      <c r="M63" s="24">
        <f t="shared" si="2"/>
        <v>0</v>
      </c>
      <c r="N63" s="24">
        <v>0</v>
      </c>
      <c r="O63" s="24">
        <v>0</v>
      </c>
      <c r="P63" s="24" t="s">
        <v>158</v>
      </c>
      <c r="Q63" s="24">
        <v>0</v>
      </c>
      <c r="R63" s="24">
        <v>0</v>
      </c>
      <c r="S63" s="24">
        <v>50</v>
      </c>
    </row>
    <row r="64" s="12" customFormat="1" spans="1:19">
      <c r="A64" s="24">
        <v>301</v>
      </c>
      <c r="B64" s="24" t="s">
        <v>162</v>
      </c>
      <c r="C64" s="24" t="s">
        <v>50</v>
      </c>
      <c r="D64" s="24">
        <v>1</v>
      </c>
      <c r="E64" s="24">
        <v>1</v>
      </c>
      <c r="F64" s="24" t="s">
        <v>163</v>
      </c>
      <c r="G64" s="24">
        <v>2</v>
      </c>
      <c r="H64" s="24">
        <v>3</v>
      </c>
      <c r="I64" s="24">
        <v>1</v>
      </c>
      <c r="J64" s="24">
        <v>0</v>
      </c>
      <c r="K64" s="24">
        <v>0</v>
      </c>
      <c r="L64" s="24">
        <v>1</v>
      </c>
      <c r="M64" s="24">
        <f t="shared" si="2"/>
        <v>0</v>
      </c>
      <c r="N64" s="24">
        <v>0</v>
      </c>
      <c r="O64" s="24">
        <v>0</v>
      </c>
      <c r="P64" s="24">
        <v>2</v>
      </c>
      <c r="Q64" s="24">
        <v>0</v>
      </c>
      <c r="R64" s="24">
        <v>0</v>
      </c>
      <c r="S64" s="24">
        <v>50</v>
      </c>
    </row>
    <row r="65" s="12" customFormat="1" spans="1:19">
      <c r="A65" s="24">
        <v>302</v>
      </c>
      <c r="B65" s="24" t="s">
        <v>164</v>
      </c>
      <c r="C65" s="24" t="s">
        <v>50</v>
      </c>
      <c r="D65" s="24">
        <v>1</v>
      </c>
      <c r="E65" s="24">
        <v>1</v>
      </c>
      <c r="F65" s="24" t="s">
        <v>165</v>
      </c>
      <c r="G65" s="24">
        <v>2</v>
      </c>
      <c r="H65" s="24">
        <v>3</v>
      </c>
      <c r="I65" s="24">
        <v>2</v>
      </c>
      <c r="J65" s="24">
        <v>0</v>
      </c>
      <c r="K65" s="24">
        <v>0</v>
      </c>
      <c r="L65" s="24">
        <v>1</v>
      </c>
      <c r="M65" s="24">
        <f t="shared" si="2"/>
        <v>0</v>
      </c>
      <c r="N65" s="24">
        <v>0</v>
      </c>
      <c r="O65" s="24">
        <v>0</v>
      </c>
      <c r="P65" s="24">
        <v>2</v>
      </c>
      <c r="Q65" s="24">
        <v>0</v>
      </c>
      <c r="R65" s="24">
        <v>0</v>
      </c>
      <c r="S65" s="24">
        <v>50</v>
      </c>
    </row>
    <row r="66" s="12" customFormat="1" spans="1:19">
      <c r="A66" s="24">
        <v>303</v>
      </c>
      <c r="B66" s="24" t="s">
        <v>166</v>
      </c>
      <c r="C66" s="24" t="s">
        <v>50</v>
      </c>
      <c r="D66" s="24">
        <v>1</v>
      </c>
      <c r="E66" s="24">
        <v>1</v>
      </c>
      <c r="F66" s="24" t="s">
        <v>167</v>
      </c>
      <c r="G66" s="24">
        <v>2</v>
      </c>
      <c r="H66" s="24">
        <v>3</v>
      </c>
      <c r="I66" s="24">
        <v>2</v>
      </c>
      <c r="J66" s="24">
        <v>0</v>
      </c>
      <c r="K66" s="24">
        <v>0</v>
      </c>
      <c r="L66" s="24">
        <v>1</v>
      </c>
      <c r="M66" s="24">
        <f t="shared" si="2"/>
        <v>0</v>
      </c>
      <c r="N66" s="24">
        <v>0</v>
      </c>
      <c r="O66" s="24">
        <v>0</v>
      </c>
      <c r="P66" s="24" t="s">
        <v>168</v>
      </c>
      <c r="Q66" s="24">
        <v>0</v>
      </c>
      <c r="R66" s="24">
        <v>0</v>
      </c>
      <c r="S66" s="24">
        <v>50</v>
      </c>
    </row>
    <row r="67" s="12" customFormat="1" spans="1:19">
      <c r="A67" s="24">
        <v>304</v>
      </c>
      <c r="B67" s="24" t="s">
        <v>169</v>
      </c>
      <c r="C67" s="24" t="s">
        <v>50</v>
      </c>
      <c r="D67" s="24">
        <v>1</v>
      </c>
      <c r="E67" s="24">
        <v>1</v>
      </c>
      <c r="F67" s="24" t="s">
        <v>170</v>
      </c>
      <c r="G67" s="24">
        <v>2</v>
      </c>
      <c r="H67" s="24">
        <v>3</v>
      </c>
      <c r="I67" s="24">
        <v>2</v>
      </c>
      <c r="J67" s="24">
        <v>0</v>
      </c>
      <c r="K67" s="24">
        <v>0</v>
      </c>
      <c r="L67" s="24">
        <v>1</v>
      </c>
      <c r="M67" s="24">
        <f t="shared" si="2"/>
        <v>0</v>
      </c>
      <c r="N67" s="24">
        <v>0</v>
      </c>
      <c r="O67" s="24">
        <v>0</v>
      </c>
      <c r="P67" s="24" t="s">
        <v>171</v>
      </c>
      <c r="Q67" s="24">
        <v>0</v>
      </c>
      <c r="R67" s="24">
        <v>0</v>
      </c>
      <c r="S67" s="24">
        <v>50</v>
      </c>
    </row>
    <row r="68" s="12" customFormat="1" spans="1:19">
      <c r="A68" s="24">
        <v>305</v>
      </c>
      <c r="B68" s="24" t="s">
        <v>172</v>
      </c>
      <c r="C68" s="24" t="s">
        <v>50</v>
      </c>
      <c r="D68" s="24">
        <v>2</v>
      </c>
      <c r="E68" s="24">
        <v>1</v>
      </c>
      <c r="F68" s="24" t="s">
        <v>173</v>
      </c>
      <c r="G68" s="24">
        <v>2</v>
      </c>
      <c r="H68" s="24">
        <v>3</v>
      </c>
      <c r="I68" s="24">
        <v>2</v>
      </c>
      <c r="J68" s="24">
        <v>0</v>
      </c>
      <c r="K68" s="24">
        <v>0</v>
      </c>
      <c r="L68" s="24">
        <v>1</v>
      </c>
      <c r="M68" s="24">
        <f t="shared" si="2"/>
        <v>0</v>
      </c>
      <c r="N68" s="24">
        <v>0</v>
      </c>
      <c r="O68" s="24">
        <v>0</v>
      </c>
      <c r="P68" s="24" t="s">
        <v>174</v>
      </c>
      <c r="Q68" s="24">
        <v>0</v>
      </c>
      <c r="R68" s="24">
        <v>0</v>
      </c>
      <c r="S68" s="24">
        <v>50</v>
      </c>
    </row>
    <row r="69" s="12" customFormat="1" spans="1:19">
      <c r="A69" s="24">
        <v>306</v>
      </c>
      <c r="B69" s="24" t="s">
        <v>175</v>
      </c>
      <c r="C69" s="24" t="s">
        <v>50</v>
      </c>
      <c r="D69" s="24">
        <v>2</v>
      </c>
      <c r="E69" s="24">
        <v>1</v>
      </c>
      <c r="F69" s="24" t="s">
        <v>176</v>
      </c>
      <c r="G69" s="24">
        <v>2</v>
      </c>
      <c r="H69" s="24">
        <v>3</v>
      </c>
      <c r="I69" s="24">
        <v>1</v>
      </c>
      <c r="J69" s="24">
        <v>0</v>
      </c>
      <c r="K69" s="24">
        <v>0</v>
      </c>
      <c r="L69" s="24">
        <v>1</v>
      </c>
      <c r="M69" s="24">
        <f t="shared" si="2"/>
        <v>0</v>
      </c>
      <c r="N69" s="24">
        <v>0</v>
      </c>
      <c r="O69" s="24">
        <v>0</v>
      </c>
      <c r="P69" s="24" t="s">
        <v>177</v>
      </c>
      <c r="Q69" s="24">
        <v>0</v>
      </c>
      <c r="R69" s="24">
        <v>0</v>
      </c>
      <c r="S69" s="24">
        <v>50</v>
      </c>
    </row>
    <row r="70" s="12" customFormat="1" spans="1:19">
      <c r="A70" s="24">
        <v>307</v>
      </c>
      <c r="B70" s="24" t="s">
        <v>178</v>
      </c>
      <c r="C70" s="24" t="s">
        <v>50</v>
      </c>
      <c r="D70" s="24">
        <v>2</v>
      </c>
      <c r="E70" s="24">
        <v>1</v>
      </c>
      <c r="F70" s="24" t="s">
        <v>179</v>
      </c>
      <c r="G70" s="24">
        <v>2</v>
      </c>
      <c r="H70" s="24">
        <v>3</v>
      </c>
      <c r="I70" s="24">
        <v>1</v>
      </c>
      <c r="J70" s="24">
        <v>0</v>
      </c>
      <c r="K70" s="24">
        <v>0</v>
      </c>
      <c r="L70" s="24">
        <v>1</v>
      </c>
      <c r="M70" s="24">
        <f t="shared" si="2"/>
        <v>0</v>
      </c>
      <c r="N70" s="24">
        <v>0</v>
      </c>
      <c r="O70" s="24">
        <v>0</v>
      </c>
      <c r="P70" s="24" t="s">
        <v>180</v>
      </c>
      <c r="Q70" s="24">
        <v>0</v>
      </c>
      <c r="R70" s="24">
        <v>0</v>
      </c>
      <c r="S70" s="24">
        <v>50</v>
      </c>
    </row>
    <row r="71" s="12" customFormat="1" spans="1:19">
      <c r="A71" s="24">
        <v>308</v>
      </c>
      <c r="B71" s="24" t="s">
        <v>181</v>
      </c>
      <c r="C71" s="24" t="s">
        <v>50</v>
      </c>
      <c r="D71" s="24">
        <v>2</v>
      </c>
      <c r="E71" s="24">
        <v>1</v>
      </c>
      <c r="F71" s="24" t="s">
        <v>182</v>
      </c>
      <c r="G71" s="24">
        <v>2</v>
      </c>
      <c r="H71" s="24">
        <v>3</v>
      </c>
      <c r="I71" s="24">
        <v>1</v>
      </c>
      <c r="J71" s="24">
        <v>0</v>
      </c>
      <c r="K71" s="24">
        <v>0</v>
      </c>
      <c r="L71" s="24">
        <v>1</v>
      </c>
      <c r="M71" s="24">
        <f t="shared" ref="M71:M134" si="3">IF(G71=1,1,0)</f>
        <v>0</v>
      </c>
      <c r="N71" s="24">
        <v>0</v>
      </c>
      <c r="O71" s="24">
        <v>0</v>
      </c>
      <c r="P71" s="24" t="s">
        <v>183</v>
      </c>
      <c r="Q71" s="24">
        <v>0</v>
      </c>
      <c r="R71" s="24">
        <v>0</v>
      </c>
      <c r="S71" s="24">
        <v>50</v>
      </c>
    </row>
    <row r="72" s="12" customFormat="1" spans="1:19">
      <c r="A72" s="24">
        <v>309</v>
      </c>
      <c r="B72" s="24" t="s">
        <v>184</v>
      </c>
      <c r="C72" s="24" t="s">
        <v>50</v>
      </c>
      <c r="D72" s="24">
        <v>3</v>
      </c>
      <c r="E72" s="24">
        <v>2</v>
      </c>
      <c r="F72" s="24" t="s">
        <v>185</v>
      </c>
      <c r="G72" s="24">
        <v>2</v>
      </c>
      <c r="H72" s="24">
        <v>3</v>
      </c>
      <c r="I72" s="24">
        <v>1</v>
      </c>
      <c r="J72" s="24">
        <v>0</v>
      </c>
      <c r="K72" s="24">
        <v>0</v>
      </c>
      <c r="L72" s="24">
        <v>1</v>
      </c>
      <c r="M72" s="24">
        <f t="shared" si="3"/>
        <v>0</v>
      </c>
      <c r="N72" s="24">
        <v>0</v>
      </c>
      <c r="O72" s="24">
        <v>0</v>
      </c>
      <c r="P72" s="24" t="s">
        <v>186</v>
      </c>
      <c r="Q72" s="24">
        <v>0</v>
      </c>
      <c r="R72" s="24">
        <v>0</v>
      </c>
      <c r="S72" s="24">
        <v>50</v>
      </c>
    </row>
    <row r="73" s="12" customFormat="1" spans="1:19">
      <c r="A73" s="24">
        <v>310</v>
      </c>
      <c r="B73" s="24" t="s">
        <v>187</v>
      </c>
      <c r="C73" s="24" t="s">
        <v>50</v>
      </c>
      <c r="D73" s="24">
        <v>3</v>
      </c>
      <c r="E73" s="24">
        <v>2</v>
      </c>
      <c r="F73" s="24" t="s">
        <v>163</v>
      </c>
      <c r="G73" s="24">
        <v>2</v>
      </c>
      <c r="H73" s="24">
        <v>3</v>
      </c>
      <c r="I73" s="24">
        <v>1</v>
      </c>
      <c r="J73" s="24">
        <v>0</v>
      </c>
      <c r="K73" s="24">
        <v>0</v>
      </c>
      <c r="L73" s="24">
        <v>1</v>
      </c>
      <c r="M73" s="24">
        <f t="shared" si="3"/>
        <v>0</v>
      </c>
      <c r="N73" s="24">
        <v>0</v>
      </c>
      <c r="O73" s="24">
        <v>0</v>
      </c>
      <c r="P73" s="24" t="s">
        <v>188</v>
      </c>
      <c r="Q73" s="24">
        <v>0</v>
      </c>
      <c r="R73" s="24">
        <v>0</v>
      </c>
      <c r="S73" s="24">
        <v>50</v>
      </c>
    </row>
    <row r="74" s="12" customFormat="1" spans="1:19">
      <c r="A74" s="24">
        <v>311</v>
      </c>
      <c r="B74" s="24" t="s">
        <v>189</v>
      </c>
      <c r="C74" s="24" t="s">
        <v>50</v>
      </c>
      <c r="D74" s="24">
        <v>3</v>
      </c>
      <c r="E74" s="24">
        <v>2</v>
      </c>
      <c r="F74" s="24" t="s">
        <v>165</v>
      </c>
      <c r="G74" s="24">
        <v>2</v>
      </c>
      <c r="H74" s="24">
        <v>3</v>
      </c>
      <c r="I74" s="24">
        <v>1</v>
      </c>
      <c r="J74" s="24">
        <v>0</v>
      </c>
      <c r="K74" s="24">
        <v>0</v>
      </c>
      <c r="L74" s="24">
        <v>1</v>
      </c>
      <c r="M74" s="24">
        <f t="shared" si="3"/>
        <v>0</v>
      </c>
      <c r="N74" s="24">
        <v>0</v>
      </c>
      <c r="O74" s="24">
        <v>0</v>
      </c>
      <c r="P74" s="24" t="s">
        <v>190</v>
      </c>
      <c r="Q74" s="24">
        <v>0</v>
      </c>
      <c r="R74" s="24">
        <v>0</v>
      </c>
      <c r="S74" s="24">
        <v>50</v>
      </c>
    </row>
    <row r="75" s="12" customFormat="1" spans="1:19">
      <c r="A75" s="24">
        <v>312</v>
      </c>
      <c r="B75" s="24" t="s">
        <v>191</v>
      </c>
      <c r="C75" s="24" t="s">
        <v>50</v>
      </c>
      <c r="D75" s="24">
        <v>3</v>
      </c>
      <c r="E75" s="24">
        <v>2</v>
      </c>
      <c r="F75" s="24" t="s">
        <v>167</v>
      </c>
      <c r="G75" s="24">
        <v>2</v>
      </c>
      <c r="H75" s="24">
        <v>3</v>
      </c>
      <c r="I75" s="24">
        <v>2</v>
      </c>
      <c r="J75" s="24">
        <v>0</v>
      </c>
      <c r="K75" s="24">
        <v>0</v>
      </c>
      <c r="L75" s="24">
        <v>1</v>
      </c>
      <c r="M75" s="24">
        <f t="shared" si="3"/>
        <v>0</v>
      </c>
      <c r="N75" s="24">
        <v>0</v>
      </c>
      <c r="O75" s="24">
        <v>0</v>
      </c>
      <c r="P75" s="24" t="s">
        <v>192</v>
      </c>
      <c r="Q75" s="24">
        <v>0</v>
      </c>
      <c r="R75" s="24">
        <v>0</v>
      </c>
      <c r="S75" s="24">
        <v>50</v>
      </c>
    </row>
    <row r="76" s="12" customFormat="1" spans="1:19">
      <c r="A76" s="24">
        <v>313</v>
      </c>
      <c r="B76" s="24" t="s">
        <v>193</v>
      </c>
      <c r="C76" s="24" t="s">
        <v>50</v>
      </c>
      <c r="D76" s="24">
        <v>3</v>
      </c>
      <c r="E76" s="24">
        <v>2</v>
      </c>
      <c r="F76" s="24" t="s">
        <v>170</v>
      </c>
      <c r="G76" s="24">
        <v>2</v>
      </c>
      <c r="H76" s="24">
        <v>3</v>
      </c>
      <c r="I76" s="24">
        <v>1</v>
      </c>
      <c r="J76" s="24">
        <v>0</v>
      </c>
      <c r="K76" s="24">
        <v>0</v>
      </c>
      <c r="L76" s="24">
        <v>1</v>
      </c>
      <c r="M76" s="24">
        <f t="shared" si="3"/>
        <v>0</v>
      </c>
      <c r="N76" s="24">
        <v>0</v>
      </c>
      <c r="O76" s="24">
        <v>0</v>
      </c>
      <c r="P76" s="24" t="s">
        <v>194</v>
      </c>
      <c r="Q76" s="24">
        <v>0</v>
      </c>
      <c r="R76" s="24">
        <v>0</v>
      </c>
      <c r="S76" s="24">
        <v>50</v>
      </c>
    </row>
    <row r="77" s="12" customFormat="1" spans="1:19">
      <c r="A77" s="24">
        <v>314</v>
      </c>
      <c r="B77" s="24" t="s">
        <v>195</v>
      </c>
      <c r="C77" s="24" t="s">
        <v>50</v>
      </c>
      <c r="D77" s="24">
        <v>3</v>
      </c>
      <c r="E77" s="24">
        <v>2</v>
      </c>
      <c r="F77" s="24" t="s">
        <v>173</v>
      </c>
      <c r="G77" s="24">
        <v>2</v>
      </c>
      <c r="H77" s="24">
        <v>3</v>
      </c>
      <c r="I77" s="24">
        <v>1</v>
      </c>
      <c r="J77" s="24">
        <v>0</v>
      </c>
      <c r="K77" s="24">
        <v>0</v>
      </c>
      <c r="L77" s="24">
        <v>1</v>
      </c>
      <c r="M77" s="24">
        <f t="shared" si="3"/>
        <v>0</v>
      </c>
      <c r="N77" s="24">
        <v>0</v>
      </c>
      <c r="O77" s="24">
        <v>0</v>
      </c>
      <c r="P77" s="24" t="s">
        <v>196</v>
      </c>
      <c r="Q77" s="24">
        <v>0</v>
      </c>
      <c r="R77" s="24">
        <v>0</v>
      </c>
      <c r="S77" s="24">
        <v>50</v>
      </c>
    </row>
    <row r="78" s="12" customFormat="1" spans="1:19">
      <c r="A78" s="24">
        <v>315</v>
      </c>
      <c r="B78" s="24" t="s">
        <v>197</v>
      </c>
      <c r="C78" s="24" t="s">
        <v>50</v>
      </c>
      <c r="D78" s="24">
        <v>3</v>
      </c>
      <c r="E78" s="24">
        <v>2</v>
      </c>
      <c r="F78" s="24" t="s">
        <v>176</v>
      </c>
      <c r="G78" s="24">
        <v>2</v>
      </c>
      <c r="H78" s="24">
        <v>3</v>
      </c>
      <c r="I78" s="24">
        <v>2</v>
      </c>
      <c r="J78" s="24">
        <v>0</v>
      </c>
      <c r="K78" s="24">
        <v>0</v>
      </c>
      <c r="L78" s="24">
        <v>1</v>
      </c>
      <c r="M78" s="24">
        <f t="shared" si="3"/>
        <v>0</v>
      </c>
      <c r="N78" s="24">
        <v>0</v>
      </c>
      <c r="O78" s="24">
        <v>0</v>
      </c>
      <c r="P78" s="24" t="s">
        <v>198</v>
      </c>
      <c r="Q78" s="24">
        <v>0</v>
      </c>
      <c r="R78" s="24">
        <v>0</v>
      </c>
      <c r="S78" s="24">
        <v>50</v>
      </c>
    </row>
    <row r="79" s="12" customFormat="1" spans="1:19">
      <c r="A79" s="24">
        <v>316</v>
      </c>
      <c r="B79" s="24" t="s">
        <v>199</v>
      </c>
      <c r="C79" s="24" t="s">
        <v>50</v>
      </c>
      <c r="D79" s="24">
        <v>3</v>
      </c>
      <c r="E79" s="24">
        <v>2</v>
      </c>
      <c r="F79" s="24" t="s">
        <v>179</v>
      </c>
      <c r="G79" s="24">
        <v>2</v>
      </c>
      <c r="H79" s="24">
        <v>3</v>
      </c>
      <c r="I79" s="24">
        <v>2</v>
      </c>
      <c r="J79" s="24">
        <v>0</v>
      </c>
      <c r="K79" s="24">
        <v>0</v>
      </c>
      <c r="L79" s="24">
        <v>1</v>
      </c>
      <c r="M79" s="24">
        <f t="shared" si="3"/>
        <v>0</v>
      </c>
      <c r="N79" s="24">
        <v>0</v>
      </c>
      <c r="O79" s="24">
        <v>0</v>
      </c>
      <c r="P79" s="24" t="s">
        <v>200</v>
      </c>
      <c r="Q79" s="24">
        <v>0</v>
      </c>
      <c r="R79" s="24">
        <v>0</v>
      </c>
      <c r="S79" s="24">
        <v>50</v>
      </c>
    </row>
    <row r="80" s="12" customFormat="1" spans="1:19">
      <c r="A80" s="24">
        <v>317</v>
      </c>
      <c r="B80" s="24" t="s">
        <v>201</v>
      </c>
      <c r="C80" s="24" t="s">
        <v>50</v>
      </c>
      <c r="D80" s="24">
        <v>3</v>
      </c>
      <c r="E80" s="24">
        <v>2</v>
      </c>
      <c r="F80" s="24" t="s">
        <v>182</v>
      </c>
      <c r="G80" s="24">
        <v>2</v>
      </c>
      <c r="H80" s="24">
        <v>3</v>
      </c>
      <c r="I80" s="24">
        <v>2</v>
      </c>
      <c r="J80" s="24">
        <v>0</v>
      </c>
      <c r="K80" s="24">
        <v>0</v>
      </c>
      <c r="L80" s="24">
        <v>1</v>
      </c>
      <c r="M80" s="24">
        <f t="shared" si="3"/>
        <v>0</v>
      </c>
      <c r="N80" s="24">
        <v>0</v>
      </c>
      <c r="O80" s="24">
        <v>0</v>
      </c>
      <c r="P80" s="24" t="s">
        <v>202</v>
      </c>
      <c r="Q80" s="24">
        <v>0</v>
      </c>
      <c r="R80" s="24">
        <v>0</v>
      </c>
      <c r="S80" s="24">
        <v>50</v>
      </c>
    </row>
    <row r="81" s="12" customFormat="1" spans="1:19">
      <c r="A81" s="24">
        <v>318</v>
      </c>
      <c r="B81" s="24" t="s">
        <v>203</v>
      </c>
      <c r="C81" s="24" t="s">
        <v>50</v>
      </c>
      <c r="D81" s="24">
        <v>3</v>
      </c>
      <c r="E81" s="24">
        <v>2</v>
      </c>
      <c r="F81" s="24" t="s">
        <v>185</v>
      </c>
      <c r="G81" s="24">
        <v>2</v>
      </c>
      <c r="H81" s="24">
        <v>3</v>
      </c>
      <c r="I81" s="24">
        <v>1</v>
      </c>
      <c r="J81" s="24">
        <v>0</v>
      </c>
      <c r="K81" s="24">
        <v>0</v>
      </c>
      <c r="L81" s="24">
        <v>1</v>
      </c>
      <c r="M81" s="24">
        <f t="shared" si="3"/>
        <v>0</v>
      </c>
      <c r="N81" s="24">
        <v>0</v>
      </c>
      <c r="O81" s="24">
        <v>0</v>
      </c>
      <c r="P81" s="24" t="s">
        <v>204</v>
      </c>
      <c r="Q81" s="24">
        <v>0</v>
      </c>
      <c r="R81" s="24">
        <v>0</v>
      </c>
      <c r="S81" s="24">
        <v>50</v>
      </c>
    </row>
    <row r="82" s="12" customFormat="1" spans="1:19">
      <c r="A82" s="24">
        <v>319</v>
      </c>
      <c r="B82" s="24" t="s">
        <v>205</v>
      </c>
      <c r="C82" s="24" t="s">
        <v>50</v>
      </c>
      <c r="D82" s="24">
        <v>3</v>
      </c>
      <c r="E82" s="24">
        <v>2</v>
      </c>
      <c r="F82" s="24" t="s">
        <v>163</v>
      </c>
      <c r="G82" s="24">
        <v>2</v>
      </c>
      <c r="H82" s="24">
        <v>3</v>
      </c>
      <c r="I82" s="24">
        <v>2</v>
      </c>
      <c r="J82" s="24">
        <v>0</v>
      </c>
      <c r="K82" s="24">
        <v>0</v>
      </c>
      <c r="L82" s="24">
        <v>1</v>
      </c>
      <c r="M82" s="24">
        <f t="shared" si="3"/>
        <v>0</v>
      </c>
      <c r="N82" s="24">
        <v>0</v>
      </c>
      <c r="O82" s="24">
        <v>0</v>
      </c>
      <c r="P82" s="24" t="s">
        <v>206</v>
      </c>
      <c r="Q82" s="24">
        <v>0</v>
      </c>
      <c r="R82" s="24">
        <v>0</v>
      </c>
      <c r="S82" s="24">
        <v>50</v>
      </c>
    </row>
    <row r="83" s="12" customFormat="1" spans="1:19">
      <c r="A83" s="24">
        <v>320</v>
      </c>
      <c r="B83" s="24" t="s">
        <v>207</v>
      </c>
      <c r="C83" s="24" t="s">
        <v>50</v>
      </c>
      <c r="D83" s="24">
        <v>3</v>
      </c>
      <c r="E83" s="24">
        <v>2</v>
      </c>
      <c r="F83" s="24" t="s">
        <v>165</v>
      </c>
      <c r="G83" s="24">
        <v>2</v>
      </c>
      <c r="H83" s="24">
        <v>3</v>
      </c>
      <c r="I83" s="24">
        <v>1</v>
      </c>
      <c r="J83" s="24">
        <v>0</v>
      </c>
      <c r="K83" s="24">
        <v>0</v>
      </c>
      <c r="L83" s="24">
        <v>1</v>
      </c>
      <c r="M83" s="24">
        <f t="shared" si="3"/>
        <v>0</v>
      </c>
      <c r="N83" s="24">
        <v>0</v>
      </c>
      <c r="O83" s="24">
        <v>0</v>
      </c>
      <c r="P83" s="24" t="s">
        <v>208</v>
      </c>
      <c r="Q83" s="24">
        <v>0</v>
      </c>
      <c r="R83" s="24">
        <v>0</v>
      </c>
      <c r="S83" s="24">
        <v>50</v>
      </c>
    </row>
    <row r="84" s="12" customFormat="1" spans="1:19">
      <c r="A84" s="24">
        <v>321</v>
      </c>
      <c r="B84" s="24" t="s">
        <v>209</v>
      </c>
      <c r="C84" s="24" t="s">
        <v>50</v>
      </c>
      <c r="D84" s="24">
        <v>3</v>
      </c>
      <c r="E84" s="24">
        <v>2</v>
      </c>
      <c r="F84" s="24" t="s">
        <v>167</v>
      </c>
      <c r="G84" s="24">
        <v>2</v>
      </c>
      <c r="H84" s="24">
        <v>3</v>
      </c>
      <c r="I84" s="24">
        <v>1</v>
      </c>
      <c r="J84" s="24">
        <v>0</v>
      </c>
      <c r="K84" s="24">
        <v>0</v>
      </c>
      <c r="L84" s="24">
        <v>1</v>
      </c>
      <c r="M84" s="24">
        <f t="shared" si="3"/>
        <v>0</v>
      </c>
      <c r="N84" s="24">
        <v>0</v>
      </c>
      <c r="O84" s="24">
        <v>0</v>
      </c>
      <c r="P84" s="24" t="s">
        <v>210</v>
      </c>
      <c r="Q84" s="24">
        <v>0</v>
      </c>
      <c r="R84" s="24">
        <v>0</v>
      </c>
      <c r="S84" s="24">
        <v>50</v>
      </c>
    </row>
    <row r="85" s="12" customFormat="1" spans="1:19">
      <c r="A85" s="24">
        <v>322</v>
      </c>
      <c r="B85" s="24" t="s">
        <v>211</v>
      </c>
      <c r="C85" s="24" t="s">
        <v>50</v>
      </c>
      <c r="D85" s="24">
        <v>3</v>
      </c>
      <c r="E85" s="24">
        <v>2</v>
      </c>
      <c r="F85" s="24" t="s">
        <v>170</v>
      </c>
      <c r="G85" s="24">
        <v>2</v>
      </c>
      <c r="H85" s="24">
        <v>3</v>
      </c>
      <c r="I85" s="24">
        <v>2</v>
      </c>
      <c r="J85" s="24">
        <v>0</v>
      </c>
      <c r="K85" s="24">
        <v>0</v>
      </c>
      <c r="L85" s="24">
        <v>1</v>
      </c>
      <c r="M85" s="24">
        <f t="shared" si="3"/>
        <v>0</v>
      </c>
      <c r="N85" s="24">
        <v>0</v>
      </c>
      <c r="O85" s="24">
        <v>0</v>
      </c>
      <c r="P85" s="24" t="s">
        <v>212</v>
      </c>
      <c r="Q85" s="24">
        <v>0</v>
      </c>
      <c r="R85" s="24">
        <v>0</v>
      </c>
      <c r="S85" s="24">
        <v>50</v>
      </c>
    </row>
    <row r="86" s="12" customFormat="1" spans="1:19">
      <c r="A86" s="24">
        <v>323</v>
      </c>
      <c r="B86" s="24" t="s">
        <v>213</v>
      </c>
      <c r="C86" s="24" t="s">
        <v>50</v>
      </c>
      <c r="D86" s="24">
        <v>3</v>
      </c>
      <c r="E86" s="24">
        <v>2</v>
      </c>
      <c r="F86" s="24" t="s">
        <v>173</v>
      </c>
      <c r="G86" s="24">
        <v>2</v>
      </c>
      <c r="H86" s="24">
        <v>3</v>
      </c>
      <c r="I86" s="24">
        <v>1</v>
      </c>
      <c r="J86" s="24">
        <v>0</v>
      </c>
      <c r="K86" s="24">
        <v>0</v>
      </c>
      <c r="L86" s="24">
        <v>1</v>
      </c>
      <c r="M86" s="24">
        <f t="shared" si="3"/>
        <v>0</v>
      </c>
      <c r="N86" s="24">
        <v>0</v>
      </c>
      <c r="O86" s="24">
        <v>0</v>
      </c>
      <c r="P86" s="24" t="s">
        <v>214</v>
      </c>
      <c r="Q86" s="24">
        <v>0</v>
      </c>
      <c r="R86" s="24">
        <v>0</v>
      </c>
      <c r="S86" s="24">
        <v>50</v>
      </c>
    </row>
    <row r="87" s="12" customFormat="1" spans="1:19">
      <c r="A87" s="24">
        <v>324</v>
      </c>
      <c r="B87" s="24" t="s">
        <v>215</v>
      </c>
      <c r="C87" s="24" t="s">
        <v>50</v>
      </c>
      <c r="D87" s="24">
        <v>3</v>
      </c>
      <c r="E87" s="24">
        <v>2</v>
      </c>
      <c r="F87" s="24" t="s">
        <v>176</v>
      </c>
      <c r="G87" s="24">
        <v>2</v>
      </c>
      <c r="H87" s="24">
        <v>3</v>
      </c>
      <c r="I87" s="24">
        <v>1</v>
      </c>
      <c r="J87" s="24">
        <v>0</v>
      </c>
      <c r="K87" s="24">
        <v>0</v>
      </c>
      <c r="L87" s="24">
        <v>1</v>
      </c>
      <c r="M87" s="24">
        <f t="shared" si="3"/>
        <v>0</v>
      </c>
      <c r="N87" s="24">
        <v>0</v>
      </c>
      <c r="O87" s="24">
        <v>0</v>
      </c>
      <c r="P87" s="24" t="s">
        <v>202</v>
      </c>
      <c r="Q87" s="24">
        <v>0</v>
      </c>
      <c r="R87" s="24">
        <v>0</v>
      </c>
      <c r="S87" s="24">
        <v>50</v>
      </c>
    </row>
    <row r="88" s="12" customFormat="1" spans="1:19">
      <c r="A88" s="24">
        <v>325</v>
      </c>
      <c r="B88" s="24" t="s">
        <v>216</v>
      </c>
      <c r="C88" s="24" t="s">
        <v>50</v>
      </c>
      <c r="D88" s="24">
        <v>3</v>
      </c>
      <c r="E88" s="24">
        <v>2</v>
      </c>
      <c r="F88" s="24" t="s">
        <v>179</v>
      </c>
      <c r="G88" s="24">
        <v>2</v>
      </c>
      <c r="H88" s="24">
        <v>3</v>
      </c>
      <c r="I88" s="24">
        <v>2</v>
      </c>
      <c r="J88" s="24">
        <v>0</v>
      </c>
      <c r="K88" s="24">
        <v>0</v>
      </c>
      <c r="L88" s="24">
        <v>1</v>
      </c>
      <c r="M88" s="24">
        <f t="shared" si="3"/>
        <v>0</v>
      </c>
      <c r="N88" s="24">
        <v>0</v>
      </c>
      <c r="O88" s="24">
        <v>0</v>
      </c>
      <c r="P88" s="24" t="s">
        <v>217</v>
      </c>
      <c r="Q88" s="24">
        <v>0</v>
      </c>
      <c r="R88" s="24">
        <v>0</v>
      </c>
      <c r="S88" s="24">
        <v>50</v>
      </c>
    </row>
    <row r="89" s="12" customFormat="1" spans="1:19">
      <c r="A89" s="24">
        <v>326</v>
      </c>
      <c r="B89" s="24" t="s">
        <v>218</v>
      </c>
      <c r="C89" s="24" t="s">
        <v>50</v>
      </c>
      <c r="D89" s="24">
        <v>3</v>
      </c>
      <c r="E89" s="24">
        <v>2</v>
      </c>
      <c r="F89" s="24" t="s">
        <v>182</v>
      </c>
      <c r="G89" s="24">
        <v>2</v>
      </c>
      <c r="H89" s="24">
        <v>3</v>
      </c>
      <c r="I89" s="24">
        <v>1</v>
      </c>
      <c r="J89" s="24">
        <v>0</v>
      </c>
      <c r="K89" s="24">
        <v>0</v>
      </c>
      <c r="L89" s="24">
        <v>1</v>
      </c>
      <c r="M89" s="24">
        <f t="shared" si="3"/>
        <v>0</v>
      </c>
      <c r="N89" s="24">
        <v>0</v>
      </c>
      <c r="O89" s="24">
        <v>0</v>
      </c>
      <c r="P89" s="24" t="s">
        <v>219</v>
      </c>
      <c r="Q89" s="24">
        <v>0</v>
      </c>
      <c r="R89" s="24">
        <v>0</v>
      </c>
      <c r="S89" s="24">
        <v>50</v>
      </c>
    </row>
    <row r="90" s="12" customFormat="1" spans="1:19">
      <c r="A90" s="24">
        <v>327</v>
      </c>
      <c r="B90" s="24" t="s">
        <v>220</v>
      </c>
      <c r="C90" s="24" t="s">
        <v>50</v>
      </c>
      <c r="D90" s="24">
        <v>4</v>
      </c>
      <c r="E90" s="24">
        <v>3</v>
      </c>
      <c r="F90" s="24" t="s">
        <v>185</v>
      </c>
      <c r="G90" s="24">
        <v>2</v>
      </c>
      <c r="H90" s="24">
        <v>3</v>
      </c>
      <c r="I90" s="24">
        <v>2</v>
      </c>
      <c r="J90" s="24">
        <v>0</v>
      </c>
      <c r="K90" s="24">
        <v>0</v>
      </c>
      <c r="L90" s="24">
        <v>1</v>
      </c>
      <c r="M90" s="24">
        <f t="shared" si="3"/>
        <v>0</v>
      </c>
      <c r="N90" s="24">
        <v>0</v>
      </c>
      <c r="O90" s="24">
        <v>0</v>
      </c>
      <c r="P90" s="24" t="s">
        <v>221</v>
      </c>
      <c r="Q90" s="24">
        <v>0</v>
      </c>
      <c r="R90" s="24">
        <v>0</v>
      </c>
      <c r="S90" s="24">
        <v>50</v>
      </c>
    </row>
    <row r="91" s="12" customFormat="1" spans="1:19">
      <c r="A91" s="24">
        <v>328</v>
      </c>
      <c r="B91" s="24" t="s">
        <v>222</v>
      </c>
      <c r="C91" s="24" t="s">
        <v>50</v>
      </c>
      <c r="D91" s="24">
        <v>4</v>
      </c>
      <c r="E91" s="24">
        <v>3</v>
      </c>
      <c r="F91" s="24" t="s">
        <v>163</v>
      </c>
      <c r="G91" s="24">
        <v>2</v>
      </c>
      <c r="H91" s="24">
        <v>3</v>
      </c>
      <c r="I91" s="24">
        <v>2</v>
      </c>
      <c r="J91" s="24">
        <v>0</v>
      </c>
      <c r="K91" s="24">
        <v>0</v>
      </c>
      <c r="L91" s="24">
        <v>1</v>
      </c>
      <c r="M91" s="24">
        <f t="shared" si="3"/>
        <v>0</v>
      </c>
      <c r="N91" s="24">
        <v>0</v>
      </c>
      <c r="O91" s="24">
        <v>0</v>
      </c>
      <c r="P91" s="24" t="s">
        <v>223</v>
      </c>
      <c r="Q91" s="24">
        <v>0</v>
      </c>
      <c r="R91" s="24">
        <v>0</v>
      </c>
      <c r="S91" s="24">
        <v>50</v>
      </c>
    </row>
    <row r="92" s="12" customFormat="1" spans="1:19">
      <c r="A92" s="24">
        <v>329</v>
      </c>
      <c r="B92" s="24" t="s">
        <v>224</v>
      </c>
      <c r="C92" s="24" t="s">
        <v>50</v>
      </c>
      <c r="D92" s="24">
        <v>4</v>
      </c>
      <c r="E92" s="24">
        <v>3</v>
      </c>
      <c r="F92" s="24" t="s">
        <v>165</v>
      </c>
      <c r="G92" s="24">
        <v>2</v>
      </c>
      <c r="H92" s="24">
        <v>3</v>
      </c>
      <c r="I92" s="24">
        <v>2</v>
      </c>
      <c r="J92" s="24">
        <v>0</v>
      </c>
      <c r="K92" s="24">
        <v>0</v>
      </c>
      <c r="L92" s="24">
        <v>1</v>
      </c>
      <c r="M92" s="24">
        <f t="shared" si="3"/>
        <v>0</v>
      </c>
      <c r="N92" s="24">
        <v>0</v>
      </c>
      <c r="O92" s="24">
        <v>0</v>
      </c>
      <c r="P92" s="24" t="s">
        <v>225</v>
      </c>
      <c r="Q92" s="24">
        <v>0</v>
      </c>
      <c r="R92" s="24">
        <v>0</v>
      </c>
      <c r="S92" s="24">
        <v>50</v>
      </c>
    </row>
    <row r="93" s="12" customFormat="1" spans="1:19">
      <c r="A93" s="24">
        <v>330</v>
      </c>
      <c r="B93" s="24" t="s">
        <v>226</v>
      </c>
      <c r="C93" s="24" t="s">
        <v>50</v>
      </c>
      <c r="D93" s="24">
        <v>4</v>
      </c>
      <c r="E93" s="24">
        <v>3</v>
      </c>
      <c r="F93" s="24" t="s">
        <v>167</v>
      </c>
      <c r="G93" s="24">
        <v>2</v>
      </c>
      <c r="H93" s="24">
        <v>3</v>
      </c>
      <c r="I93" s="24">
        <v>2</v>
      </c>
      <c r="J93" s="24">
        <v>0</v>
      </c>
      <c r="K93" s="24">
        <v>0</v>
      </c>
      <c r="L93" s="24">
        <v>1</v>
      </c>
      <c r="M93" s="24">
        <f t="shared" si="3"/>
        <v>0</v>
      </c>
      <c r="N93" s="24">
        <v>0</v>
      </c>
      <c r="O93" s="24">
        <v>0</v>
      </c>
      <c r="P93" s="24" t="s">
        <v>227</v>
      </c>
      <c r="Q93" s="24">
        <v>0</v>
      </c>
      <c r="R93" s="24">
        <v>0</v>
      </c>
      <c r="S93" s="24">
        <v>50</v>
      </c>
    </row>
    <row r="94" s="12" customFormat="1" spans="1:19">
      <c r="A94" s="24">
        <v>331</v>
      </c>
      <c r="B94" s="24" t="s">
        <v>228</v>
      </c>
      <c r="C94" s="24" t="s">
        <v>50</v>
      </c>
      <c r="D94" s="24">
        <v>4</v>
      </c>
      <c r="E94" s="24">
        <v>3</v>
      </c>
      <c r="F94" s="24" t="s">
        <v>170</v>
      </c>
      <c r="G94" s="24">
        <v>2</v>
      </c>
      <c r="H94" s="24">
        <v>3</v>
      </c>
      <c r="I94" s="24">
        <v>2</v>
      </c>
      <c r="J94" s="24">
        <v>0</v>
      </c>
      <c r="K94" s="24">
        <v>0</v>
      </c>
      <c r="L94" s="24">
        <v>1</v>
      </c>
      <c r="M94" s="24">
        <f t="shared" si="3"/>
        <v>0</v>
      </c>
      <c r="N94" s="24">
        <v>0</v>
      </c>
      <c r="O94" s="24">
        <v>0</v>
      </c>
      <c r="P94" s="24" t="s">
        <v>229</v>
      </c>
      <c r="Q94" s="24">
        <v>0</v>
      </c>
      <c r="R94" s="24">
        <v>0</v>
      </c>
      <c r="S94" s="24">
        <v>50</v>
      </c>
    </row>
    <row r="95" s="12" customFormat="1" spans="1:19">
      <c r="A95" s="24">
        <v>332</v>
      </c>
      <c r="B95" s="24" t="s">
        <v>230</v>
      </c>
      <c r="C95" s="24" t="s">
        <v>50</v>
      </c>
      <c r="D95" s="24">
        <v>4</v>
      </c>
      <c r="E95" s="24">
        <v>3</v>
      </c>
      <c r="F95" s="24" t="s">
        <v>173</v>
      </c>
      <c r="G95" s="24">
        <v>2</v>
      </c>
      <c r="H95" s="24">
        <v>3</v>
      </c>
      <c r="I95" s="24">
        <v>1</v>
      </c>
      <c r="J95" s="24">
        <v>0</v>
      </c>
      <c r="K95" s="24">
        <v>0</v>
      </c>
      <c r="L95" s="24">
        <v>1</v>
      </c>
      <c r="M95" s="24">
        <f t="shared" si="3"/>
        <v>0</v>
      </c>
      <c r="N95" s="24">
        <v>0</v>
      </c>
      <c r="O95" s="24">
        <v>0</v>
      </c>
      <c r="P95" s="24" t="s">
        <v>231</v>
      </c>
      <c r="Q95" s="24">
        <v>0</v>
      </c>
      <c r="R95" s="24">
        <v>0</v>
      </c>
      <c r="S95" s="24">
        <v>50</v>
      </c>
    </row>
    <row r="96" s="12" customFormat="1" spans="1:19">
      <c r="A96" s="24">
        <v>333</v>
      </c>
      <c r="B96" s="24" t="s">
        <v>232</v>
      </c>
      <c r="C96" s="24" t="s">
        <v>50</v>
      </c>
      <c r="D96" s="24">
        <v>4</v>
      </c>
      <c r="E96" s="24">
        <v>3</v>
      </c>
      <c r="F96" s="24" t="s">
        <v>176</v>
      </c>
      <c r="G96" s="24">
        <v>2</v>
      </c>
      <c r="H96" s="24">
        <v>3</v>
      </c>
      <c r="I96" s="24">
        <v>1</v>
      </c>
      <c r="J96" s="24">
        <v>0</v>
      </c>
      <c r="K96" s="24">
        <v>0</v>
      </c>
      <c r="L96" s="24">
        <v>1</v>
      </c>
      <c r="M96" s="24">
        <f t="shared" si="3"/>
        <v>0</v>
      </c>
      <c r="N96" s="24">
        <v>0</v>
      </c>
      <c r="O96" s="24">
        <v>0</v>
      </c>
      <c r="P96" s="24" t="s">
        <v>221</v>
      </c>
      <c r="Q96" s="24">
        <v>0</v>
      </c>
      <c r="R96" s="24">
        <v>0</v>
      </c>
      <c r="S96" s="24">
        <v>50</v>
      </c>
    </row>
    <row r="97" s="12" customFormat="1" spans="1:19">
      <c r="A97" s="24">
        <v>334</v>
      </c>
      <c r="B97" s="24" t="s">
        <v>233</v>
      </c>
      <c r="C97" s="24" t="s">
        <v>50</v>
      </c>
      <c r="D97" s="24">
        <v>4</v>
      </c>
      <c r="E97" s="24">
        <v>3</v>
      </c>
      <c r="F97" s="24" t="s">
        <v>179</v>
      </c>
      <c r="G97" s="24">
        <v>2</v>
      </c>
      <c r="H97" s="24">
        <v>3</v>
      </c>
      <c r="I97" s="24">
        <v>2</v>
      </c>
      <c r="J97" s="24">
        <v>0</v>
      </c>
      <c r="K97" s="24">
        <v>0</v>
      </c>
      <c r="L97" s="24">
        <v>1</v>
      </c>
      <c r="M97" s="24">
        <f t="shared" si="3"/>
        <v>0</v>
      </c>
      <c r="N97" s="24">
        <v>0</v>
      </c>
      <c r="O97" s="24">
        <v>0</v>
      </c>
      <c r="P97" s="24" t="s">
        <v>231</v>
      </c>
      <c r="Q97" s="24">
        <v>0</v>
      </c>
      <c r="R97" s="24">
        <v>0</v>
      </c>
      <c r="S97" s="24">
        <v>50</v>
      </c>
    </row>
    <row r="98" s="12" customFormat="1" spans="1:19">
      <c r="A98" s="24">
        <v>335</v>
      </c>
      <c r="B98" s="24" t="s">
        <v>234</v>
      </c>
      <c r="C98" s="24" t="s">
        <v>50</v>
      </c>
      <c r="D98" s="24">
        <v>4</v>
      </c>
      <c r="E98" s="24">
        <v>3</v>
      </c>
      <c r="F98" s="24" t="s">
        <v>182</v>
      </c>
      <c r="G98" s="24">
        <v>2</v>
      </c>
      <c r="H98" s="24">
        <v>3</v>
      </c>
      <c r="I98" s="24">
        <v>2</v>
      </c>
      <c r="J98" s="24">
        <v>0</v>
      </c>
      <c r="K98" s="24">
        <v>0</v>
      </c>
      <c r="L98" s="24">
        <v>1</v>
      </c>
      <c r="M98" s="24">
        <f t="shared" si="3"/>
        <v>0</v>
      </c>
      <c r="N98" s="24">
        <v>0</v>
      </c>
      <c r="O98" s="24">
        <v>0</v>
      </c>
      <c r="P98" s="24" t="s">
        <v>221</v>
      </c>
      <c r="Q98" s="24">
        <v>0</v>
      </c>
      <c r="R98" s="24">
        <v>0</v>
      </c>
      <c r="S98" s="24">
        <v>50</v>
      </c>
    </row>
    <row r="99" s="12" customFormat="1" spans="1:19">
      <c r="A99" s="24">
        <v>336</v>
      </c>
      <c r="B99" s="24" t="s">
        <v>235</v>
      </c>
      <c r="C99" s="24" t="s">
        <v>50</v>
      </c>
      <c r="D99" s="24">
        <v>4</v>
      </c>
      <c r="E99" s="24">
        <v>3</v>
      </c>
      <c r="F99" s="24" t="s">
        <v>185</v>
      </c>
      <c r="G99" s="24">
        <v>2</v>
      </c>
      <c r="H99" s="24">
        <v>3</v>
      </c>
      <c r="I99" s="24">
        <v>1</v>
      </c>
      <c r="J99" s="24">
        <v>0</v>
      </c>
      <c r="K99" s="24">
        <v>0</v>
      </c>
      <c r="L99" s="24">
        <v>1</v>
      </c>
      <c r="M99" s="24">
        <f t="shared" si="3"/>
        <v>0</v>
      </c>
      <c r="N99" s="24">
        <v>0</v>
      </c>
      <c r="O99" s="24">
        <v>0</v>
      </c>
      <c r="P99" s="24" t="s">
        <v>231</v>
      </c>
      <c r="Q99" s="24">
        <v>0</v>
      </c>
      <c r="R99" s="24">
        <v>0</v>
      </c>
      <c r="S99" s="24">
        <v>50</v>
      </c>
    </row>
    <row r="100" s="12" customFormat="1" spans="1:19">
      <c r="A100" s="24">
        <v>337</v>
      </c>
      <c r="B100" s="24" t="s">
        <v>236</v>
      </c>
      <c r="C100" s="24" t="s">
        <v>50</v>
      </c>
      <c r="D100" s="24">
        <v>4</v>
      </c>
      <c r="E100" s="24">
        <v>3</v>
      </c>
      <c r="F100" s="24" t="s">
        <v>163</v>
      </c>
      <c r="G100" s="24">
        <v>2</v>
      </c>
      <c r="H100" s="24">
        <v>3</v>
      </c>
      <c r="I100" s="24">
        <v>1</v>
      </c>
      <c r="J100" s="24">
        <v>0</v>
      </c>
      <c r="K100" s="24">
        <v>0</v>
      </c>
      <c r="L100" s="24">
        <v>1</v>
      </c>
      <c r="M100" s="24">
        <f t="shared" si="3"/>
        <v>0</v>
      </c>
      <c r="N100" s="24">
        <v>0</v>
      </c>
      <c r="O100" s="24">
        <v>0</v>
      </c>
      <c r="P100" s="24" t="s">
        <v>221</v>
      </c>
      <c r="Q100" s="24">
        <v>0</v>
      </c>
      <c r="R100" s="24">
        <v>0</v>
      </c>
      <c r="S100" s="24">
        <v>50</v>
      </c>
    </row>
    <row r="101" s="12" customFormat="1" spans="1:19">
      <c r="A101" s="24">
        <v>338</v>
      </c>
      <c r="B101" s="24" t="s">
        <v>237</v>
      </c>
      <c r="C101" s="24" t="s">
        <v>50</v>
      </c>
      <c r="D101" s="24">
        <v>4</v>
      </c>
      <c r="E101" s="24">
        <v>3</v>
      </c>
      <c r="F101" s="24" t="s">
        <v>165</v>
      </c>
      <c r="G101" s="24">
        <v>2</v>
      </c>
      <c r="H101" s="24">
        <v>3</v>
      </c>
      <c r="I101" s="24">
        <v>2</v>
      </c>
      <c r="J101" s="24">
        <v>0</v>
      </c>
      <c r="K101" s="24">
        <v>0</v>
      </c>
      <c r="L101" s="24">
        <v>1</v>
      </c>
      <c r="M101" s="24">
        <f t="shared" si="3"/>
        <v>0</v>
      </c>
      <c r="N101" s="24">
        <v>0</v>
      </c>
      <c r="O101" s="24">
        <v>0</v>
      </c>
      <c r="P101" s="24" t="s">
        <v>231</v>
      </c>
      <c r="Q101" s="24">
        <v>0</v>
      </c>
      <c r="R101" s="24">
        <v>0</v>
      </c>
      <c r="S101" s="24">
        <v>50</v>
      </c>
    </row>
    <row r="102" s="12" customFormat="1" spans="1:19">
      <c r="A102" s="24">
        <v>339</v>
      </c>
      <c r="B102" s="24" t="s">
        <v>238</v>
      </c>
      <c r="C102" s="24" t="s">
        <v>50</v>
      </c>
      <c r="D102" s="24">
        <v>4</v>
      </c>
      <c r="E102" s="24">
        <v>3</v>
      </c>
      <c r="F102" s="24" t="s">
        <v>167</v>
      </c>
      <c r="G102" s="24">
        <v>2</v>
      </c>
      <c r="H102" s="24">
        <v>3</v>
      </c>
      <c r="I102" s="24">
        <v>1</v>
      </c>
      <c r="J102" s="24">
        <v>0</v>
      </c>
      <c r="K102" s="24">
        <v>0</v>
      </c>
      <c r="L102" s="24">
        <v>1</v>
      </c>
      <c r="M102" s="24">
        <f t="shared" si="3"/>
        <v>0</v>
      </c>
      <c r="N102" s="24">
        <v>0</v>
      </c>
      <c r="O102" s="24">
        <v>0</v>
      </c>
      <c r="P102" s="24" t="s">
        <v>239</v>
      </c>
      <c r="Q102" s="24">
        <v>0</v>
      </c>
      <c r="R102" s="24">
        <v>0</v>
      </c>
      <c r="S102" s="24">
        <v>50</v>
      </c>
    </row>
    <row r="103" s="12" customFormat="1" spans="1:19">
      <c r="A103" s="24">
        <v>340</v>
      </c>
      <c r="B103" s="24" t="s">
        <v>240</v>
      </c>
      <c r="C103" s="24" t="s">
        <v>50</v>
      </c>
      <c r="D103" s="24">
        <v>4</v>
      </c>
      <c r="E103" s="24">
        <v>3</v>
      </c>
      <c r="F103" s="24" t="s">
        <v>170</v>
      </c>
      <c r="G103" s="24">
        <v>2</v>
      </c>
      <c r="H103" s="24">
        <v>3</v>
      </c>
      <c r="I103" s="24">
        <v>2</v>
      </c>
      <c r="J103" s="24">
        <v>0</v>
      </c>
      <c r="K103" s="24">
        <v>0</v>
      </c>
      <c r="L103" s="24">
        <v>1</v>
      </c>
      <c r="M103" s="24">
        <f t="shared" si="3"/>
        <v>0</v>
      </c>
      <c r="N103" s="24">
        <v>0</v>
      </c>
      <c r="O103" s="24">
        <v>0</v>
      </c>
      <c r="P103" s="24" t="s">
        <v>239</v>
      </c>
      <c r="Q103" s="24">
        <v>0</v>
      </c>
      <c r="R103" s="24">
        <v>0</v>
      </c>
      <c r="S103" s="24">
        <v>50</v>
      </c>
    </row>
    <row r="104" s="12" customFormat="1" spans="1:19">
      <c r="A104" s="24">
        <v>341</v>
      </c>
      <c r="B104" s="24" t="s">
        <v>241</v>
      </c>
      <c r="C104" s="24" t="s">
        <v>50</v>
      </c>
      <c r="D104" s="24">
        <v>4</v>
      </c>
      <c r="E104" s="24">
        <v>3</v>
      </c>
      <c r="F104" s="24" t="s">
        <v>173</v>
      </c>
      <c r="G104" s="24">
        <v>2</v>
      </c>
      <c r="H104" s="24">
        <v>3</v>
      </c>
      <c r="I104" s="24">
        <v>2</v>
      </c>
      <c r="J104" s="24">
        <v>0</v>
      </c>
      <c r="K104" s="24">
        <v>0</v>
      </c>
      <c r="L104" s="24">
        <v>1</v>
      </c>
      <c r="M104" s="24">
        <f t="shared" si="3"/>
        <v>0</v>
      </c>
      <c r="N104" s="24">
        <v>0</v>
      </c>
      <c r="O104" s="24">
        <v>0</v>
      </c>
      <c r="P104" s="24" t="s">
        <v>239</v>
      </c>
      <c r="Q104" s="24">
        <v>0</v>
      </c>
      <c r="R104" s="24">
        <v>0</v>
      </c>
      <c r="S104" s="24">
        <v>50</v>
      </c>
    </row>
    <row r="105" s="12" customFormat="1" spans="1:19">
      <c r="A105" s="24">
        <v>342</v>
      </c>
      <c r="B105" s="24" t="s">
        <v>242</v>
      </c>
      <c r="C105" s="24" t="s">
        <v>50</v>
      </c>
      <c r="D105" s="24">
        <v>4</v>
      </c>
      <c r="E105" s="24">
        <v>3</v>
      </c>
      <c r="F105" s="24" t="s">
        <v>176</v>
      </c>
      <c r="G105" s="24">
        <v>2</v>
      </c>
      <c r="H105" s="24">
        <v>3</v>
      </c>
      <c r="I105" s="24">
        <v>1</v>
      </c>
      <c r="J105" s="24">
        <v>0</v>
      </c>
      <c r="K105" s="24">
        <v>0</v>
      </c>
      <c r="L105" s="24">
        <v>1</v>
      </c>
      <c r="M105" s="24">
        <f t="shared" si="3"/>
        <v>0</v>
      </c>
      <c r="N105" s="24">
        <v>0</v>
      </c>
      <c r="O105" s="24">
        <v>0</v>
      </c>
      <c r="P105" s="24" t="s">
        <v>239</v>
      </c>
      <c r="Q105" s="24">
        <v>0</v>
      </c>
      <c r="R105" s="24">
        <v>0</v>
      </c>
      <c r="S105" s="24">
        <v>50</v>
      </c>
    </row>
    <row r="106" s="12" customFormat="1" spans="1:19">
      <c r="A106" s="24">
        <v>343</v>
      </c>
      <c r="B106" s="24" t="s">
        <v>243</v>
      </c>
      <c r="C106" s="24" t="s">
        <v>50</v>
      </c>
      <c r="D106" s="24">
        <v>4</v>
      </c>
      <c r="E106" s="24">
        <v>3</v>
      </c>
      <c r="F106" s="24" t="s">
        <v>179</v>
      </c>
      <c r="G106" s="24">
        <v>2</v>
      </c>
      <c r="H106" s="24">
        <v>3</v>
      </c>
      <c r="I106" s="24">
        <v>1</v>
      </c>
      <c r="J106" s="24">
        <v>0</v>
      </c>
      <c r="K106" s="24">
        <v>0</v>
      </c>
      <c r="L106" s="24">
        <v>1</v>
      </c>
      <c r="M106" s="24">
        <f t="shared" si="3"/>
        <v>0</v>
      </c>
      <c r="N106" s="24">
        <v>0</v>
      </c>
      <c r="O106" s="24">
        <v>0</v>
      </c>
      <c r="P106" s="24" t="s">
        <v>239</v>
      </c>
      <c r="Q106" s="24">
        <v>0</v>
      </c>
      <c r="R106" s="24">
        <v>0</v>
      </c>
      <c r="S106" s="24">
        <v>50</v>
      </c>
    </row>
    <row r="107" s="12" customFormat="1" spans="1:19">
      <c r="A107" s="24">
        <v>344</v>
      </c>
      <c r="B107" s="24" t="s">
        <v>244</v>
      </c>
      <c r="C107" s="24" t="s">
        <v>50</v>
      </c>
      <c r="D107" s="24">
        <v>4</v>
      </c>
      <c r="E107" s="24">
        <v>3</v>
      </c>
      <c r="F107" s="24" t="s">
        <v>182</v>
      </c>
      <c r="G107" s="24">
        <v>2</v>
      </c>
      <c r="H107" s="24">
        <v>3</v>
      </c>
      <c r="I107" s="24">
        <v>2</v>
      </c>
      <c r="J107" s="24">
        <v>0</v>
      </c>
      <c r="K107" s="24">
        <v>0</v>
      </c>
      <c r="L107" s="24">
        <v>1</v>
      </c>
      <c r="M107" s="24">
        <f t="shared" si="3"/>
        <v>0</v>
      </c>
      <c r="N107" s="24">
        <v>0</v>
      </c>
      <c r="O107" s="24">
        <v>0</v>
      </c>
      <c r="P107" s="24" t="s">
        <v>239</v>
      </c>
      <c r="Q107" s="24">
        <v>0</v>
      </c>
      <c r="R107" s="24">
        <v>0</v>
      </c>
      <c r="S107" s="24">
        <v>50</v>
      </c>
    </row>
    <row r="108" s="12" customFormat="1" spans="1:19">
      <c r="A108" s="24">
        <v>345</v>
      </c>
      <c r="B108" s="24" t="s">
        <v>245</v>
      </c>
      <c r="C108" s="24" t="s">
        <v>50</v>
      </c>
      <c r="D108" s="24">
        <v>4</v>
      </c>
      <c r="E108" s="24">
        <v>3</v>
      </c>
      <c r="F108" s="24" t="s">
        <v>185</v>
      </c>
      <c r="G108" s="24">
        <v>2</v>
      </c>
      <c r="H108" s="24">
        <v>3</v>
      </c>
      <c r="I108" s="24">
        <v>1</v>
      </c>
      <c r="J108" s="24">
        <v>0</v>
      </c>
      <c r="K108" s="24">
        <v>0</v>
      </c>
      <c r="L108" s="24">
        <v>1</v>
      </c>
      <c r="M108" s="24">
        <f t="shared" si="3"/>
        <v>0</v>
      </c>
      <c r="N108" s="24">
        <v>0</v>
      </c>
      <c r="O108" s="24">
        <v>0</v>
      </c>
      <c r="P108" s="24" t="s">
        <v>239</v>
      </c>
      <c r="Q108" s="24">
        <v>0</v>
      </c>
      <c r="R108" s="24">
        <v>0</v>
      </c>
      <c r="S108" s="24">
        <v>50</v>
      </c>
    </row>
    <row r="109" s="12" customFormat="1" spans="1:19">
      <c r="A109" s="24">
        <v>346</v>
      </c>
      <c r="B109" s="24" t="s">
        <v>246</v>
      </c>
      <c r="C109" s="24" t="s">
        <v>50</v>
      </c>
      <c r="D109" s="24">
        <v>4</v>
      </c>
      <c r="E109" s="24">
        <v>3</v>
      </c>
      <c r="F109" s="24" t="s">
        <v>163</v>
      </c>
      <c r="G109" s="24">
        <v>2</v>
      </c>
      <c r="H109" s="24">
        <v>3</v>
      </c>
      <c r="I109" s="24">
        <v>1</v>
      </c>
      <c r="J109" s="24">
        <v>0</v>
      </c>
      <c r="K109" s="24">
        <v>0</v>
      </c>
      <c r="L109" s="24">
        <v>1</v>
      </c>
      <c r="M109" s="24">
        <f t="shared" si="3"/>
        <v>0</v>
      </c>
      <c r="N109" s="24">
        <v>0</v>
      </c>
      <c r="O109" s="24">
        <v>0</v>
      </c>
      <c r="P109" s="24" t="s">
        <v>239</v>
      </c>
      <c r="Q109" s="24">
        <v>0</v>
      </c>
      <c r="R109" s="24">
        <v>0</v>
      </c>
      <c r="S109" s="24">
        <v>50</v>
      </c>
    </row>
    <row r="110" s="12" customFormat="1" spans="1:19">
      <c r="A110" s="24">
        <v>347</v>
      </c>
      <c r="B110" s="24" t="s">
        <v>247</v>
      </c>
      <c r="C110" s="24" t="s">
        <v>50</v>
      </c>
      <c r="D110" s="24">
        <v>4</v>
      </c>
      <c r="E110" s="24">
        <v>3</v>
      </c>
      <c r="F110" s="24" t="s">
        <v>165</v>
      </c>
      <c r="G110" s="24">
        <v>2</v>
      </c>
      <c r="H110" s="24">
        <v>3</v>
      </c>
      <c r="I110" s="24">
        <v>1</v>
      </c>
      <c r="J110" s="24">
        <v>0</v>
      </c>
      <c r="K110" s="24">
        <v>0</v>
      </c>
      <c r="L110" s="24">
        <v>1</v>
      </c>
      <c r="M110" s="24">
        <f t="shared" si="3"/>
        <v>0</v>
      </c>
      <c r="N110" s="24">
        <v>0</v>
      </c>
      <c r="O110" s="24">
        <v>0</v>
      </c>
      <c r="P110" s="24" t="s">
        <v>239</v>
      </c>
      <c r="Q110" s="24">
        <v>0</v>
      </c>
      <c r="R110" s="24">
        <v>0</v>
      </c>
      <c r="S110" s="24">
        <v>50</v>
      </c>
    </row>
    <row r="111" s="12" customFormat="1" spans="1:19">
      <c r="A111" s="24">
        <v>348</v>
      </c>
      <c r="B111" s="24" t="s">
        <v>248</v>
      </c>
      <c r="C111" s="24" t="s">
        <v>50</v>
      </c>
      <c r="D111" s="24">
        <v>4</v>
      </c>
      <c r="E111" s="24">
        <v>3</v>
      </c>
      <c r="F111" s="24" t="s">
        <v>167</v>
      </c>
      <c r="G111" s="24">
        <v>2</v>
      </c>
      <c r="H111" s="24">
        <v>3</v>
      </c>
      <c r="I111" s="24">
        <v>1</v>
      </c>
      <c r="J111" s="24">
        <v>0</v>
      </c>
      <c r="K111" s="24">
        <v>0</v>
      </c>
      <c r="L111" s="24">
        <v>1</v>
      </c>
      <c r="M111" s="24">
        <f t="shared" si="3"/>
        <v>0</v>
      </c>
      <c r="N111" s="24">
        <v>0</v>
      </c>
      <c r="O111" s="24">
        <v>0</v>
      </c>
      <c r="P111" s="24" t="s">
        <v>239</v>
      </c>
      <c r="Q111" s="24">
        <v>0</v>
      </c>
      <c r="R111" s="24">
        <v>0</v>
      </c>
      <c r="S111" s="24">
        <v>50</v>
      </c>
    </row>
    <row r="112" s="12" customFormat="1" spans="1:19">
      <c r="A112" s="24">
        <v>349</v>
      </c>
      <c r="B112" s="24" t="s">
        <v>249</v>
      </c>
      <c r="C112" s="24" t="s">
        <v>50</v>
      </c>
      <c r="D112" s="24">
        <v>4</v>
      </c>
      <c r="E112" s="24">
        <v>3</v>
      </c>
      <c r="F112" s="24" t="s">
        <v>170</v>
      </c>
      <c r="G112" s="24">
        <v>2</v>
      </c>
      <c r="H112" s="24">
        <v>3</v>
      </c>
      <c r="I112" s="24">
        <v>1</v>
      </c>
      <c r="J112" s="24">
        <v>0</v>
      </c>
      <c r="K112" s="24">
        <v>0</v>
      </c>
      <c r="L112" s="24">
        <v>1</v>
      </c>
      <c r="M112" s="24">
        <f t="shared" si="3"/>
        <v>0</v>
      </c>
      <c r="N112" s="24">
        <v>0</v>
      </c>
      <c r="O112" s="24">
        <v>0</v>
      </c>
      <c r="P112" s="24" t="s">
        <v>239</v>
      </c>
      <c r="Q112" s="24">
        <v>0</v>
      </c>
      <c r="R112" s="24">
        <v>0</v>
      </c>
      <c r="S112" s="24">
        <v>50</v>
      </c>
    </row>
    <row r="113" s="12" customFormat="1" spans="1:19">
      <c r="A113" s="24">
        <v>350</v>
      </c>
      <c r="B113" s="24" t="s">
        <v>250</v>
      </c>
      <c r="C113" s="24" t="s">
        <v>50</v>
      </c>
      <c r="D113" s="24">
        <v>4</v>
      </c>
      <c r="E113" s="24">
        <v>3</v>
      </c>
      <c r="F113" s="24" t="s">
        <v>173</v>
      </c>
      <c r="G113" s="24">
        <v>2</v>
      </c>
      <c r="H113" s="24">
        <v>3</v>
      </c>
      <c r="I113" s="24">
        <v>2</v>
      </c>
      <c r="J113" s="24">
        <v>0</v>
      </c>
      <c r="K113" s="24">
        <v>0</v>
      </c>
      <c r="L113" s="24">
        <v>1</v>
      </c>
      <c r="M113" s="24">
        <f t="shared" si="3"/>
        <v>0</v>
      </c>
      <c r="N113" s="24">
        <v>0</v>
      </c>
      <c r="O113" s="24">
        <v>0</v>
      </c>
      <c r="P113" s="24" t="s">
        <v>239</v>
      </c>
      <c r="Q113" s="24">
        <v>0</v>
      </c>
      <c r="R113" s="24">
        <v>0</v>
      </c>
      <c r="S113" s="24">
        <v>50</v>
      </c>
    </row>
    <row r="114" s="12" customFormat="1" spans="1:19">
      <c r="A114" s="24">
        <v>351</v>
      </c>
      <c r="B114" s="24" t="s">
        <v>251</v>
      </c>
      <c r="C114" s="24" t="s">
        <v>50</v>
      </c>
      <c r="D114" s="24">
        <v>4</v>
      </c>
      <c r="E114" s="24">
        <v>3</v>
      </c>
      <c r="F114" s="24" t="s">
        <v>176</v>
      </c>
      <c r="G114" s="24">
        <v>2</v>
      </c>
      <c r="H114" s="24">
        <v>3</v>
      </c>
      <c r="I114" s="24">
        <v>2</v>
      </c>
      <c r="J114" s="24">
        <v>0</v>
      </c>
      <c r="K114" s="24">
        <v>0</v>
      </c>
      <c r="L114" s="24">
        <v>1</v>
      </c>
      <c r="M114" s="24">
        <f t="shared" si="3"/>
        <v>0</v>
      </c>
      <c r="N114" s="24">
        <v>0</v>
      </c>
      <c r="O114" s="24">
        <v>0</v>
      </c>
      <c r="P114" s="24" t="s">
        <v>239</v>
      </c>
      <c r="Q114" s="24">
        <v>0</v>
      </c>
      <c r="R114" s="24">
        <v>0</v>
      </c>
      <c r="S114" s="24">
        <v>50</v>
      </c>
    </row>
    <row r="115" s="12" customFormat="1" spans="1:19">
      <c r="A115" s="24">
        <v>352</v>
      </c>
      <c r="B115" s="24" t="s">
        <v>252</v>
      </c>
      <c r="C115" s="24" t="s">
        <v>50</v>
      </c>
      <c r="D115" s="24">
        <v>4</v>
      </c>
      <c r="E115" s="24">
        <v>3</v>
      </c>
      <c r="F115" s="24" t="s">
        <v>179</v>
      </c>
      <c r="G115" s="24">
        <v>2</v>
      </c>
      <c r="H115" s="24">
        <v>3</v>
      </c>
      <c r="I115" s="24">
        <v>2</v>
      </c>
      <c r="J115" s="24">
        <v>0</v>
      </c>
      <c r="K115" s="24">
        <v>0</v>
      </c>
      <c r="L115" s="24">
        <v>1</v>
      </c>
      <c r="M115" s="24">
        <f t="shared" si="3"/>
        <v>0</v>
      </c>
      <c r="N115" s="24">
        <v>0</v>
      </c>
      <c r="O115" s="24">
        <v>0</v>
      </c>
      <c r="P115" s="24" t="s">
        <v>239</v>
      </c>
      <c r="Q115" s="24">
        <v>0</v>
      </c>
      <c r="R115" s="24">
        <v>0</v>
      </c>
      <c r="S115" s="24">
        <v>50</v>
      </c>
    </row>
    <row r="116" s="12" customFormat="1" spans="1:19">
      <c r="A116" s="24">
        <v>353</v>
      </c>
      <c r="B116" s="24" t="s">
        <v>253</v>
      </c>
      <c r="C116" s="24" t="s">
        <v>50</v>
      </c>
      <c r="D116" s="24">
        <v>4</v>
      </c>
      <c r="E116" s="24">
        <v>3</v>
      </c>
      <c r="F116" s="24" t="s">
        <v>182</v>
      </c>
      <c r="G116" s="24">
        <v>2</v>
      </c>
      <c r="H116" s="24">
        <v>3</v>
      </c>
      <c r="I116" s="24">
        <v>2</v>
      </c>
      <c r="J116" s="24">
        <v>0</v>
      </c>
      <c r="K116" s="24">
        <v>0</v>
      </c>
      <c r="L116" s="24">
        <v>1</v>
      </c>
      <c r="M116" s="24">
        <f t="shared" si="3"/>
        <v>0</v>
      </c>
      <c r="N116" s="24">
        <v>0</v>
      </c>
      <c r="O116" s="24">
        <v>0</v>
      </c>
      <c r="P116" s="24" t="s">
        <v>239</v>
      </c>
      <c r="Q116" s="24">
        <v>0</v>
      </c>
      <c r="R116" s="24">
        <v>0</v>
      </c>
      <c r="S116" s="24">
        <v>50</v>
      </c>
    </row>
    <row r="117" s="12" customFormat="1" spans="1:19">
      <c r="A117" s="24">
        <v>401</v>
      </c>
      <c r="B117" s="24" t="s">
        <v>254</v>
      </c>
      <c r="C117" s="24" t="s">
        <v>50</v>
      </c>
      <c r="D117" s="24">
        <v>1</v>
      </c>
      <c r="E117" s="24">
        <v>1</v>
      </c>
      <c r="F117" s="24" t="s">
        <v>255</v>
      </c>
      <c r="G117" s="24">
        <v>2</v>
      </c>
      <c r="H117" s="24">
        <v>4</v>
      </c>
      <c r="I117" s="24">
        <v>1</v>
      </c>
      <c r="J117" s="24">
        <v>0</v>
      </c>
      <c r="K117" s="24">
        <v>0</v>
      </c>
      <c r="L117" s="24">
        <v>1</v>
      </c>
      <c r="M117" s="24">
        <f t="shared" si="3"/>
        <v>0</v>
      </c>
      <c r="N117" s="24">
        <v>0</v>
      </c>
      <c r="O117" s="24">
        <v>0</v>
      </c>
      <c r="P117" s="24">
        <v>1</v>
      </c>
      <c r="Q117" s="24">
        <v>0</v>
      </c>
      <c r="R117" s="24">
        <v>0</v>
      </c>
      <c r="S117" s="24">
        <v>50</v>
      </c>
    </row>
    <row r="118" s="12" customFormat="1" spans="1:19">
      <c r="A118" s="24">
        <v>402</v>
      </c>
      <c r="B118" s="24" t="s">
        <v>256</v>
      </c>
      <c r="C118" s="24" t="s">
        <v>50</v>
      </c>
      <c r="D118" s="24">
        <v>1</v>
      </c>
      <c r="E118" s="24">
        <v>1</v>
      </c>
      <c r="F118" s="24" t="s">
        <v>257</v>
      </c>
      <c r="G118" s="24">
        <v>2</v>
      </c>
      <c r="H118" s="24">
        <v>4</v>
      </c>
      <c r="I118" s="24">
        <v>2</v>
      </c>
      <c r="J118" s="24">
        <v>0</v>
      </c>
      <c r="K118" s="24">
        <v>0</v>
      </c>
      <c r="L118" s="24">
        <v>1</v>
      </c>
      <c r="M118" s="24">
        <f t="shared" si="3"/>
        <v>0</v>
      </c>
      <c r="N118" s="24">
        <v>0</v>
      </c>
      <c r="O118" s="24">
        <v>0</v>
      </c>
      <c r="P118" s="24">
        <v>3</v>
      </c>
      <c r="Q118" s="24">
        <v>0</v>
      </c>
      <c r="R118" s="24">
        <v>0</v>
      </c>
      <c r="S118" s="24">
        <v>50</v>
      </c>
    </row>
    <row r="119" s="12" customFormat="1" spans="1:19">
      <c r="A119" s="24">
        <v>403</v>
      </c>
      <c r="B119" s="24" t="s">
        <v>258</v>
      </c>
      <c r="C119" s="24" t="s">
        <v>50</v>
      </c>
      <c r="D119" s="24">
        <v>1</v>
      </c>
      <c r="E119" s="24">
        <v>1</v>
      </c>
      <c r="F119" s="24" t="s">
        <v>259</v>
      </c>
      <c r="G119" s="24">
        <v>2</v>
      </c>
      <c r="H119" s="24">
        <v>4</v>
      </c>
      <c r="I119" s="24">
        <v>1</v>
      </c>
      <c r="J119" s="24">
        <v>0</v>
      </c>
      <c r="K119" s="24">
        <v>0</v>
      </c>
      <c r="L119" s="24">
        <v>1</v>
      </c>
      <c r="M119" s="24">
        <f t="shared" si="3"/>
        <v>0</v>
      </c>
      <c r="N119" s="24">
        <v>0</v>
      </c>
      <c r="O119" s="24">
        <v>0</v>
      </c>
      <c r="P119" s="24" t="s">
        <v>260</v>
      </c>
      <c r="Q119" s="24">
        <v>0</v>
      </c>
      <c r="R119" s="24">
        <v>0</v>
      </c>
      <c r="S119" s="24">
        <v>50</v>
      </c>
    </row>
    <row r="120" s="12" customFormat="1" spans="1:19">
      <c r="A120" s="24">
        <v>404</v>
      </c>
      <c r="B120" s="24" t="s">
        <v>261</v>
      </c>
      <c r="C120" s="24" t="s">
        <v>50</v>
      </c>
      <c r="D120" s="24">
        <v>2</v>
      </c>
      <c r="E120" s="24">
        <v>1</v>
      </c>
      <c r="F120" s="24" t="s">
        <v>262</v>
      </c>
      <c r="G120" s="24">
        <v>2</v>
      </c>
      <c r="H120" s="24">
        <v>4</v>
      </c>
      <c r="I120" s="24">
        <v>1</v>
      </c>
      <c r="J120" s="24">
        <v>0</v>
      </c>
      <c r="K120" s="24">
        <v>0</v>
      </c>
      <c r="L120" s="24">
        <v>1</v>
      </c>
      <c r="M120" s="24">
        <f t="shared" si="3"/>
        <v>0</v>
      </c>
      <c r="N120" s="24">
        <v>0</v>
      </c>
      <c r="O120" s="24">
        <v>0</v>
      </c>
      <c r="P120" s="24" t="s">
        <v>260</v>
      </c>
      <c r="Q120" s="24">
        <v>0</v>
      </c>
      <c r="R120" s="24">
        <v>0</v>
      </c>
      <c r="S120" s="24">
        <v>50</v>
      </c>
    </row>
    <row r="121" s="12" customFormat="1" spans="1:19">
      <c r="A121" s="24">
        <v>405</v>
      </c>
      <c r="B121" s="24" t="s">
        <v>263</v>
      </c>
      <c r="C121" s="24" t="s">
        <v>50</v>
      </c>
      <c r="D121" s="24">
        <v>2</v>
      </c>
      <c r="E121" s="24">
        <v>1</v>
      </c>
      <c r="F121" s="24" t="s">
        <v>264</v>
      </c>
      <c r="G121" s="24">
        <v>2</v>
      </c>
      <c r="H121" s="24">
        <v>4</v>
      </c>
      <c r="I121" s="24">
        <v>2</v>
      </c>
      <c r="J121" s="24">
        <v>0</v>
      </c>
      <c r="K121" s="24">
        <v>0</v>
      </c>
      <c r="L121" s="24">
        <v>1</v>
      </c>
      <c r="M121" s="24">
        <f t="shared" si="3"/>
        <v>0</v>
      </c>
      <c r="N121" s="24">
        <v>0</v>
      </c>
      <c r="O121" s="24">
        <v>0</v>
      </c>
      <c r="P121" s="24" t="s">
        <v>265</v>
      </c>
      <c r="Q121" s="24">
        <v>0</v>
      </c>
      <c r="R121" s="24">
        <v>0</v>
      </c>
      <c r="S121" s="24">
        <v>50</v>
      </c>
    </row>
    <row r="122" s="12" customFormat="1" spans="1:19">
      <c r="A122" s="24">
        <v>406</v>
      </c>
      <c r="B122" s="24" t="s">
        <v>266</v>
      </c>
      <c r="C122" s="24" t="s">
        <v>50</v>
      </c>
      <c r="D122" s="24">
        <v>2</v>
      </c>
      <c r="E122" s="24">
        <v>1</v>
      </c>
      <c r="F122" s="24" t="s">
        <v>267</v>
      </c>
      <c r="G122" s="24">
        <v>2</v>
      </c>
      <c r="H122" s="24">
        <v>4</v>
      </c>
      <c r="I122" s="24">
        <v>2</v>
      </c>
      <c r="J122" s="24">
        <v>0</v>
      </c>
      <c r="K122" s="24">
        <v>0</v>
      </c>
      <c r="L122" s="24">
        <v>1</v>
      </c>
      <c r="M122" s="24">
        <f t="shared" si="3"/>
        <v>0</v>
      </c>
      <c r="N122" s="24">
        <v>0</v>
      </c>
      <c r="O122" s="24">
        <v>0</v>
      </c>
      <c r="P122" s="24" t="s">
        <v>268</v>
      </c>
      <c r="Q122" s="24">
        <v>0</v>
      </c>
      <c r="R122" s="24">
        <v>0</v>
      </c>
      <c r="S122" s="24">
        <v>50</v>
      </c>
    </row>
    <row r="123" s="12" customFormat="1" spans="1:19">
      <c r="A123" s="24">
        <v>407</v>
      </c>
      <c r="B123" s="24" t="s">
        <v>269</v>
      </c>
      <c r="C123" s="24" t="s">
        <v>50</v>
      </c>
      <c r="D123" s="24">
        <v>2</v>
      </c>
      <c r="E123" s="24">
        <v>1</v>
      </c>
      <c r="F123" s="24" t="s">
        <v>270</v>
      </c>
      <c r="G123" s="24">
        <v>2</v>
      </c>
      <c r="H123" s="24">
        <v>4</v>
      </c>
      <c r="I123" s="24">
        <v>1</v>
      </c>
      <c r="J123" s="24">
        <v>0</v>
      </c>
      <c r="K123" s="24">
        <v>0</v>
      </c>
      <c r="L123" s="24">
        <v>1</v>
      </c>
      <c r="M123" s="24">
        <f t="shared" si="3"/>
        <v>0</v>
      </c>
      <c r="N123" s="24">
        <v>0</v>
      </c>
      <c r="O123" s="24">
        <v>0</v>
      </c>
      <c r="P123" s="24" t="s">
        <v>271</v>
      </c>
      <c r="Q123" s="24">
        <v>0</v>
      </c>
      <c r="R123" s="24">
        <v>0</v>
      </c>
      <c r="S123" s="24">
        <v>50</v>
      </c>
    </row>
    <row r="124" s="12" customFormat="1" spans="1:19">
      <c r="A124" s="24">
        <v>408</v>
      </c>
      <c r="B124" s="24" t="s">
        <v>272</v>
      </c>
      <c r="C124" s="24" t="s">
        <v>50</v>
      </c>
      <c r="D124" s="24">
        <v>3</v>
      </c>
      <c r="E124" s="24">
        <v>2</v>
      </c>
      <c r="F124" s="24" t="s">
        <v>273</v>
      </c>
      <c r="G124" s="24">
        <v>2</v>
      </c>
      <c r="H124" s="24">
        <v>4</v>
      </c>
      <c r="I124" s="24">
        <v>1</v>
      </c>
      <c r="J124" s="24">
        <v>0</v>
      </c>
      <c r="K124" s="24">
        <v>0</v>
      </c>
      <c r="L124" s="24">
        <v>1</v>
      </c>
      <c r="M124" s="24">
        <f t="shared" si="3"/>
        <v>0</v>
      </c>
      <c r="N124" s="24">
        <v>0</v>
      </c>
      <c r="O124" s="24">
        <v>0</v>
      </c>
      <c r="P124" s="24" t="s">
        <v>274</v>
      </c>
      <c r="Q124" s="24">
        <v>0</v>
      </c>
      <c r="R124" s="24">
        <v>0</v>
      </c>
      <c r="S124" s="24">
        <v>50</v>
      </c>
    </row>
    <row r="125" s="12" customFormat="1" spans="1:19">
      <c r="A125" s="24">
        <v>409</v>
      </c>
      <c r="B125" s="24" t="s">
        <v>275</v>
      </c>
      <c r="C125" s="24" t="s">
        <v>50</v>
      </c>
      <c r="D125" s="24">
        <v>3</v>
      </c>
      <c r="E125" s="24">
        <v>2</v>
      </c>
      <c r="F125" s="24" t="s">
        <v>276</v>
      </c>
      <c r="G125" s="24">
        <v>2</v>
      </c>
      <c r="H125" s="24">
        <v>4</v>
      </c>
      <c r="I125" s="24">
        <v>1</v>
      </c>
      <c r="J125" s="24">
        <v>0</v>
      </c>
      <c r="K125" s="24">
        <v>0</v>
      </c>
      <c r="L125" s="24">
        <v>1</v>
      </c>
      <c r="M125" s="24">
        <f t="shared" si="3"/>
        <v>0</v>
      </c>
      <c r="N125" s="24">
        <v>0</v>
      </c>
      <c r="O125" s="24">
        <v>0</v>
      </c>
      <c r="P125" s="24" t="s">
        <v>277</v>
      </c>
      <c r="Q125" s="24">
        <v>0</v>
      </c>
      <c r="R125" s="24">
        <v>0</v>
      </c>
      <c r="S125" s="24">
        <v>50</v>
      </c>
    </row>
    <row r="126" s="12" customFormat="1" spans="1:19">
      <c r="A126" s="24">
        <v>410</v>
      </c>
      <c r="B126" s="24" t="s">
        <v>278</v>
      </c>
      <c r="C126" s="24" t="s">
        <v>50</v>
      </c>
      <c r="D126" s="24">
        <v>3</v>
      </c>
      <c r="E126" s="24">
        <v>2</v>
      </c>
      <c r="F126" s="24" t="s">
        <v>255</v>
      </c>
      <c r="G126" s="24">
        <v>2</v>
      </c>
      <c r="H126" s="24">
        <v>4</v>
      </c>
      <c r="I126" s="24">
        <v>1</v>
      </c>
      <c r="J126" s="24">
        <v>0</v>
      </c>
      <c r="K126" s="24">
        <v>0</v>
      </c>
      <c r="L126" s="24">
        <v>1</v>
      </c>
      <c r="M126" s="24">
        <f t="shared" si="3"/>
        <v>0</v>
      </c>
      <c r="N126" s="24">
        <v>0</v>
      </c>
      <c r="O126" s="24">
        <v>0</v>
      </c>
      <c r="P126" s="24" t="s">
        <v>279</v>
      </c>
      <c r="Q126" s="24">
        <v>0</v>
      </c>
      <c r="R126" s="24">
        <v>0</v>
      </c>
      <c r="S126" s="24">
        <v>50</v>
      </c>
    </row>
    <row r="127" s="12" customFormat="1" spans="1:19">
      <c r="A127" s="24">
        <v>411</v>
      </c>
      <c r="B127" s="24" t="s">
        <v>280</v>
      </c>
      <c r="C127" s="24" t="s">
        <v>50</v>
      </c>
      <c r="D127" s="24">
        <v>3</v>
      </c>
      <c r="E127" s="24">
        <v>2</v>
      </c>
      <c r="F127" s="24" t="s">
        <v>257</v>
      </c>
      <c r="G127" s="24">
        <v>2</v>
      </c>
      <c r="H127" s="24">
        <v>4</v>
      </c>
      <c r="I127" s="24">
        <v>1</v>
      </c>
      <c r="J127" s="24">
        <v>0</v>
      </c>
      <c r="K127" s="24">
        <v>0</v>
      </c>
      <c r="L127" s="24">
        <v>1</v>
      </c>
      <c r="M127" s="24">
        <f t="shared" si="3"/>
        <v>0</v>
      </c>
      <c r="N127" s="24">
        <v>0</v>
      </c>
      <c r="O127" s="24">
        <v>0</v>
      </c>
      <c r="P127" s="24" t="s">
        <v>281</v>
      </c>
      <c r="Q127" s="24">
        <v>0</v>
      </c>
      <c r="R127" s="24">
        <v>0</v>
      </c>
      <c r="S127" s="24">
        <v>50</v>
      </c>
    </row>
    <row r="128" s="12" customFormat="1" spans="1:19">
      <c r="A128" s="24">
        <v>412</v>
      </c>
      <c r="B128" s="24" t="s">
        <v>282</v>
      </c>
      <c r="C128" s="24" t="s">
        <v>50</v>
      </c>
      <c r="D128" s="24">
        <v>3</v>
      </c>
      <c r="E128" s="24">
        <v>2</v>
      </c>
      <c r="F128" s="24" t="s">
        <v>259</v>
      </c>
      <c r="G128" s="24">
        <v>2</v>
      </c>
      <c r="H128" s="24">
        <v>4</v>
      </c>
      <c r="I128" s="24">
        <v>1</v>
      </c>
      <c r="J128" s="24">
        <v>0</v>
      </c>
      <c r="K128" s="24">
        <v>0</v>
      </c>
      <c r="L128" s="24">
        <v>1</v>
      </c>
      <c r="M128" s="24">
        <f t="shared" si="3"/>
        <v>0</v>
      </c>
      <c r="N128" s="24">
        <v>0</v>
      </c>
      <c r="O128" s="24">
        <v>0</v>
      </c>
      <c r="P128" s="24" t="s">
        <v>283</v>
      </c>
      <c r="Q128" s="24">
        <v>0</v>
      </c>
      <c r="R128" s="24">
        <v>0</v>
      </c>
      <c r="S128" s="24">
        <v>50</v>
      </c>
    </row>
    <row r="129" s="12" customFormat="1" spans="1:19">
      <c r="A129" s="24">
        <v>413</v>
      </c>
      <c r="B129" s="24" t="s">
        <v>284</v>
      </c>
      <c r="C129" s="24" t="s">
        <v>50</v>
      </c>
      <c r="D129" s="24">
        <v>3</v>
      </c>
      <c r="E129" s="24">
        <v>2</v>
      </c>
      <c r="F129" s="24" t="s">
        <v>262</v>
      </c>
      <c r="G129" s="24">
        <v>2</v>
      </c>
      <c r="H129" s="24">
        <v>4</v>
      </c>
      <c r="I129" s="24">
        <v>1</v>
      </c>
      <c r="J129" s="24">
        <v>0</v>
      </c>
      <c r="K129" s="24">
        <v>0</v>
      </c>
      <c r="L129" s="24">
        <v>1</v>
      </c>
      <c r="M129" s="24">
        <f t="shared" si="3"/>
        <v>0</v>
      </c>
      <c r="N129" s="24">
        <v>0</v>
      </c>
      <c r="O129" s="24">
        <v>0</v>
      </c>
      <c r="P129" s="24" t="s">
        <v>285</v>
      </c>
      <c r="Q129" s="24">
        <v>0</v>
      </c>
      <c r="R129" s="24">
        <v>0</v>
      </c>
      <c r="S129" s="24">
        <v>50</v>
      </c>
    </row>
    <row r="130" s="12" customFormat="1" spans="1:19">
      <c r="A130" s="24">
        <v>414</v>
      </c>
      <c r="B130" s="24" t="s">
        <v>286</v>
      </c>
      <c r="C130" s="24" t="s">
        <v>50</v>
      </c>
      <c r="D130" s="24">
        <v>3</v>
      </c>
      <c r="E130" s="24">
        <v>2</v>
      </c>
      <c r="F130" s="24" t="s">
        <v>264</v>
      </c>
      <c r="G130" s="24">
        <v>2</v>
      </c>
      <c r="H130" s="24">
        <v>4</v>
      </c>
      <c r="I130" s="24">
        <v>1</v>
      </c>
      <c r="J130" s="24">
        <v>0</v>
      </c>
      <c r="K130" s="24">
        <v>0</v>
      </c>
      <c r="L130" s="24">
        <v>1</v>
      </c>
      <c r="M130" s="24">
        <f t="shared" si="3"/>
        <v>0</v>
      </c>
      <c r="N130" s="24">
        <v>0</v>
      </c>
      <c r="O130" s="24">
        <v>0</v>
      </c>
      <c r="P130" s="24" t="s">
        <v>287</v>
      </c>
      <c r="Q130" s="24">
        <v>0</v>
      </c>
      <c r="R130" s="24">
        <v>0</v>
      </c>
      <c r="S130" s="24">
        <v>50</v>
      </c>
    </row>
    <row r="131" s="12" customFormat="1" spans="1:19">
      <c r="A131" s="24">
        <v>415</v>
      </c>
      <c r="B131" s="24" t="s">
        <v>288</v>
      </c>
      <c r="C131" s="24" t="s">
        <v>50</v>
      </c>
      <c r="D131" s="24">
        <v>3</v>
      </c>
      <c r="E131" s="24">
        <v>2</v>
      </c>
      <c r="F131" s="24" t="s">
        <v>267</v>
      </c>
      <c r="G131" s="24">
        <v>2</v>
      </c>
      <c r="H131" s="24">
        <v>4</v>
      </c>
      <c r="I131" s="24">
        <v>1</v>
      </c>
      <c r="J131" s="24">
        <v>0</v>
      </c>
      <c r="K131" s="24">
        <v>0</v>
      </c>
      <c r="L131" s="24">
        <v>1</v>
      </c>
      <c r="M131" s="24">
        <f t="shared" si="3"/>
        <v>0</v>
      </c>
      <c r="N131" s="24">
        <v>0</v>
      </c>
      <c r="O131" s="24">
        <v>0</v>
      </c>
      <c r="P131" s="24" t="s">
        <v>289</v>
      </c>
      <c r="Q131" s="24">
        <v>0</v>
      </c>
      <c r="R131" s="24">
        <v>0</v>
      </c>
      <c r="S131" s="24">
        <v>50</v>
      </c>
    </row>
    <row r="132" s="12" customFormat="1" spans="1:19">
      <c r="A132" s="24">
        <v>416</v>
      </c>
      <c r="B132" s="24" t="s">
        <v>290</v>
      </c>
      <c r="C132" s="24" t="s">
        <v>50</v>
      </c>
      <c r="D132" s="24">
        <v>3</v>
      </c>
      <c r="E132" s="24">
        <v>2</v>
      </c>
      <c r="F132" s="24" t="s">
        <v>270</v>
      </c>
      <c r="G132" s="24">
        <v>2</v>
      </c>
      <c r="H132" s="24">
        <v>4</v>
      </c>
      <c r="I132" s="24">
        <v>1</v>
      </c>
      <c r="J132" s="24">
        <v>0</v>
      </c>
      <c r="K132" s="24">
        <v>0</v>
      </c>
      <c r="L132" s="24">
        <v>1</v>
      </c>
      <c r="M132" s="24">
        <f t="shared" si="3"/>
        <v>0</v>
      </c>
      <c r="N132" s="24">
        <v>0</v>
      </c>
      <c r="O132" s="24">
        <v>0</v>
      </c>
      <c r="P132" s="24" t="s">
        <v>291</v>
      </c>
      <c r="Q132" s="24">
        <v>0</v>
      </c>
      <c r="R132" s="24">
        <v>0</v>
      </c>
      <c r="S132" s="24">
        <v>50</v>
      </c>
    </row>
    <row r="133" s="12" customFormat="1" spans="1:19">
      <c r="A133" s="24">
        <v>417</v>
      </c>
      <c r="B133" s="24" t="s">
        <v>292</v>
      </c>
      <c r="C133" s="24" t="s">
        <v>50</v>
      </c>
      <c r="D133" s="24">
        <v>3</v>
      </c>
      <c r="E133" s="24">
        <v>2</v>
      </c>
      <c r="F133" s="24" t="s">
        <v>273</v>
      </c>
      <c r="G133" s="24">
        <v>2</v>
      </c>
      <c r="H133" s="24">
        <v>4</v>
      </c>
      <c r="I133" s="24">
        <v>1</v>
      </c>
      <c r="J133" s="24">
        <v>0</v>
      </c>
      <c r="K133" s="24">
        <v>0</v>
      </c>
      <c r="L133" s="24">
        <v>1</v>
      </c>
      <c r="M133" s="24">
        <f t="shared" si="3"/>
        <v>0</v>
      </c>
      <c r="N133" s="24">
        <v>0</v>
      </c>
      <c r="O133" s="24">
        <v>0</v>
      </c>
      <c r="P133" s="24" t="s">
        <v>293</v>
      </c>
      <c r="Q133" s="24">
        <v>0</v>
      </c>
      <c r="R133" s="24">
        <v>0</v>
      </c>
      <c r="S133" s="24">
        <v>50</v>
      </c>
    </row>
    <row r="134" s="12" customFormat="1" spans="1:19">
      <c r="A134" s="24">
        <v>418</v>
      </c>
      <c r="B134" s="24" t="s">
        <v>294</v>
      </c>
      <c r="C134" s="24" t="s">
        <v>50</v>
      </c>
      <c r="D134" s="24">
        <v>3</v>
      </c>
      <c r="E134" s="24">
        <v>2</v>
      </c>
      <c r="F134" s="24" t="s">
        <v>276</v>
      </c>
      <c r="G134" s="24">
        <v>2</v>
      </c>
      <c r="H134" s="24">
        <v>4</v>
      </c>
      <c r="I134" s="24">
        <v>1</v>
      </c>
      <c r="J134" s="24">
        <v>0</v>
      </c>
      <c r="K134" s="24">
        <v>0</v>
      </c>
      <c r="L134" s="24">
        <v>1</v>
      </c>
      <c r="M134" s="24">
        <f t="shared" si="3"/>
        <v>0</v>
      </c>
      <c r="N134" s="24">
        <v>0</v>
      </c>
      <c r="O134" s="24">
        <v>0</v>
      </c>
      <c r="P134" s="24" t="s">
        <v>295</v>
      </c>
      <c r="Q134" s="24">
        <v>0</v>
      </c>
      <c r="R134" s="24">
        <v>0</v>
      </c>
      <c r="S134" s="24">
        <v>50</v>
      </c>
    </row>
    <row r="135" s="12" customFormat="1" spans="1:19">
      <c r="A135" s="24">
        <v>419</v>
      </c>
      <c r="B135" s="24" t="s">
        <v>296</v>
      </c>
      <c r="C135" s="24" t="s">
        <v>50</v>
      </c>
      <c r="D135" s="24">
        <v>4</v>
      </c>
      <c r="E135" s="24">
        <v>3</v>
      </c>
      <c r="F135" s="24" t="s">
        <v>255</v>
      </c>
      <c r="G135" s="24">
        <v>2</v>
      </c>
      <c r="H135" s="24">
        <v>4</v>
      </c>
      <c r="I135" s="24">
        <v>1</v>
      </c>
      <c r="J135" s="24">
        <v>0</v>
      </c>
      <c r="K135" s="24">
        <v>0</v>
      </c>
      <c r="L135" s="24">
        <v>1</v>
      </c>
      <c r="M135" s="24">
        <f t="shared" ref="M135:M188" si="4">IF(G135=1,1,0)</f>
        <v>0</v>
      </c>
      <c r="N135" s="24">
        <v>0</v>
      </c>
      <c r="O135" s="24">
        <v>0</v>
      </c>
      <c r="P135" s="24" t="s">
        <v>297</v>
      </c>
      <c r="Q135" s="24">
        <v>0</v>
      </c>
      <c r="R135" s="24">
        <v>0</v>
      </c>
      <c r="S135" s="24">
        <v>50</v>
      </c>
    </row>
    <row r="136" s="12" customFormat="1" spans="1:19">
      <c r="A136" s="24">
        <v>420</v>
      </c>
      <c r="B136" s="24" t="s">
        <v>298</v>
      </c>
      <c r="C136" s="24" t="s">
        <v>50</v>
      </c>
      <c r="D136" s="24">
        <v>4</v>
      </c>
      <c r="E136" s="24">
        <v>3</v>
      </c>
      <c r="F136" s="24" t="s">
        <v>257</v>
      </c>
      <c r="G136" s="24">
        <v>2</v>
      </c>
      <c r="H136" s="24">
        <v>4</v>
      </c>
      <c r="I136" s="24">
        <v>2</v>
      </c>
      <c r="J136" s="24">
        <v>0</v>
      </c>
      <c r="K136" s="24">
        <v>0</v>
      </c>
      <c r="L136" s="24">
        <v>1</v>
      </c>
      <c r="M136" s="24">
        <f t="shared" si="4"/>
        <v>0</v>
      </c>
      <c r="N136" s="24">
        <v>0</v>
      </c>
      <c r="O136" s="24">
        <v>0</v>
      </c>
      <c r="P136" s="24" t="s">
        <v>299</v>
      </c>
      <c r="Q136" s="24">
        <v>0</v>
      </c>
      <c r="R136" s="24">
        <v>0</v>
      </c>
      <c r="S136" s="24">
        <v>50</v>
      </c>
    </row>
    <row r="137" s="12" customFormat="1" spans="1:19">
      <c r="A137" s="24">
        <v>421</v>
      </c>
      <c r="B137" s="24" t="s">
        <v>300</v>
      </c>
      <c r="C137" s="24" t="s">
        <v>50</v>
      </c>
      <c r="D137" s="24">
        <v>4</v>
      </c>
      <c r="E137" s="24">
        <v>3</v>
      </c>
      <c r="F137" s="24" t="s">
        <v>259</v>
      </c>
      <c r="G137" s="24">
        <v>2</v>
      </c>
      <c r="H137" s="24">
        <v>4</v>
      </c>
      <c r="I137" s="24">
        <v>1</v>
      </c>
      <c r="J137" s="24">
        <v>0</v>
      </c>
      <c r="K137" s="24">
        <v>0</v>
      </c>
      <c r="L137" s="24">
        <v>1</v>
      </c>
      <c r="M137" s="24">
        <f t="shared" si="4"/>
        <v>0</v>
      </c>
      <c r="N137" s="24">
        <v>0</v>
      </c>
      <c r="O137" s="24">
        <v>0</v>
      </c>
      <c r="P137" s="24" t="s">
        <v>301</v>
      </c>
      <c r="Q137" s="24">
        <v>0</v>
      </c>
      <c r="R137" s="24">
        <v>0</v>
      </c>
      <c r="S137" s="24">
        <v>50</v>
      </c>
    </row>
    <row r="138" s="12" customFormat="1" spans="1:19">
      <c r="A138" s="24">
        <v>422</v>
      </c>
      <c r="B138" s="24" t="s">
        <v>302</v>
      </c>
      <c r="C138" s="24" t="s">
        <v>50</v>
      </c>
      <c r="D138" s="24">
        <v>4</v>
      </c>
      <c r="E138" s="24">
        <v>3</v>
      </c>
      <c r="F138" s="24" t="s">
        <v>262</v>
      </c>
      <c r="G138" s="24">
        <v>2</v>
      </c>
      <c r="H138" s="24">
        <v>4</v>
      </c>
      <c r="I138" s="24">
        <v>1</v>
      </c>
      <c r="J138" s="24">
        <v>0</v>
      </c>
      <c r="K138" s="24">
        <v>0</v>
      </c>
      <c r="L138" s="24">
        <v>1</v>
      </c>
      <c r="M138" s="24">
        <f t="shared" si="4"/>
        <v>0</v>
      </c>
      <c r="N138" s="24">
        <v>0</v>
      </c>
      <c r="O138" s="24">
        <v>0</v>
      </c>
      <c r="P138" s="24" t="s">
        <v>295</v>
      </c>
      <c r="Q138" s="24">
        <v>0</v>
      </c>
      <c r="R138" s="24">
        <v>0</v>
      </c>
      <c r="S138" s="24">
        <v>50</v>
      </c>
    </row>
    <row r="139" s="12" customFormat="1" spans="1:19">
      <c r="A139" s="24">
        <v>423</v>
      </c>
      <c r="B139" s="24" t="s">
        <v>303</v>
      </c>
      <c r="C139" s="24" t="s">
        <v>50</v>
      </c>
      <c r="D139" s="24">
        <v>4</v>
      </c>
      <c r="E139" s="24">
        <v>3</v>
      </c>
      <c r="F139" s="24" t="s">
        <v>264</v>
      </c>
      <c r="G139" s="24">
        <v>2</v>
      </c>
      <c r="H139" s="24">
        <v>4</v>
      </c>
      <c r="I139" s="24">
        <v>2</v>
      </c>
      <c r="J139" s="24">
        <v>0</v>
      </c>
      <c r="K139" s="24">
        <v>0</v>
      </c>
      <c r="L139" s="24">
        <v>1</v>
      </c>
      <c r="M139" s="24">
        <f t="shared" si="4"/>
        <v>0</v>
      </c>
      <c r="N139" s="24">
        <v>0</v>
      </c>
      <c r="O139" s="24">
        <v>0</v>
      </c>
      <c r="P139" s="24" t="s">
        <v>304</v>
      </c>
      <c r="Q139" s="24">
        <v>0</v>
      </c>
      <c r="R139" s="24">
        <v>0</v>
      </c>
      <c r="S139" s="24">
        <v>50</v>
      </c>
    </row>
    <row r="140" s="12" customFormat="1" spans="1:19">
      <c r="A140" s="24">
        <v>424</v>
      </c>
      <c r="B140" s="24" t="s">
        <v>305</v>
      </c>
      <c r="C140" s="24" t="s">
        <v>50</v>
      </c>
      <c r="D140" s="24">
        <v>4</v>
      </c>
      <c r="E140" s="24">
        <v>3</v>
      </c>
      <c r="F140" s="24" t="s">
        <v>267</v>
      </c>
      <c r="G140" s="24">
        <v>2</v>
      </c>
      <c r="H140" s="24">
        <v>4</v>
      </c>
      <c r="I140" s="24">
        <v>1</v>
      </c>
      <c r="J140" s="24">
        <v>0</v>
      </c>
      <c r="K140" s="24">
        <v>0</v>
      </c>
      <c r="L140" s="24">
        <v>1</v>
      </c>
      <c r="M140" s="24">
        <f t="shared" si="4"/>
        <v>0</v>
      </c>
      <c r="N140" s="24">
        <v>0</v>
      </c>
      <c r="O140" s="24">
        <v>0</v>
      </c>
      <c r="P140" s="24" t="s">
        <v>299</v>
      </c>
      <c r="Q140" s="24">
        <v>0</v>
      </c>
      <c r="R140" s="24">
        <v>0</v>
      </c>
      <c r="S140" s="24">
        <v>50</v>
      </c>
    </row>
    <row r="141" s="12" customFormat="1" spans="1:19">
      <c r="A141" s="24">
        <v>425</v>
      </c>
      <c r="B141" s="24" t="s">
        <v>306</v>
      </c>
      <c r="C141" s="24" t="s">
        <v>50</v>
      </c>
      <c r="D141" s="24">
        <v>4</v>
      </c>
      <c r="E141" s="24">
        <v>3</v>
      </c>
      <c r="F141" s="24" t="s">
        <v>270</v>
      </c>
      <c r="G141" s="24">
        <v>2</v>
      </c>
      <c r="H141" s="24">
        <v>4</v>
      </c>
      <c r="I141" s="24">
        <v>1</v>
      </c>
      <c r="J141" s="24">
        <v>0</v>
      </c>
      <c r="K141" s="24">
        <v>0</v>
      </c>
      <c r="L141" s="24">
        <v>1</v>
      </c>
      <c r="M141" s="24">
        <f t="shared" si="4"/>
        <v>0</v>
      </c>
      <c r="N141" s="24">
        <v>0</v>
      </c>
      <c r="O141" s="24">
        <v>0</v>
      </c>
      <c r="P141" s="24" t="s">
        <v>293</v>
      </c>
      <c r="Q141" s="24">
        <v>0</v>
      </c>
      <c r="R141" s="24">
        <v>0</v>
      </c>
      <c r="S141" s="24">
        <v>50</v>
      </c>
    </row>
    <row r="142" s="12" customFormat="1" spans="1:19">
      <c r="A142" s="24">
        <v>426</v>
      </c>
      <c r="B142" s="24" t="s">
        <v>307</v>
      </c>
      <c r="C142" s="24" t="s">
        <v>50</v>
      </c>
      <c r="D142" s="24">
        <v>4</v>
      </c>
      <c r="E142" s="24">
        <v>3</v>
      </c>
      <c r="F142" s="24" t="s">
        <v>273</v>
      </c>
      <c r="G142" s="24">
        <v>2</v>
      </c>
      <c r="H142" s="24">
        <v>4</v>
      </c>
      <c r="I142" s="24">
        <v>1</v>
      </c>
      <c r="J142" s="24">
        <v>0</v>
      </c>
      <c r="K142" s="24">
        <v>0</v>
      </c>
      <c r="L142" s="24">
        <v>1</v>
      </c>
      <c r="M142" s="24">
        <f t="shared" si="4"/>
        <v>0</v>
      </c>
      <c r="N142" s="24">
        <v>0</v>
      </c>
      <c r="O142" s="24">
        <v>0</v>
      </c>
      <c r="P142" s="24" t="s">
        <v>301</v>
      </c>
      <c r="Q142" s="24">
        <v>0</v>
      </c>
      <c r="R142" s="24">
        <v>0</v>
      </c>
      <c r="S142" s="24">
        <v>50</v>
      </c>
    </row>
    <row r="143" s="12" customFormat="1" spans="1:19">
      <c r="A143" s="24">
        <v>427</v>
      </c>
      <c r="B143" s="24" t="s">
        <v>308</v>
      </c>
      <c r="C143" s="24" t="s">
        <v>50</v>
      </c>
      <c r="D143" s="24">
        <v>4</v>
      </c>
      <c r="E143" s="24">
        <v>3</v>
      </c>
      <c r="F143" s="24" t="s">
        <v>276</v>
      </c>
      <c r="G143" s="24">
        <v>2</v>
      </c>
      <c r="H143" s="24">
        <v>4</v>
      </c>
      <c r="I143" s="24">
        <v>1</v>
      </c>
      <c r="J143" s="24">
        <v>0</v>
      </c>
      <c r="K143" s="24">
        <v>0</v>
      </c>
      <c r="L143" s="24">
        <v>1</v>
      </c>
      <c r="M143" s="24">
        <f t="shared" si="4"/>
        <v>0</v>
      </c>
      <c r="N143" s="24">
        <v>0</v>
      </c>
      <c r="O143" s="24">
        <v>0</v>
      </c>
      <c r="P143" s="24" t="s">
        <v>309</v>
      </c>
      <c r="Q143" s="24">
        <v>0</v>
      </c>
      <c r="R143" s="24">
        <v>0</v>
      </c>
      <c r="S143" s="24">
        <v>50</v>
      </c>
    </row>
    <row r="144" s="12" customFormat="1" spans="1:19">
      <c r="A144" s="24">
        <v>428</v>
      </c>
      <c r="B144" s="24" t="s">
        <v>310</v>
      </c>
      <c r="C144" s="24" t="s">
        <v>50</v>
      </c>
      <c r="D144" s="24">
        <v>4</v>
      </c>
      <c r="E144" s="24">
        <v>3</v>
      </c>
      <c r="F144" s="24" t="s">
        <v>255</v>
      </c>
      <c r="G144" s="24">
        <v>2</v>
      </c>
      <c r="H144" s="24">
        <v>4</v>
      </c>
      <c r="I144" s="24">
        <v>1</v>
      </c>
      <c r="J144" s="24">
        <v>0</v>
      </c>
      <c r="K144" s="24">
        <v>0</v>
      </c>
      <c r="L144" s="24">
        <v>1</v>
      </c>
      <c r="M144" s="24">
        <f t="shared" si="4"/>
        <v>0</v>
      </c>
      <c r="N144" s="24">
        <v>0</v>
      </c>
      <c r="O144" s="24">
        <v>0</v>
      </c>
      <c r="P144" s="24" t="s">
        <v>293</v>
      </c>
      <c r="Q144" s="24">
        <v>0</v>
      </c>
      <c r="R144" s="24">
        <v>0</v>
      </c>
      <c r="S144" s="24">
        <v>50</v>
      </c>
    </row>
    <row r="145" s="12" customFormat="1" spans="1:19">
      <c r="A145" s="24">
        <v>429</v>
      </c>
      <c r="B145" s="24" t="s">
        <v>311</v>
      </c>
      <c r="C145" s="24" t="s">
        <v>50</v>
      </c>
      <c r="D145" s="24">
        <v>4</v>
      </c>
      <c r="E145" s="24">
        <v>3</v>
      </c>
      <c r="F145" s="24" t="s">
        <v>257</v>
      </c>
      <c r="G145" s="24">
        <v>2</v>
      </c>
      <c r="H145" s="24">
        <v>4</v>
      </c>
      <c r="I145" s="24">
        <v>1</v>
      </c>
      <c r="J145" s="24">
        <v>0</v>
      </c>
      <c r="K145" s="24">
        <v>0</v>
      </c>
      <c r="L145" s="24">
        <v>1</v>
      </c>
      <c r="M145" s="24">
        <f t="shared" si="4"/>
        <v>0</v>
      </c>
      <c r="N145" s="24">
        <v>0</v>
      </c>
      <c r="O145" s="24">
        <v>0</v>
      </c>
      <c r="P145" s="24" t="s">
        <v>309</v>
      </c>
      <c r="Q145" s="24">
        <v>0</v>
      </c>
      <c r="R145" s="24">
        <v>0</v>
      </c>
      <c r="S145" s="24">
        <v>50</v>
      </c>
    </row>
    <row r="146" s="12" customFormat="1" spans="1:19">
      <c r="A146" s="24">
        <v>430</v>
      </c>
      <c r="B146" s="24" t="s">
        <v>312</v>
      </c>
      <c r="C146" s="24" t="s">
        <v>50</v>
      </c>
      <c r="D146" s="24">
        <v>4</v>
      </c>
      <c r="E146" s="24">
        <v>3</v>
      </c>
      <c r="F146" s="24" t="s">
        <v>259</v>
      </c>
      <c r="G146" s="24">
        <v>2</v>
      </c>
      <c r="H146" s="24">
        <v>4</v>
      </c>
      <c r="I146" s="24">
        <v>1</v>
      </c>
      <c r="J146" s="24">
        <v>0</v>
      </c>
      <c r="K146" s="24">
        <v>0</v>
      </c>
      <c r="L146" s="24">
        <v>1</v>
      </c>
      <c r="M146" s="24">
        <f t="shared" si="4"/>
        <v>0</v>
      </c>
      <c r="N146" s="24">
        <v>0</v>
      </c>
      <c r="O146" s="24">
        <v>0</v>
      </c>
      <c r="P146" s="24" t="s">
        <v>295</v>
      </c>
      <c r="Q146" s="24">
        <v>0</v>
      </c>
      <c r="R146" s="24">
        <v>0</v>
      </c>
      <c r="S146" s="24">
        <v>50</v>
      </c>
    </row>
    <row r="147" s="12" customFormat="1" spans="1:19">
      <c r="A147" s="24">
        <v>431</v>
      </c>
      <c r="B147" s="24" t="s">
        <v>313</v>
      </c>
      <c r="C147" s="24" t="s">
        <v>50</v>
      </c>
      <c r="D147" s="24">
        <v>4</v>
      </c>
      <c r="E147" s="24">
        <v>3</v>
      </c>
      <c r="F147" s="24" t="s">
        <v>262</v>
      </c>
      <c r="G147" s="24">
        <v>2</v>
      </c>
      <c r="H147" s="24">
        <v>4</v>
      </c>
      <c r="I147" s="24">
        <v>2</v>
      </c>
      <c r="J147" s="24">
        <v>0</v>
      </c>
      <c r="K147" s="24">
        <v>0</v>
      </c>
      <c r="L147" s="24">
        <v>1</v>
      </c>
      <c r="M147" s="24">
        <f t="shared" si="4"/>
        <v>0</v>
      </c>
      <c r="N147" s="24">
        <v>0</v>
      </c>
      <c r="O147" s="24">
        <v>0</v>
      </c>
      <c r="P147" s="24" t="s">
        <v>304</v>
      </c>
      <c r="Q147" s="24">
        <v>0</v>
      </c>
      <c r="R147" s="24">
        <v>0</v>
      </c>
      <c r="S147" s="24">
        <v>50</v>
      </c>
    </row>
    <row r="148" s="12" customFormat="1" spans="1:19">
      <c r="A148" s="24">
        <v>432</v>
      </c>
      <c r="B148" s="24" t="s">
        <v>314</v>
      </c>
      <c r="C148" s="24" t="s">
        <v>50</v>
      </c>
      <c r="D148" s="24">
        <v>4</v>
      </c>
      <c r="E148" s="24">
        <v>3</v>
      </c>
      <c r="F148" s="24" t="s">
        <v>264</v>
      </c>
      <c r="G148" s="24">
        <v>2</v>
      </c>
      <c r="H148" s="24">
        <v>4</v>
      </c>
      <c r="I148" s="24">
        <v>1</v>
      </c>
      <c r="J148" s="24">
        <v>0</v>
      </c>
      <c r="K148" s="24">
        <v>0</v>
      </c>
      <c r="L148" s="24">
        <v>1</v>
      </c>
      <c r="M148" s="24">
        <f t="shared" si="4"/>
        <v>0</v>
      </c>
      <c r="N148" s="24">
        <v>0</v>
      </c>
      <c r="O148" s="24">
        <v>0</v>
      </c>
      <c r="P148" s="24" t="s">
        <v>315</v>
      </c>
      <c r="Q148" s="24">
        <v>0</v>
      </c>
      <c r="R148" s="24">
        <v>0</v>
      </c>
      <c r="S148" s="24">
        <v>50</v>
      </c>
    </row>
    <row r="149" s="12" customFormat="1" spans="1:19">
      <c r="A149" s="24">
        <v>433</v>
      </c>
      <c r="B149" s="24" t="s">
        <v>316</v>
      </c>
      <c r="C149" s="24" t="s">
        <v>50</v>
      </c>
      <c r="D149" s="24">
        <v>4</v>
      </c>
      <c r="E149" s="24">
        <v>3</v>
      </c>
      <c r="F149" s="24" t="s">
        <v>267</v>
      </c>
      <c r="G149" s="24">
        <v>2</v>
      </c>
      <c r="H149" s="24">
        <v>4</v>
      </c>
      <c r="I149" s="24">
        <v>2</v>
      </c>
      <c r="J149" s="24">
        <v>0</v>
      </c>
      <c r="K149" s="24">
        <v>0</v>
      </c>
      <c r="L149" s="24">
        <v>1</v>
      </c>
      <c r="M149" s="24">
        <f t="shared" si="4"/>
        <v>0</v>
      </c>
      <c r="N149" s="24">
        <v>0</v>
      </c>
      <c r="O149" s="24">
        <v>0</v>
      </c>
      <c r="P149" s="24" t="s">
        <v>315</v>
      </c>
      <c r="Q149" s="24">
        <v>0</v>
      </c>
      <c r="R149" s="24">
        <v>0</v>
      </c>
      <c r="S149" s="24">
        <v>50</v>
      </c>
    </row>
    <row r="150" s="12" customFormat="1" spans="1:19">
      <c r="A150" s="24">
        <v>434</v>
      </c>
      <c r="B150" s="24" t="s">
        <v>317</v>
      </c>
      <c r="C150" s="24" t="s">
        <v>50</v>
      </c>
      <c r="D150" s="24">
        <v>4</v>
      </c>
      <c r="E150" s="24">
        <v>3</v>
      </c>
      <c r="F150" s="24" t="s">
        <v>270</v>
      </c>
      <c r="G150" s="24">
        <v>2</v>
      </c>
      <c r="H150" s="24">
        <v>4</v>
      </c>
      <c r="I150" s="24">
        <v>1</v>
      </c>
      <c r="J150" s="24">
        <v>0</v>
      </c>
      <c r="K150" s="24">
        <v>0</v>
      </c>
      <c r="L150" s="24">
        <v>1</v>
      </c>
      <c r="M150" s="24">
        <f t="shared" si="4"/>
        <v>0</v>
      </c>
      <c r="N150" s="24">
        <v>0</v>
      </c>
      <c r="O150" s="24">
        <v>0</v>
      </c>
      <c r="P150" s="24" t="s">
        <v>315</v>
      </c>
      <c r="Q150" s="24">
        <v>0</v>
      </c>
      <c r="R150" s="24">
        <v>0</v>
      </c>
      <c r="S150" s="24">
        <v>50</v>
      </c>
    </row>
    <row r="151" s="12" customFormat="1" spans="1:19">
      <c r="A151" s="24">
        <v>435</v>
      </c>
      <c r="B151" s="24" t="s">
        <v>318</v>
      </c>
      <c r="C151" s="24" t="s">
        <v>50</v>
      </c>
      <c r="D151" s="24">
        <v>4</v>
      </c>
      <c r="E151" s="24">
        <v>3</v>
      </c>
      <c r="F151" s="24" t="s">
        <v>273</v>
      </c>
      <c r="G151" s="24">
        <v>2</v>
      </c>
      <c r="H151" s="24">
        <v>4</v>
      </c>
      <c r="I151" s="24">
        <v>2</v>
      </c>
      <c r="J151" s="24">
        <v>0</v>
      </c>
      <c r="K151" s="24">
        <v>0</v>
      </c>
      <c r="L151" s="24">
        <v>1</v>
      </c>
      <c r="M151" s="24">
        <f t="shared" si="4"/>
        <v>0</v>
      </c>
      <c r="N151" s="24">
        <v>0</v>
      </c>
      <c r="O151" s="24">
        <v>0</v>
      </c>
      <c r="P151" s="24" t="s">
        <v>315</v>
      </c>
      <c r="Q151" s="24">
        <v>0</v>
      </c>
      <c r="R151" s="24">
        <v>0</v>
      </c>
      <c r="S151" s="24">
        <v>50</v>
      </c>
    </row>
    <row r="152" s="12" customFormat="1" spans="1:19">
      <c r="A152" s="24">
        <v>501</v>
      </c>
      <c r="B152" s="24" t="s">
        <v>319</v>
      </c>
      <c r="C152" s="24" t="s">
        <v>50</v>
      </c>
      <c r="D152" s="24">
        <v>1</v>
      </c>
      <c r="E152" s="24">
        <v>1</v>
      </c>
      <c r="F152" s="24" t="s">
        <v>320</v>
      </c>
      <c r="G152" s="24">
        <v>2</v>
      </c>
      <c r="H152" s="24">
        <v>5</v>
      </c>
      <c r="I152" s="24">
        <v>1</v>
      </c>
      <c r="J152" s="24">
        <v>0</v>
      </c>
      <c r="K152" s="24">
        <v>0</v>
      </c>
      <c r="L152" s="24">
        <v>1</v>
      </c>
      <c r="M152" s="24">
        <f t="shared" si="4"/>
        <v>0</v>
      </c>
      <c r="N152" s="24">
        <v>0</v>
      </c>
      <c r="O152" s="24">
        <v>0</v>
      </c>
      <c r="P152" s="24">
        <v>1</v>
      </c>
      <c r="Q152" s="24">
        <v>0</v>
      </c>
      <c r="R152" s="24">
        <v>0</v>
      </c>
      <c r="S152" s="24">
        <v>50</v>
      </c>
    </row>
    <row r="153" s="12" customFormat="1" spans="1:19">
      <c r="A153" s="24">
        <v>502</v>
      </c>
      <c r="B153" s="24" t="s">
        <v>321</v>
      </c>
      <c r="C153" s="24" t="s">
        <v>50</v>
      </c>
      <c r="D153" s="24">
        <v>1</v>
      </c>
      <c r="E153" s="24">
        <v>1</v>
      </c>
      <c r="F153" s="24" t="s">
        <v>322</v>
      </c>
      <c r="G153" s="24">
        <v>2</v>
      </c>
      <c r="H153" s="24">
        <v>5</v>
      </c>
      <c r="I153" s="24">
        <v>2</v>
      </c>
      <c r="J153" s="24">
        <v>0</v>
      </c>
      <c r="K153" s="24">
        <v>0</v>
      </c>
      <c r="L153" s="24">
        <v>1</v>
      </c>
      <c r="M153" s="24">
        <f t="shared" si="4"/>
        <v>0</v>
      </c>
      <c r="N153" s="24">
        <v>0</v>
      </c>
      <c r="O153" s="24">
        <v>0</v>
      </c>
      <c r="P153" s="24">
        <v>3</v>
      </c>
      <c r="Q153" s="24">
        <v>0</v>
      </c>
      <c r="R153" s="24">
        <v>0</v>
      </c>
      <c r="S153" s="24">
        <v>50</v>
      </c>
    </row>
    <row r="154" s="12" customFormat="1" spans="1:19">
      <c r="A154" s="24">
        <v>503</v>
      </c>
      <c r="B154" s="24" t="s">
        <v>323</v>
      </c>
      <c r="C154" s="24" t="s">
        <v>50</v>
      </c>
      <c r="D154" s="24">
        <v>1</v>
      </c>
      <c r="E154" s="24">
        <v>1</v>
      </c>
      <c r="F154" s="24" t="s">
        <v>324</v>
      </c>
      <c r="G154" s="24">
        <v>2</v>
      </c>
      <c r="H154" s="24">
        <v>5</v>
      </c>
      <c r="I154" s="24">
        <v>2</v>
      </c>
      <c r="J154" s="24">
        <v>0</v>
      </c>
      <c r="K154" s="24">
        <v>0</v>
      </c>
      <c r="L154" s="24">
        <v>1</v>
      </c>
      <c r="M154" s="24">
        <f t="shared" si="4"/>
        <v>0</v>
      </c>
      <c r="N154" s="24">
        <v>0</v>
      </c>
      <c r="O154" s="24">
        <v>0</v>
      </c>
      <c r="P154" s="24" t="s">
        <v>260</v>
      </c>
      <c r="Q154" s="24">
        <v>0</v>
      </c>
      <c r="R154" s="24">
        <v>0</v>
      </c>
      <c r="S154" s="24">
        <v>50</v>
      </c>
    </row>
    <row r="155" s="12" customFormat="1" spans="1:19">
      <c r="A155" s="24">
        <v>504</v>
      </c>
      <c r="B155" s="24" t="s">
        <v>325</v>
      </c>
      <c r="C155" s="24" t="s">
        <v>50</v>
      </c>
      <c r="D155" s="24">
        <v>2</v>
      </c>
      <c r="E155" s="24">
        <v>1</v>
      </c>
      <c r="F155" s="24" t="s">
        <v>326</v>
      </c>
      <c r="G155" s="24">
        <v>2</v>
      </c>
      <c r="H155" s="24">
        <v>5</v>
      </c>
      <c r="I155" s="24">
        <v>1</v>
      </c>
      <c r="J155" s="24">
        <v>0</v>
      </c>
      <c r="K155" s="24">
        <v>0</v>
      </c>
      <c r="L155" s="24">
        <v>1</v>
      </c>
      <c r="M155" s="24">
        <f t="shared" si="4"/>
        <v>0</v>
      </c>
      <c r="N155" s="24">
        <v>0</v>
      </c>
      <c r="O155" s="24">
        <v>0</v>
      </c>
      <c r="P155" s="24" t="s">
        <v>260</v>
      </c>
      <c r="Q155" s="24">
        <v>0</v>
      </c>
      <c r="R155" s="24">
        <v>0</v>
      </c>
      <c r="S155" s="24">
        <v>50</v>
      </c>
    </row>
    <row r="156" s="12" customFormat="1" spans="1:19">
      <c r="A156" s="24">
        <v>505</v>
      </c>
      <c r="B156" s="24" t="s">
        <v>327</v>
      </c>
      <c r="C156" s="24" t="s">
        <v>50</v>
      </c>
      <c r="D156" s="24">
        <v>2</v>
      </c>
      <c r="E156" s="24">
        <v>1</v>
      </c>
      <c r="F156" s="24" t="s">
        <v>328</v>
      </c>
      <c r="G156" s="24">
        <v>2</v>
      </c>
      <c r="H156" s="24">
        <v>5</v>
      </c>
      <c r="I156" s="24">
        <v>1</v>
      </c>
      <c r="J156" s="24">
        <v>0</v>
      </c>
      <c r="K156" s="24">
        <v>0</v>
      </c>
      <c r="L156" s="24">
        <v>1</v>
      </c>
      <c r="M156" s="24">
        <f t="shared" si="4"/>
        <v>0</v>
      </c>
      <c r="N156" s="24">
        <v>0</v>
      </c>
      <c r="O156" s="24">
        <v>0</v>
      </c>
      <c r="P156" s="24" t="s">
        <v>268</v>
      </c>
      <c r="Q156" s="24">
        <v>0</v>
      </c>
      <c r="R156" s="24">
        <v>0</v>
      </c>
      <c r="S156" s="24">
        <v>50</v>
      </c>
    </row>
    <row r="157" s="12" customFormat="1" spans="1:19">
      <c r="A157" s="24">
        <v>506</v>
      </c>
      <c r="B157" s="24" t="s">
        <v>329</v>
      </c>
      <c r="C157" s="24" t="s">
        <v>50</v>
      </c>
      <c r="D157" s="24">
        <v>2</v>
      </c>
      <c r="E157" s="24">
        <v>1</v>
      </c>
      <c r="F157" s="24" t="s">
        <v>330</v>
      </c>
      <c r="G157" s="24">
        <v>2</v>
      </c>
      <c r="H157" s="24">
        <v>5</v>
      </c>
      <c r="I157" s="24">
        <v>1</v>
      </c>
      <c r="J157" s="24">
        <v>0</v>
      </c>
      <c r="K157" s="24">
        <v>0</v>
      </c>
      <c r="L157" s="24">
        <v>1</v>
      </c>
      <c r="M157" s="24">
        <f t="shared" si="4"/>
        <v>0</v>
      </c>
      <c r="N157" s="24">
        <v>0</v>
      </c>
      <c r="O157" s="24">
        <v>0</v>
      </c>
      <c r="P157" s="24" t="s">
        <v>265</v>
      </c>
      <c r="Q157" s="24">
        <v>0</v>
      </c>
      <c r="R157" s="24">
        <v>0</v>
      </c>
      <c r="S157" s="24">
        <v>50</v>
      </c>
    </row>
    <row r="158" s="12" customFormat="1" spans="1:19">
      <c r="A158" s="24">
        <v>507</v>
      </c>
      <c r="B158" s="24" t="s">
        <v>331</v>
      </c>
      <c r="C158" s="24" t="s">
        <v>50</v>
      </c>
      <c r="D158" s="24">
        <v>3</v>
      </c>
      <c r="E158" s="24">
        <v>2</v>
      </c>
      <c r="F158" s="24" t="s">
        <v>332</v>
      </c>
      <c r="G158" s="24">
        <v>2</v>
      </c>
      <c r="H158" s="24">
        <v>5</v>
      </c>
      <c r="I158" s="24">
        <v>1</v>
      </c>
      <c r="J158" s="24">
        <v>0</v>
      </c>
      <c r="K158" s="24">
        <v>0</v>
      </c>
      <c r="L158" s="24">
        <v>1</v>
      </c>
      <c r="M158" s="24">
        <f t="shared" si="4"/>
        <v>0</v>
      </c>
      <c r="N158" s="24">
        <v>0</v>
      </c>
      <c r="O158" s="24">
        <v>0</v>
      </c>
      <c r="P158" s="24" t="s">
        <v>333</v>
      </c>
      <c r="Q158" s="24">
        <v>0</v>
      </c>
      <c r="R158" s="24">
        <v>0</v>
      </c>
      <c r="S158" s="24">
        <v>50</v>
      </c>
    </row>
    <row r="159" s="12" customFormat="1" spans="1:19">
      <c r="A159" s="24">
        <v>508</v>
      </c>
      <c r="B159" s="24" t="s">
        <v>334</v>
      </c>
      <c r="C159" s="24" t="s">
        <v>50</v>
      </c>
      <c r="D159" s="24">
        <v>3</v>
      </c>
      <c r="E159" s="24">
        <v>2</v>
      </c>
      <c r="F159" s="24" t="s">
        <v>320</v>
      </c>
      <c r="G159" s="24">
        <v>2</v>
      </c>
      <c r="H159" s="24">
        <v>5</v>
      </c>
      <c r="I159" s="24">
        <v>2</v>
      </c>
      <c r="J159" s="24">
        <v>0</v>
      </c>
      <c r="K159" s="24">
        <v>0</v>
      </c>
      <c r="L159" s="24">
        <v>1</v>
      </c>
      <c r="M159" s="24">
        <f t="shared" si="4"/>
        <v>0</v>
      </c>
      <c r="N159" s="24">
        <v>0</v>
      </c>
      <c r="O159" s="24">
        <v>0</v>
      </c>
      <c r="P159" s="24" t="s">
        <v>335</v>
      </c>
      <c r="Q159" s="24">
        <v>0</v>
      </c>
      <c r="R159" s="24">
        <v>0</v>
      </c>
      <c r="S159" s="24">
        <v>50</v>
      </c>
    </row>
    <row r="160" s="12" customFormat="1" spans="1:19">
      <c r="A160" s="24">
        <v>509</v>
      </c>
      <c r="B160" s="24" t="s">
        <v>336</v>
      </c>
      <c r="C160" s="24" t="s">
        <v>50</v>
      </c>
      <c r="D160" s="24">
        <v>3</v>
      </c>
      <c r="E160" s="24">
        <v>2</v>
      </c>
      <c r="F160" s="24" t="s">
        <v>322</v>
      </c>
      <c r="G160" s="24">
        <v>2</v>
      </c>
      <c r="H160" s="24">
        <v>5</v>
      </c>
      <c r="I160" s="24">
        <v>2</v>
      </c>
      <c r="J160" s="24">
        <v>0</v>
      </c>
      <c r="K160" s="24">
        <v>0</v>
      </c>
      <c r="L160" s="24">
        <v>1</v>
      </c>
      <c r="M160" s="24">
        <f t="shared" si="4"/>
        <v>0</v>
      </c>
      <c r="N160" s="24">
        <v>0</v>
      </c>
      <c r="O160" s="24">
        <v>0</v>
      </c>
      <c r="P160" s="24" t="s">
        <v>337</v>
      </c>
      <c r="Q160" s="24">
        <v>0</v>
      </c>
      <c r="R160" s="24">
        <v>0</v>
      </c>
      <c r="S160" s="24">
        <v>50</v>
      </c>
    </row>
    <row r="161" s="12" customFormat="1" spans="1:19">
      <c r="A161" s="24">
        <v>510</v>
      </c>
      <c r="B161" s="24" t="s">
        <v>338</v>
      </c>
      <c r="C161" s="24" t="s">
        <v>50</v>
      </c>
      <c r="D161" s="24">
        <v>3</v>
      </c>
      <c r="E161" s="24">
        <v>2</v>
      </c>
      <c r="F161" s="24" t="s">
        <v>324</v>
      </c>
      <c r="G161" s="24">
        <v>2</v>
      </c>
      <c r="H161" s="24">
        <v>5</v>
      </c>
      <c r="I161" s="24">
        <v>2</v>
      </c>
      <c r="J161" s="24">
        <v>0</v>
      </c>
      <c r="K161" s="24">
        <v>0</v>
      </c>
      <c r="L161" s="24">
        <v>1</v>
      </c>
      <c r="M161" s="24">
        <f t="shared" si="4"/>
        <v>0</v>
      </c>
      <c r="N161" s="24">
        <v>0</v>
      </c>
      <c r="O161" s="24">
        <v>0</v>
      </c>
      <c r="P161" s="24" t="s">
        <v>339</v>
      </c>
      <c r="Q161" s="24">
        <v>0</v>
      </c>
      <c r="R161" s="24">
        <v>0</v>
      </c>
      <c r="S161" s="24">
        <v>50</v>
      </c>
    </row>
    <row r="162" s="12" customFormat="1" spans="1:19">
      <c r="A162" s="24">
        <v>511</v>
      </c>
      <c r="B162" s="24" t="s">
        <v>340</v>
      </c>
      <c r="C162" s="24" t="s">
        <v>50</v>
      </c>
      <c r="D162" s="24">
        <v>3</v>
      </c>
      <c r="E162" s="24">
        <v>2</v>
      </c>
      <c r="F162" s="24" t="s">
        <v>326</v>
      </c>
      <c r="G162" s="24">
        <v>2</v>
      </c>
      <c r="H162" s="24">
        <v>5</v>
      </c>
      <c r="I162" s="24">
        <v>1</v>
      </c>
      <c r="J162" s="24">
        <v>0</v>
      </c>
      <c r="K162" s="24">
        <v>0</v>
      </c>
      <c r="L162" s="24">
        <v>1</v>
      </c>
      <c r="M162" s="24">
        <f t="shared" si="4"/>
        <v>0</v>
      </c>
      <c r="N162" s="24">
        <v>0</v>
      </c>
      <c r="O162" s="24">
        <v>0</v>
      </c>
      <c r="P162" s="24" t="s">
        <v>341</v>
      </c>
      <c r="Q162" s="24">
        <v>0</v>
      </c>
      <c r="R162" s="24">
        <v>0</v>
      </c>
      <c r="S162" s="24">
        <v>50</v>
      </c>
    </row>
    <row r="163" s="12" customFormat="1" spans="1:19">
      <c r="A163" s="24">
        <v>512</v>
      </c>
      <c r="B163" s="24" t="s">
        <v>342</v>
      </c>
      <c r="C163" s="24" t="s">
        <v>50</v>
      </c>
      <c r="D163" s="24">
        <v>3</v>
      </c>
      <c r="E163" s="24">
        <v>2</v>
      </c>
      <c r="F163" s="24" t="s">
        <v>328</v>
      </c>
      <c r="G163" s="24">
        <v>2</v>
      </c>
      <c r="H163" s="24">
        <v>5</v>
      </c>
      <c r="I163" s="24">
        <v>2</v>
      </c>
      <c r="J163" s="24">
        <v>0</v>
      </c>
      <c r="K163" s="24">
        <v>0</v>
      </c>
      <c r="L163" s="24">
        <v>1</v>
      </c>
      <c r="M163" s="24">
        <f t="shared" si="4"/>
        <v>0</v>
      </c>
      <c r="N163" s="24">
        <v>0</v>
      </c>
      <c r="O163" s="24">
        <v>0</v>
      </c>
      <c r="P163" s="24" t="s">
        <v>343</v>
      </c>
      <c r="Q163" s="24">
        <v>0</v>
      </c>
      <c r="R163" s="24">
        <v>0</v>
      </c>
      <c r="S163" s="24">
        <v>50</v>
      </c>
    </row>
    <row r="164" s="12" customFormat="1" spans="1:19">
      <c r="A164" s="24">
        <v>513</v>
      </c>
      <c r="B164" s="24" t="s">
        <v>344</v>
      </c>
      <c r="C164" s="24" t="s">
        <v>50</v>
      </c>
      <c r="D164" s="24">
        <v>3</v>
      </c>
      <c r="E164" s="24">
        <v>2</v>
      </c>
      <c r="F164" s="24" t="s">
        <v>330</v>
      </c>
      <c r="G164" s="24">
        <v>2</v>
      </c>
      <c r="H164" s="24">
        <v>5</v>
      </c>
      <c r="I164" s="24">
        <v>1</v>
      </c>
      <c r="J164" s="24">
        <v>0</v>
      </c>
      <c r="K164" s="24">
        <v>0</v>
      </c>
      <c r="L164" s="24">
        <v>1</v>
      </c>
      <c r="M164" s="24">
        <f t="shared" si="4"/>
        <v>0</v>
      </c>
      <c r="N164" s="24">
        <v>0</v>
      </c>
      <c r="O164" s="24">
        <v>0</v>
      </c>
      <c r="P164" s="24" t="s">
        <v>345</v>
      </c>
      <c r="Q164" s="24">
        <v>0</v>
      </c>
      <c r="R164" s="24">
        <v>0</v>
      </c>
      <c r="S164" s="24">
        <v>50</v>
      </c>
    </row>
    <row r="165" s="12" customFormat="1" spans="1:19">
      <c r="A165" s="24">
        <v>514</v>
      </c>
      <c r="B165" s="24" t="s">
        <v>346</v>
      </c>
      <c r="C165" s="24" t="s">
        <v>50</v>
      </c>
      <c r="D165" s="24">
        <v>3</v>
      </c>
      <c r="E165" s="24">
        <v>2</v>
      </c>
      <c r="F165" s="24" t="s">
        <v>332</v>
      </c>
      <c r="G165" s="24">
        <v>2</v>
      </c>
      <c r="H165" s="24">
        <v>5</v>
      </c>
      <c r="I165" s="24">
        <v>1</v>
      </c>
      <c r="J165" s="24">
        <v>0</v>
      </c>
      <c r="K165" s="24">
        <v>0</v>
      </c>
      <c r="L165" s="24">
        <v>1</v>
      </c>
      <c r="M165" s="24">
        <f t="shared" si="4"/>
        <v>0</v>
      </c>
      <c r="N165" s="24">
        <v>0</v>
      </c>
      <c r="O165" s="24">
        <v>0</v>
      </c>
      <c r="P165" s="24" t="s">
        <v>347</v>
      </c>
      <c r="Q165" s="24">
        <v>0</v>
      </c>
      <c r="R165" s="24">
        <v>0</v>
      </c>
      <c r="S165" s="24">
        <v>50</v>
      </c>
    </row>
    <row r="166" s="12" customFormat="1" spans="1:19">
      <c r="A166" s="24">
        <v>515</v>
      </c>
      <c r="B166" s="24" t="s">
        <v>348</v>
      </c>
      <c r="C166" s="24" t="s">
        <v>50</v>
      </c>
      <c r="D166" s="24">
        <v>4</v>
      </c>
      <c r="E166" s="24">
        <v>3</v>
      </c>
      <c r="F166" s="24" t="s">
        <v>320</v>
      </c>
      <c r="G166" s="24">
        <v>2</v>
      </c>
      <c r="H166" s="24">
        <v>5</v>
      </c>
      <c r="I166" s="24">
        <v>2</v>
      </c>
      <c r="J166" s="24">
        <v>0</v>
      </c>
      <c r="K166" s="24">
        <v>0</v>
      </c>
      <c r="L166" s="24">
        <v>1</v>
      </c>
      <c r="M166" s="24">
        <f t="shared" si="4"/>
        <v>0</v>
      </c>
      <c r="N166" s="24">
        <v>0</v>
      </c>
      <c r="O166" s="24">
        <v>0</v>
      </c>
      <c r="P166" s="24" t="s">
        <v>349</v>
      </c>
      <c r="Q166" s="24">
        <v>0</v>
      </c>
      <c r="R166" s="24">
        <v>0</v>
      </c>
      <c r="S166" s="24">
        <v>50</v>
      </c>
    </row>
    <row r="167" s="12" customFormat="1" spans="1:19">
      <c r="A167" s="24">
        <v>516</v>
      </c>
      <c r="B167" s="24" t="s">
        <v>350</v>
      </c>
      <c r="C167" s="24" t="s">
        <v>50</v>
      </c>
      <c r="D167" s="24">
        <v>4</v>
      </c>
      <c r="E167" s="24">
        <v>3</v>
      </c>
      <c r="F167" s="24" t="s">
        <v>322</v>
      </c>
      <c r="G167" s="24">
        <v>2</v>
      </c>
      <c r="H167" s="24">
        <v>5</v>
      </c>
      <c r="I167" s="24">
        <v>1</v>
      </c>
      <c r="J167" s="24">
        <v>0</v>
      </c>
      <c r="K167" s="24">
        <v>0</v>
      </c>
      <c r="L167" s="24">
        <v>1</v>
      </c>
      <c r="M167" s="24">
        <f t="shared" si="4"/>
        <v>0</v>
      </c>
      <c r="N167" s="24">
        <v>0</v>
      </c>
      <c r="O167" s="24">
        <v>0</v>
      </c>
      <c r="P167" s="24" t="s">
        <v>351</v>
      </c>
      <c r="Q167" s="24">
        <v>0</v>
      </c>
      <c r="R167" s="24">
        <v>0</v>
      </c>
      <c r="S167" s="24">
        <v>50</v>
      </c>
    </row>
    <row r="168" s="12" customFormat="1" spans="1:19">
      <c r="A168" s="24">
        <v>517</v>
      </c>
      <c r="B168" s="24" t="s">
        <v>352</v>
      </c>
      <c r="C168" s="24" t="s">
        <v>50</v>
      </c>
      <c r="D168" s="24">
        <v>4</v>
      </c>
      <c r="E168" s="24">
        <v>3</v>
      </c>
      <c r="F168" s="24" t="s">
        <v>324</v>
      </c>
      <c r="G168" s="24">
        <v>2</v>
      </c>
      <c r="H168" s="24">
        <v>5</v>
      </c>
      <c r="I168" s="24">
        <v>1</v>
      </c>
      <c r="J168" s="24">
        <v>0</v>
      </c>
      <c r="K168" s="24">
        <v>0</v>
      </c>
      <c r="L168" s="24">
        <v>1</v>
      </c>
      <c r="M168" s="24">
        <f t="shared" si="4"/>
        <v>0</v>
      </c>
      <c r="N168" s="24">
        <v>0</v>
      </c>
      <c r="O168" s="24">
        <v>0</v>
      </c>
      <c r="P168" s="24" t="s">
        <v>353</v>
      </c>
      <c r="Q168" s="24">
        <v>0</v>
      </c>
      <c r="R168" s="24">
        <v>0</v>
      </c>
      <c r="S168" s="24">
        <v>50</v>
      </c>
    </row>
    <row r="169" s="12" customFormat="1" spans="1:19">
      <c r="A169" s="24">
        <v>518</v>
      </c>
      <c r="B169" s="24" t="s">
        <v>354</v>
      </c>
      <c r="C169" s="24" t="s">
        <v>50</v>
      </c>
      <c r="D169" s="24">
        <v>4</v>
      </c>
      <c r="E169" s="24">
        <v>3</v>
      </c>
      <c r="F169" s="24" t="s">
        <v>326</v>
      </c>
      <c r="G169" s="24">
        <v>2</v>
      </c>
      <c r="H169" s="24">
        <v>5</v>
      </c>
      <c r="I169" s="24">
        <v>2</v>
      </c>
      <c r="J169" s="24">
        <v>0</v>
      </c>
      <c r="K169" s="24">
        <v>0</v>
      </c>
      <c r="L169" s="24">
        <v>1</v>
      </c>
      <c r="M169" s="24">
        <f t="shared" si="4"/>
        <v>0</v>
      </c>
      <c r="N169" s="24">
        <v>0</v>
      </c>
      <c r="O169" s="24">
        <v>0</v>
      </c>
      <c r="P169" s="24" t="s">
        <v>355</v>
      </c>
      <c r="Q169" s="24">
        <v>0</v>
      </c>
      <c r="R169" s="24">
        <v>0</v>
      </c>
      <c r="S169" s="24">
        <v>50</v>
      </c>
    </row>
    <row r="170" s="12" customFormat="1" spans="1:19">
      <c r="A170" s="24">
        <v>519</v>
      </c>
      <c r="B170" s="24" t="s">
        <v>356</v>
      </c>
      <c r="C170" s="24" t="s">
        <v>50</v>
      </c>
      <c r="D170" s="24">
        <v>4</v>
      </c>
      <c r="E170" s="24">
        <v>3</v>
      </c>
      <c r="F170" s="24" t="s">
        <v>328</v>
      </c>
      <c r="G170" s="24">
        <v>2</v>
      </c>
      <c r="H170" s="24">
        <v>5</v>
      </c>
      <c r="I170" s="24">
        <v>2</v>
      </c>
      <c r="J170" s="24">
        <v>0</v>
      </c>
      <c r="K170" s="24">
        <v>0</v>
      </c>
      <c r="L170" s="24">
        <v>1</v>
      </c>
      <c r="M170" s="24">
        <f t="shared" si="4"/>
        <v>0</v>
      </c>
      <c r="N170" s="24">
        <v>0</v>
      </c>
      <c r="O170" s="24">
        <v>0</v>
      </c>
      <c r="P170" s="24" t="s">
        <v>357</v>
      </c>
      <c r="Q170" s="24">
        <v>0</v>
      </c>
      <c r="R170" s="24">
        <v>0</v>
      </c>
      <c r="S170" s="24">
        <v>50</v>
      </c>
    </row>
    <row r="171" s="12" customFormat="1" spans="1:19">
      <c r="A171" s="24">
        <v>520</v>
      </c>
      <c r="B171" s="24" t="s">
        <v>358</v>
      </c>
      <c r="C171" s="24" t="s">
        <v>50</v>
      </c>
      <c r="D171" s="24">
        <v>4</v>
      </c>
      <c r="E171" s="24">
        <v>3</v>
      </c>
      <c r="F171" s="24" t="s">
        <v>330</v>
      </c>
      <c r="G171" s="24">
        <v>2</v>
      </c>
      <c r="H171" s="24">
        <v>5</v>
      </c>
      <c r="I171" s="24">
        <v>2</v>
      </c>
      <c r="J171" s="24">
        <v>0</v>
      </c>
      <c r="K171" s="24">
        <v>0</v>
      </c>
      <c r="L171" s="24">
        <v>1</v>
      </c>
      <c r="M171" s="24">
        <f t="shared" si="4"/>
        <v>0</v>
      </c>
      <c r="N171" s="24">
        <v>0</v>
      </c>
      <c r="O171" s="24">
        <v>0</v>
      </c>
      <c r="P171" s="24" t="s">
        <v>359</v>
      </c>
      <c r="Q171" s="24">
        <v>0</v>
      </c>
      <c r="R171" s="24">
        <v>0</v>
      </c>
      <c r="S171" s="24">
        <v>50</v>
      </c>
    </row>
    <row r="172" s="12" customFormat="1" spans="1:19">
      <c r="A172" s="24">
        <v>521</v>
      </c>
      <c r="B172" s="24" t="s">
        <v>360</v>
      </c>
      <c r="C172" s="24" t="s">
        <v>50</v>
      </c>
      <c r="D172" s="24">
        <v>4</v>
      </c>
      <c r="E172" s="24">
        <v>3</v>
      </c>
      <c r="F172" s="24" t="s">
        <v>332</v>
      </c>
      <c r="G172" s="24">
        <v>2</v>
      </c>
      <c r="H172" s="24">
        <v>5</v>
      </c>
      <c r="I172" s="24">
        <v>1</v>
      </c>
      <c r="J172" s="24">
        <v>0</v>
      </c>
      <c r="K172" s="24">
        <v>0</v>
      </c>
      <c r="L172" s="24">
        <v>1</v>
      </c>
      <c r="M172" s="24">
        <f t="shared" si="4"/>
        <v>0</v>
      </c>
      <c r="N172" s="24">
        <v>0</v>
      </c>
      <c r="O172" s="24">
        <v>0</v>
      </c>
      <c r="P172" s="24" t="s">
        <v>355</v>
      </c>
      <c r="Q172" s="24">
        <v>0</v>
      </c>
      <c r="R172" s="24">
        <v>0</v>
      </c>
      <c r="S172" s="24">
        <v>50</v>
      </c>
    </row>
    <row r="173" s="12" customFormat="1" spans="1:19">
      <c r="A173" s="24">
        <v>522</v>
      </c>
      <c r="B173" s="24" t="s">
        <v>361</v>
      </c>
      <c r="C173" s="24" t="s">
        <v>50</v>
      </c>
      <c r="D173" s="24">
        <v>4</v>
      </c>
      <c r="E173" s="24">
        <v>3</v>
      </c>
      <c r="F173" s="24" t="s">
        <v>332</v>
      </c>
      <c r="G173" s="24">
        <v>2</v>
      </c>
      <c r="H173" s="24">
        <v>5</v>
      </c>
      <c r="I173" s="24">
        <v>2</v>
      </c>
      <c r="J173" s="24">
        <v>0</v>
      </c>
      <c r="K173" s="24">
        <v>0</v>
      </c>
      <c r="L173" s="24">
        <v>1</v>
      </c>
      <c r="M173" s="24">
        <f t="shared" si="4"/>
        <v>0</v>
      </c>
      <c r="N173" s="24">
        <v>0</v>
      </c>
      <c r="O173" s="24">
        <v>0</v>
      </c>
      <c r="P173" s="24" t="s">
        <v>362</v>
      </c>
      <c r="Q173" s="24">
        <v>0</v>
      </c>
      <c r="R173" s="24">
        <v>0</v>
      </c>
      <c r="S173" s="24">
        <v>50</v>
      </c>
    </row>
    <row r="174" s="12" customFormat="1" spans="1:19">
      <c r="A174" s="24">
        <v>523</v>
      </c>
      <c r="B174" s="24" t="s">
        <v>363</v>
      </c>
      <c r="C174" s="24" t="s">
        <v>50</v>
      </c>
      <c r="D174" s="24">
        <v>4</v>
      </c>
      <c r="E174" s="24">
        <v>3</v>
      </c>
      <c r="F174" s="24" t="s">
        <v>332</v>
      </c>
      <c r="G174" s="24">
        <v>2</v>
      </c>
      <c r="H174" s="24">
        <v>5</v>
      </c>
      <c r="I174" s="24">
        <v>2</v>
      </c>
      <c r="J174" s="24">
        <v>0</v>
      </c>
      <c r="K174" s="24">
        <v>0</v>
      </c>
      <c r="L174" s="24">
        <v>1</v>
      </c>
      <c r="M174" s="24">
        <f t="shared" si="4"/>
        <v>0</v>
      </c>
      <c r="N174" s="24">
        <v>0</v>
      </c>
      <c r="O174" s="24">
        <v>0</v>
      </c>
      <c r="P174" s="24" t="s">
        <v>362</v>
      </c>
      <c r="Q174" s="24">
        <v>0</v>
      </c>
      <c r="R174" s="24">
        <v>0</v>
      </c>
      <c r="S174" s="24">
        <v>50</v>
      </c>
    </row>
    <row r="175" s="12" customFormat="1" spans="1:19">
      <c r="A175" s="24">
        <v>524</v>
      </c>
      <c r="B175" s="24" t="s">
        <v>364</v>
      </c>
      <c r="C175" s="24" t="s">
        <v>50</v>
      </c>
      <c r="D175" s="24">
        <v>4</v>
      </c>
      <c r="E175" s="24">
        <v>3</v>
      </c>
      <c r="F175" s="24" t="s">
        <v>332</v>
      </c>
      <c r="G175" s="24">
        <v>2</v>
      </c>
      <c r="H175" s="24">
        <v>5</v>
      </c>
      <c r="I175" s="24">
        <v>2</v>
      </c>
      <c r="J175" s="24">
        <v>0</v>
      </c>
      <c r="K175" s="24">
        <v>0</v>
      </c>
      <c r="L175" s="24">
        <v>1</v>
      </c>
      <c r="M175" s="24">
        <f t="shared" si="4"/>
        <v>0</v>
      </c>
      <c r="N175" s="24">
        <v>0</v>
      </c>
      <c r="O175" s="24">
        <v>0</v>
      </c>
      <c r="P175" s="24" t="s">
        <v>365</v>
      </c>
      <c r="Q175" s="24">
        <v>0</v>
      </c>
      <c r="R175" s="24">
        <v>0</v>
      </c>
      <c r="S175" s="24">
        <v>50</v>
      </c>
    </row>
    <row r="176" s="12" customFormat="1" spans="1:19">
      <c r="A176" s="24">
        <v>525</v>
      </c>
      <c r="B176" s="24" t="s">
        <v>366</v>
      </c>
      <c r="C176" s="24" t="s">
        <v>50</v>
      </c>
      <c r="D176" s="24">
        <v>4</v>
      </c>
      <c r="E176" s="24">
        <v>3</v>
      </c>
      <c r="F176" s="24" t="s">
        <v>332</v>
      </c>
      <c r="G176" s="24">
        <v>2</v>
      </c>
      <c r="H176" s="24">
        <v>5</v>
      </c>
      <c r="I176" s="24">
        <v>2</v>
      </c>
      <c r="J176" s="24">
        <v>0</v>
      </c>
      <c r="K176" s="24">
        <v>0</v>
      </c>
      <c r="L176" s="24">
        <v>1</v>
      </c>
      <c r="M176" s="24">
        <f t="shared" si="4"/>
        <v>0</v>
      </c>
      <c r="N176" s="24">
        <v>0</v>
      </c>
      <c r="O176" s="24">
        <v>0</v>
      </c>
      <c r="P176" s="24" t="s">
        <v>365</v>
      </c>
      <c r="Q176" s="24">
        <v>0</v>
      </c>
      <c r="R176" s="24">
        <v>0</v>
      </c>
      <c r="S176" s="24">
        <v>50</v>
      </c>
    </row>
    <row r="177" s="12" customFormat="1" spans="1:19">
      <c r="A177" s="24">
        <v>526</v>
      </c>
      <c r="B177" s="24" t="s">
        <v>367</v>
      </c>
      <c r="C177" s="24" t="s">
        <v>50</v>
      </c>
      <c r="D177" s="24">
        <v>4</v>
      </c>
      <c r="E177" s="24">
        <v>3</v>
      </c>
      <c r="F177" s="24" t="s">
        <v>332</v>
      </c>
      <c r="G177" s="24">
        <v>2</v>
      </c>
      <c r="H177" s="24">
        <v>5</v>
      </c>
      <c r="I177" s="24">
        <v>1</v>
      </c>
      <c r="J177" s="24">
        <v>0</v>
      </c>
      <c r="K177" s="24">
        <v>0</v>
      </c>
      <c r="L177" s="24">
        <v>1</v>
      </c>
      <c r="M177" s="24">
        <f t="shared" si="4"/>
        <v>0</v>
      </c>
      <c r="N177" s="24">
        <v>0</v>
      </c>
      <c r="O177" s="24">
        <v>0</v>
      </c>
      <c r="P177" s="24" t="s">
        <v>365</v>
      </c>
      <c r="Q177" s="24">
        <v>0</v>
      </c>
      <c r="R177" s="24">
        <v>0</v>
      </c>
      <c r="S177" s="24">
        <v>50</v>
      </c>
    </row>
    <row r="178" s="12" customFormat="1" spans="1:19">
      <c r="A178" s="24">
        <v>527</v>
      </c>
      <c r="B178" s="24" t="s">
        <v>368</v>
      </c>
      <c r="C178" s="24" t="s">
        <v>50</v>
      </c>
      <c r="D178" s="24">
        <v>4</v>
      </c>
      <c r="E178" s="24">
        <v>3</v>
      </c>
      <c r="F178" s="24" t="s">
        <v>332</v>
      </c>
      <c r="G178" s="24">
        <v>2</v>
      </c>
      <c r="H178" s="24">
        <v>5</v>
      </c>
      <c r="I178" s="24">
        <v>1</v>
      </c>
      <c r="J178" s="24">
        <v>0</v>
      </c>
      <c r="K178" s="24">
        <v>0</v>
      </c>
      <c r="L178" s="24">
        <v>1</v>
      </c>
      <c r="M178" s="24">
        <f t="shared" si="4"/>
        <v>0</v>
      </c>
      <c r="N178" s="24">
        <v>0</v>
      </c>
      <c r="O178" s="24">
        <v>0</v>
      </c>
      <c r="P178" s="24" t="s">
        <v>365</v>
      </c>
      <c r="Q178" s="24">
        <v>0</v>
      </c>
      <c r="R178" s="24">
        <v>0</v>
      </c>
      <c r="S178" s="24">
        <v>50</v>
      </c>
    </row>
    <row r="179" s="12" customFormat="1" spans="1:19">
      <c r="A179" s="24">
        <v>10001</v>
      </c>
      <c r="B179" s="24" t="s">
        <v>369</v>
      </c>
      <c r="C179" s="24" t="s">
        <v>370</v>
      </c>
      <c r="D179" s="24">
        <v>3</v>
      </c>
      <c r="E179" s="24">
        <v>2</v>
      </c>
      <c r="F179" s="24" t="s">
        <v>371</v>
      </c>
      <c r="G179" s="24">
        <v>1</v>
      </c>
      <c r="H179" s="24">
        <v>2</v>
      </c>
      <c r="I179" s="24">
        <v>0</v>
      </c>
      <c r="J179" s="24">
        <v>0</v>
      </c>
      <c r="K179" s="24">
        <v>0</v>
      </c>
      <c r="L179" s="24">
        <v>1</v>
      </c>
      <c r="M179" s="24">
        <f t="shared" si="4"/>
        <v>1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</row>
    <row r="180" s="12" customFormat="1" spans="1:19">
      <c r="A180" s="24">
        <v>10002</v>
      </c>
      <c r="B180" s="24" t="s">
        <v>372</v>
      </c>
      <c r="C180" s="24" t="s">
        <v>373</v>
      </c>
      <c r="D180" s="24">
        <v>4</v>
      </c>
      <c r="E180" s="24">
        <v>3</v>
      </c>
      <c r="F180" s="24" t="s">
        <v>374</v>
      </c>
      <c r="G180" s="24">
        <v>1</v>
      </c>
      <c r="H180" s="24">
        <v>2</v>
      </c>
      <c r="I180" s="24">
        <v>0</v>
      </c>
      <c r="J180" s="24">
        <v>0</v>
      </c>
      <c r="K180" s="24">
        <v>0</v>
      </c>
      <c r="L180" s="24">
        <v>1</v>
      </c>
      <c r="M180" s="24">
        <f t="shared" si="4"/>
        <v>1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</row>
    <row r="181" s="12" customFormat="1" spans="1:19">
      <c r="A181" s="24">
        <v>10010</v>
      </c>
      <c r="B181" s="24" t="s">
        <v>375</v>
      </c>
      <c r="C181" s="24" t="s">
        <v>376</v>
      </c>
      <c r="D181" s="24">
        <v>1</v>
      </c>
      <c r="E181" s="24">
        <v>1</v>
      </c>
      <c r="F181" s="24" t="s">
        <v>377</v>
      </c>
      <c r="G181" s="24">
        <v>1</v>
      </c>
      <c r="H181" s="24">
        <v>2</v>
      </c>
      <c r="I181" s="24">
        <v>0</v>
      </c>
      <c r="J181" s="24">
        <v>0</v>
      </c>
      <c r="K181" s="24">
        <v>0</v>
      </c>
      <c r="L181" s="24">
        <v>1</v>
      </c>
      <c r="M181" s="24">
        <f t="shared" si="4"/>
        <v>1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</row>
    <row r="182" s="12" customFormat="1" spans="1:19">
      <c r="A182" s="24">
        <v>10011</v>
      </c>
      <c r="B182" s="24" t="s">
        <v>378</v>
      </c>
      <c r="C182" s="24" t="s">
        <v>379</v>
      </c>
      <c r="D182" s="24">
        <v>1</v>
      </c>
      <c r="E182" s="24">
        <v>1</v>
      </c>
      <c r="F182" s="24" t="s">
        <v>380</v>
      </c>
      <c r="G182" s="24">
        <v>1</v>
      </c>
      <c r="H182" s="24">
        <v>2</v>
      </c>
      <c r="I182" s="24">
        <v>0</v>
      </c>
      <c r="J182" s="24">
        <v>0</v>
      </c>
      <c r="K182" s="24">
        <v>0</v>
      </c>
      <c r="L182" s="24">
        <v>1</v>
      </c>
      <c r="M182" s="24">
        <f t="shared" si="4"/>
        <v>1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</row>
    <row r="183" s="12" customFormat="1" spans="1:19">
      <c r="A183" s="24">
        <v>10012</v>
      </c>
      <c r="B183" s="24" t="s">
        <v>381</v>
      </c>
      <c r="C183" s="24" t="s">
        <v>382</v>
      </c>
      <c r="D183" s="24">
        <v>2</v>
      </c>
      <c r="E183" s="24">
        <v>1</v>
      </c>
      <c r="F183" s="24" t="s">
        <v>383</v>
      </c>
      <c r="G183" s="24">
        <v>1</v>
      </c>
      <c r="H183" s="24">
        <v>2</v>
      </c>
      <c r="I183" s="24">
        <v>0</v>
      </c>
      <c r="J183" s="24">
        <v>0</v>
      </c>
      <c r="K183" s="24">
        <v>0</v>
      </c>
      <c r="L183" s="24">
        <v>1</v>
      </c>
      <c r="M183" s="24">
        <f t="shared" si="4"/>
        <v>1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</row>
    <row r="184" s="12" customFormat="1" spans="1:19">
      <c r="A184" s="24">
        <v>10013</v>
      </c>
      <c r="B184" s="24" t="s">
        <v>384</v>
      </c>
      <c r="C184" s="24" t="s">
        <v>385</v>
      </c>
      <c r="D184" s="24">
        <v>2</v>
      </c>
      <c r="E184" s="24">
        <v>1</v>
      </c>
      <c r="F184" s="24" t="s">
        <v>386</v>
      </c>
      <c r="G184" s="24">
        <v>1</v>
      </c>
      <c r="H184" s="24">
        <v>2</v>
      </c>
      <c r="I184" s="24">
        <v>0</v>
      </c>
      <c r="J184" s="24">
        <v>0</v>
      </c>
      <c r="K184" s="24">
        <v>0</v>
      </c>
      <c r="L184" s="24">
        <v>1</v>
      </c>
      <c r="M184" s="24">
        <f t="shared" si="4"/>
        <v>1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</row>
    <row r="185" s="12" customFormat="1" spans="1:19">
      <c r="A185" s="24">
        <v>10014</v>
      </c>
      <c r="B185" s="24" t="s">
        <v>387</v>
      </c>
      <c r="C185" s="24" t="s">
        <v>388</v>
      </c>
      <c r="D185" s="24">
        <v>3</v>
      </c>
      <c r="E185" s="24">
        <v>2</v>
      </c>
      <c r="F185" s="24" t="s">
        <v>389</v>
      </c>
      <c r="G185" s="24">
        <v>1</v>
      </c>
      <c r="H185" s="24">
        <v>2</v>
      </c>
      <c r="I185" s="24">
        <v>0</v>
      </c>
      <c r="J185" s="24">
        <v>0</v>
      </c>
      <c r="K185" s="24">
        <v>0</v>
      </c>
      <c r="L185" s="24">
        <v>1</v>
      </c>
      <c r="M185" s="24">
        <f t="shared" si="4"/>
        <v>1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</row>
    <row r="186" s="12" customFormat="1" spans="1:19">
      <c r="A186" s="24">
        <v>10015</v>
      </c>
      <c r="B186" s="24" t="s">
        <v>390</v>
      </c>
      <c r="C186" s="24" t="s">
        <v>391</v>
      </c>
      <c r="D186" s="24">
        <v>3</v>
      </c>
      <c r="E186" s="24">
        <v>2</v>
      </c>
      <c r="F186" s="24" t="s">
        <v>392</v>
      </c>
      <c r="G186" s="24">
        <v>1</v>
      </c>
      <c r="H186" s="24">
        <v>2</v>
      </c>
      <c r="I186" s="24">
        <v>0</v>
      </c>
      <c r="J186" s="24">
        <v>0</v>
      </c>
      <c r="K186" s="24">
        <v>0</v>
      </c>
      <c r="L186" s="24">
        <v>1</v>
      </c>
      <c r="M186" s="24">
        <f t="shared" si="4"/>
        <v>1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</row>
    <row r="187" s="12" customFormat="1" spans="1:19">
      <c r="A187" s="24">
        <v>10016</v>
      </c>
      <c r="B187" s="24" t="s">
        <v>393</v>
      </c>
      <c r="C187" s="24" t="s">
        <v>394</v>
      </c>
      <c r="D187" s="24">
        <v>4</v>
      </c>
      <c r="E187" s="24">
        <v>3</v>
      </c>
      <c r="F187" s="24" t="s">
        <v>395</v>
      </c>
      <c r="G187" s="24">
        <v>1</v>
      </c>
      <c r="H187" s="24">
        <v>2</v>
      </c>
      <c r="I187" s="24">
        <v>0</v>
      </c>
      <c r="J187" s="24">
        <v>0</v>
      </c>
      <c r="K187" s="24">
        <v>0</v>
      </c>
      <c r="L187" s="24">
        <v>1</v>
      </c>
      <c r="M187" s="24">
        <f t="shared" si="4"/>
        <v>1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</row>
    <row r="188" s="12" customFormat="1" spans="1:19">
      <c r="A188" s="24">
        <v>10017</v>
      </c>
      <c r="B188" s="24" t="s">
        <v>396</v>
      </c>
      <c r="C188" s="24" t="s">
        <v>397</v>
      </c>
      <c r="D188" s="24">
        <v>4</v>
      </c>
      <c r="E188" s="24">
        <v>3</v>
      </c>
      <c r="F188" s="24" t="s">
        <v>398</v>
      </c>
      <c r="G188" s="24">
        <v>1</v>
      </c>
      <c r="H188" s="24">
        <v>2</v>
      </c>
      <c r="I188" s="24">
        <v>0</v>
      </c>
      <c r="J188" s="24">
        <v>0</v>
      </c>
      <c r="K188" s="24">
        <v>0</v>
      </c>
      <c r="L188" s="24">
        <v>1</v>
      </c>
      <c r="M188" s="24">
        <f t="shared" si="4"/>
        <v>1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</row>
    <row r="189" s="12" customFormat="1" spans="1:19">
      <c r="A189" s="24">
        <v>10101</v>
      </c>
      <c r="B189" s="24" t="s">
        <v>399</v>
      </c>
      <c r="C189" s="24" t="s">
        <v>400</v>
      </c>
      <c r="D189" s="24">
        <v>2</v>
      </c>
      <c r="E189" s="24">
        <v>0</v>
      </c>
      <c r="F189" s="24" t="s">
        <v>401</v>
      </c>
      <c r="G189" s="24">
        <v>1</v>
      </c>
      <c r="H189" s="24">
        <v>4</v>
      </c>
      <c r="I189" s="24">
        <v>0</v>
      </c>
      <c r="J189" s="24">
        <v>0</v>
      </c>
      <c r="K189" s="24">
        <v>0</v>
      </c>
      <c r="L189" s="24">
        <v>1</v>
      </c>
      <c r="M189" s="24">
        <v>1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</row>
    <row r="190" s="12" customFormat="1" spans="1:19">
      <c r="A190" s="24">
        <v>10102</v>
      </c>
      <c r="B190" s="24" t="s">
        <v>402</v>
      </c>
      <c r="C190" s="24" t="s">
        <v>403</v>
      </c>
      <c r="D190" s="24">
        <v>2</v>
      </c>
      <c r="E190" s="24">
        <v>0</v>
      </c>
      <c r="F190" s="24" t="s">
        <v>404</v>
      </c>
      <c r="G190" s="24">
        <v>1</v>
      </c>
      <c r="H190" s="24">
        <v>4</v>
      </c>
      <c r="I190" s="24">
        <v>0</v>
      </c>
      <c r="J190" s="24">
        <v>0</v>
      </c>
      <c r="K190" s="24">
        <v>0</v>
      </c>
      <c r="L190" s="24">
        <v>1</v>
      </c>
      <c r="M190" s="24">
        <v>1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</row>
    <row r="191" s="12" customFormat="1" spans="1:19">
      <c r="A191" s="24">
        <v>10103</v>
      </c>
      <c r="B191" s="24" t="s">
        <v>405</v>
      </c>
      <c r="C191" s="24" t="s">
        <v>406</v>
      </c>
      <c r="D191" s="24">
        <v>2</v>
      </c>
      <c r="E191" s="24">
        <v>0</v>
      </c>
      <c r="F191" s="24" t="s">
        <v>407</v>
      </c>
      <c r="G191" s="24">
        <v>1</v>
      </c>
      <c r="H191" s="24">
        <v>4</v>
      </c>
      <c r="I191" s="24">
        <v>0</v>
      </c>
      <c r="J191" s="24">
        <v>0</v>
      </c>
      <c r="K191" s="24">
        <v>0</v>
      </c>
      <c r="L191" s="24">
        <v>1</v>
      </c>
      <c r="M191" s="24">
        <v>1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</row>
    <row r="192" s="12" customFormat="1" spans="1:19">
      <c r="A192" s="24">
        <v>10104</v>
      </c>
      <c r="B192" s="24" t="s">
        <v>408</v>
      </c>
      <c r="C192" s="24" t="s">
        <v>409</v>
      </c>
      <c r="D192" s="24">
        <v>2</v>
      </c>
      <c r="E192" s="24">
        <v>0</v>
      </c>
      <c r="F192" s="24" t="s">
        <v>410</v>
      </c>
      <c r="G192" s="24">
        <v>1</v>
      </c>
      <c r="H192" s="24">
        <v>4</v>
      </c>
      <c r="I192" s="24">
        <v>0</v>
      </c>
      <c r="J192" s="24">
        <v>0</v>
      </c>
      <c r="K192" s="24">
        <v>0</v>
      </c>
      <c r="L192" s="24">
        <v>1</v>
      </c>
      <c r="M192" s="24">
        <v>1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</row>
    <row r="193" s="12" customFormat="1" spans="1:19">
      <c r="A193" s="24">
        <v>10105</v>
      </c>
      <c r="B193" s="24" t="s">
        <v>411</v>
      </c>
      <c r="C193" s="24" t="s">
        <v>412</v>
      </c>
      <c r="D193" s="24">
        <v>2</v>
      </c>
      <c r="E193" s="24">
        <v>0</v>
      </c>
      <c r="F193" s="24" t="s">
        <v>413</v>
      </c>
      <c r="G193" s="24">
        <v>1</v>
      </c>
      <c r="H193" s="24">
        <v>4</v>
      </c>
      <c r="I193" s="24">
        <v>0</v>
      </c>
      <c r="J193" s="24">
        <v>0</v>
      </c>
      <c r="K193" s="24">
        <v>0</v>
      </c>
      <c r="L193" s="24">
        <v>1</v>
      </c>
      <c r="M193" s="24">
        <v>1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</row>
    <row r="194" s="12" customFormat="1" spans="1:19">
      <c r="A194" s="24">
        <v>10106</v>
      </c>
      <c r="B194" s="24" t="s">
        <v>414</v>
      </c>
      <c r="C194" s="24" t="s">
        <v>415</v>
      </c>
      <c r="D194" s="24">
        <v>2</v>
      </c>
      <c r="E194" s="24">
        <v>0</v>
      </c>
      <c r="F194" s="24" t="s">
        <v>416</v>
      </c>
      <c r="G194" s="24">
        <v>1</v>
      </c>
      <c r="H194" s="24">
        <v>4</v>
      </c>
      <c r="I194" s="24">
        <v>0</v>
      </c>
      <c r="J194" s="24">
        <v>0</v>
      </c>
      <c r="K194" s="24">
        <v>0</v>
      </c>
      <c r="L194" s="24">
        <v>1</v>
      </c>
      <c r="M194" s="24">
        <v>1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</row>
    <row r="195" s="12" customFormat="1" spans="1:19">
      <c r="A195" s="24">
        <v>10107</v>
      </c>
      <c r="B195" s="24" t="s">
        <v>417</v>
      </c>
      <c r="C195" s="24" t="s">
        <v>418</v>
      </c>
      <c r="D195" s="24">
        <v>2</v>
      </c>
      <c r="E195" s="24">
        <v>0</v>
      </c>
      <c r="F195" s="24" t="s">
        <v>419</v>
      </c>
      <c r="G195" s="24">
        <v>1</v>
      </c>
      <c r="H195" s="24">
        <v>4</v>
      </c>
      <c r="I195" s="24">
        <v>0</v>
      </c>
      <c r="J195" s="24">
        <v>0</v>
      </c>
      <c r="K195" s="24">
        <v>0</v>
      </c>
      <c r="L195" s="24">
        <v>1</v>
      </c>
      <c r="M195" s="24">
        <v>1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</row>
    <row r="196" s="12" customFormat="1" spans="1:19">
      <c r="A196" s="24">
        <v>10108</v>
      </c>
      <c r="B196" s="24" t="s">
        <v>420</v>
      </c>
      <c r="C196" s="24" t="s">
        <v>421</v>
      </c>
      <c r="D196" s="24">
        <v>2</v>
      </c>
      <c r="E196" s="24">
        <v>0</v>
      </c>
      <c r="F196" s="24" t="s">
        <v>422</v>
      </c>
      <c r="G196" s="24">
        <v>1</v>
      </c>
      <c r="H196" s="24">
        <v>4</v>
      </c>
      <c r="I196" s="24">
        <v>0</v>
      </c>
      <c r="J196" s="24">
        <v>0</v>
      </c>
      <c r="K196" s="24">
        <v>0</v>
      </c>
      <c r="L196" s="24">
        <v>1</v>
      </c>
      <c r="M196" s="24">
        <v>1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</row>
    <row r="197" s="12" customFormat="1" spans="1:19">
      <c r="A197" s="24">
        <v>10109</v>
      </c>
      <c r="B197" s="24" t="s">
        <v>423</v>
      </c>
      <c r="C197" s="24" t="s">
        <v>424</v>
      </c>
      <c r="D197" s="24">
        <v>2</v>
      </c>
      <c r="E197" s="24">
        <v>0</v>
      </c>
      <c r="F197" s="24" t="s">
        <v>425</v>
      </c>
      <c r="G197" s="24">
        <v>1</v>
      </c>
      <c r="H197" s="24">
        <v>4</v>
      </c>
      <c r="I197" s="24">
        <v>0</v>
      </c>
      <c r="J197" s="24">
        <v>0</v>
      </c>
      <c r="K197" s="24">
        <v>0</v>
      </c>
      <c r="L197" s="24">
        <v>1</v>
      </c>
      <c r="M197" s="24">
        <v>1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</row>
    <row r="198" s="12" customFormat="1" spans="1:19">
      <c r="A198" s="24">
        <v>10110</v>
      </c>
      <c r="B198" s="24" t="s">
        <v>426</v>
      </c>
      <c r="C198" s="24" t="s">
        <v>427</v>
      </c>
      <c r="D198" s="24">
        <v>2</v>
      </c>
      <c r="E198" s="24">
        <v>0</v>
      </c>
      <c r="F198" s="24" t="s">
        <v>428</v>
      </c>
      <c r="G198" s="24">
        <v>1</v>
      </c>
      <c r="H198" s="24">
        <v>4</v>
      </c>
      <c r="I198" s="24">
        <v>0</v>
      </c>
      <c r="J198" s="24">
        <v>0</v>
      </c>
      <c r="K198" s="24">
        <v>0</v>
      </c>
      <c r="L198" s="24">
        <v>1</v>
      </c>
      <c r="M198" s="24">
        <v>1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</row>
    <row r="199" s="12" customFormat="1" spans="1:19">
      <c r="A199" s="24">
        <v>10111</v>
      </c>
      <c r="B199" s="24" t="s">
        <v>429</v>
      </c>
      <c r="C199" s="24" t="s">
        <v>400</v>
      </c>
      <c r="D199" s="24">
        <v>3</v>
      </c>
      <c r="E199" s="24">
        <v>0</v>
      </c>
      <c r="F199" s="24" t="s">
        <v>430</v>
      </c>
      <c r="G199" s="24">
        <v>1</v>
      </c>
      <c r="H199" s="24">
        <v>4</v>
      </c>
      <c r="I199" s="24">
        <v>0</v>
      </c>
      <c r="J199" s="24">
        <v>0</v>
      </c>
      <c r="K199" s="24">
        <v>0</v>
      </c>
      <c r="L199" s="24">
        <v>1</v>
      </c>
      <c r="M199" s="24">
        <v>1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</row>
    <row r="200" s="12" customFormat="1" spans="1:19">
      <c r="A200" s="24">
        <v>10112</v>
      </c>
      <c r="B200" s="24" t="s">
        <v>431</v>
      </c>
      <c r="C200" s="24" t="s">
        <v>403</v>
      </c>
      <c r="D200" s="24">
        <v>3</v>
      </c>
      <c r="E200" s="24">
        <v>0</v>
      </c>
      <c r="F200" s="24" t="s">
        <v>432</v>
      </c>
      <c r="G200" s="24">
        <v>1</v>
      </c>
      <c r="H200" s="24">
        <v>4</v>
      </c>
      <c r="I200" s="24">
        <v>0</v>
      </c>
      <c r="J200" s="24">
        <v>0</v>
      </c>
      <c r="K200" s="24">
        <v>0</v>
      </c>
      <c r="L200" s="24">
        <v>1</v>
      </c>
      <c r="M200" s="24">
        <v>1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</row>
    <row r="201" s="12" customFormat="1" spans="1:19">
      <c r="A201" s="24">
        <v>10113</v>
      </c>
      <c r="B201" s="24" t="s">
        <v>433</v>
      </c>
      <c r="C201" s="24" t="s">
        <v>406</v>
      </c>
      <c r="D201" s="24">
        <v>3</v>
      </c>
      <c r="E201" s="24">
        <v>0</v>
      </c>
      <c r="F201" s="24" t="s">
        <v>434</v>
      </c>
      <c r="G201" s="24">
        <v>1</v>
      </c>
      <c r="H201" s="24">
        <v>4</v>
      </c>
      <c r="I201" s="24">
        <v>0</v>
      </c>
      <c r="J201" s="24">
        <v>0</v>
      </c>
      <c r="K201" s="24">
        <v>0</v>
      </c>
      <c r="L201" s="24">
        <v>1</v>
      </c>
      <c r="M201" s="24">
        <v>1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</row>
    <row r="202" s="12" customFormat="1" spans="1:19">
      <c r="A202" s="24">
        <v>10114</v>
      </c>
      <c r="B202" s="24" t="s">
        <v>435</v>
      </c>
      <c r="C202" s="24" t="s">
        <v>409</v>
      </c>
      <c r="D202" s="24">
        <v>3</v>
      </c>
      <c r="E202" s="24">
        <v>0</v>
      </c>
      <c r="F202" s="24" t="s">
        <v>436</v>
      </c>
      <c r="G202" s="24">
        <v>1</v>
      </c>
      <c r="H202" s="24">
        <v>4</v>
      </c>
      <c r="I202" s="24">
        <v>0</v>
      </c>
      <c r="J202" s="24">
        <v>0</v>
      </c>
      <c r="K202" s="24">
        <v>0</v>
      </c>
      <c r="L202" s="24">
        <v>1</v>
      </c>
      <c r="M202" s="24">
        <v>1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</row>
    <row r="203" s="12" customFormat="1" spans="1:19">
      <c r="A203" s="24">
        <v>10115</v>
      </c>
      <c r="B203" s="24" t="s">
        <v>437</v>
      </c>
      <c r="C203" s="24" t="s">
        <v>412</v>
      </c>
      <c r="D203" s="24">
        <v>3</v>
      </c>
      <c r="E203" s="24">
        <v>0</v>
      </c>
      <c r="F203" s="24" t="s">
        <v>438</v>
      </c>
      <c r="G203" s="24">
        <v>1</v>
      </c>
      <c r="H203" s="24">
        <v>4</v>
      </c>
      <c r="I203" s="24">
        <v>0</v>
      </c>
      <c r="J203" s="24">
        <v>0</v>
      </c>
      <c r="K203" s="24">
        <v>0</v>
      </c>
      <c r="L203" s="24">
        <v>1</v>
      </c>
      <c r="M203" s="24">
        <v>1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</row>
    <row r="204" s="12" customFormat="1" spans="1:19">
      <c r="A204" s="24">
        <v>10116</v>
      </c>
      <c r="B204" s="24" t="s">
        <v>439</v>
      </c>
      <c r="C204" s="24" t="s">
        <v>415</v>
      </c>
      <c r="D204" s="24">
        <v>3</v>
      </c>
      <c r="E204" s="24">
        <v>0</v>
      </c>
      <c r="F204" s="24" t="s">
        <v>440</v>
      </c>
      <c r="G204" s="24">
        <v>1</v>
      </c>
      <c r="H204" s="24">
        <v>4</v>
      </c>
      <c r="I204" s="24">
        <v>0</v>
      </c>
      <c r="J204" s="24">
        <v>0</v>
      </c>
      <c r="K204" s="24">
        <v>0</v>
      </c>
      <c r="L204" s="24">
        <v>1</v>
      </c>
      <c r="M204" s="24">
        <v>1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</row>
    <row r="205" s="12" customFormat="1" spans="1:19">
      <c r="A205" s="24">
        <v>10117</v>
      </c>
      <c r="B205" s="24" t="s">
        <v>441</v>
      </c>
      <c r="C205" s="24" t="s">
        <v>418</v>
      </c>
      <c r="D205" s="24">
        <v>3</v>
      </c>
      <c r="E205" s="24">
        <v>0</v>
      </c>
      <c r="F205" s="24" t="s">
        <v>442</v>
      </c>
      <c r="G205" s="24">
        <v>1</v>
      </c>
      <c r="H205" s="24">
        <v>4</v>
      </c>
      <c r="I205" s="24">
        <v>0</v>
      </c>
      <c r="J205" s="24">
        <v>0</v>
      </c>
      <c r="K205" s="24">
        <v>0</v>
      </c>
      <c r="L205" s="24">
        <v>1</v>
      </c>
      <c r="M205" s="24">
        <v>1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</row>
    <row r="206" s="12" customFormat="1" spans="1:19">
      <c r="A206" s="24">
        <v>10118</v>
      </c>
      <c r="B206" s="24" t="s">
        <v>443</v>
      </c>
      <c r="C206" s="24" t="s">
        <v>421</v>
      </c>
      <c r="D206" s="24">
        <v>3</v>
      </c>
      <c r="E206" s="24">
        <v>0</v>
      </c>
      <c r="F206" s="24" t="s">
        <v>444</v>
      </c>
      <c r="G206" s="24">
        <v>1</v>
      </c>
      <c r="H206" s="24">
        <v>4</v>
      </c>
      <c r="I206" s="24">
        <v>0</v>
      </c>
      <c r="J206" s="24">
        <v>0</v>
      </c>
      <c r="K206" s="24">
        <v>0</v>
      </c>
      <c r="L206" s="24">
        <v>1</v>
      </c>
      <c r="M206" s="24">
        <v>1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</row>
    <row r="207" s="12" customFormat="1" spans="1:19">
      <c r="A207" s="24">
        <v>10119</v>
      </c>
      <c r="B207" s="24" t="s">
        <v>445</v>
      </c>
      <c r="C207" s="24" t="s">
        <v>424</v>
      </c>
      <c r="D207" s="24">
        <v>3</v>
      </c>
      <c r="E207" s="24">
        <v>0</v>
      </c>
      <c r="F207" s="24" t="s">
        <v>446</v>
      </c>
      <c r="G207" s="24">
        <v>1</v>
      </c>
      <c r="H207" s="24">
        <v>4</v>
      </c>
      <c r="I207" s="24">
        <v>0</v>
      </c>
      <c r="J207" s="24">
        <v>0</v>
      </c>
      <c r="K207" s="24">
        <v>0</v>
      </c>
      <c r="L207" s="24">
        <v>1</v>
      </c>
      <c r="M207" s="24">
        <v>1</v>
      </c>
      <c r="N207" s="24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</row>
    <row r="208" s="12" customFormat="1" spans="1:19">
      <c r="A208" s="24">
        <v>10120</v>
      </c>
      <c r="B208" s="24" t="s">
        <v>447</v>
      </c>
      <c r="C208" s="24" t="s">
        <v>427</v>
      </c>
      <c r="D208" s="24">
        <v>3</v>
      </c>
      <c r="E208" s="24">
        <v>0</v>
      </c>
      <c r="F208" s="24" t="s">
        <v>448</v>
      </c>
      <c r="G208" s="24">
        <v>1</v>
      </c>
      <c r="H208" s="24">
        <v>4</v>
      </c>
      <c r="I208" s="24">
        <v>0</v>
      </c>
      <c r="J208" s="24">
        <v>0</v>
      </c>
      <c r="K208" s="24">
        <v>0</v>
      </c>
      <c r="L208" s="24">
        <v>1</v>
      </c>
      <c r="M208" s="24">
        <v>1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</row>
    <row r="209" s="12" customFormat="1" spans="1:19">
      <c r="A209" s="24">
        <v>10121</v>
      </c>
      <c r="B209" s="24" t="s">
        <v>449</v>
      </c>
      <c r="C209" s="24" t="s">
        <v>400</v>
      </c>
      <c r="D209" s="24">
        <v>4</v>
      </c>
      <c r="E209" s="24">
        <v>0</v>
      </c>
      <c r="F209" s="24" t="s">
        <v>450</v>
      </c>
      <c r="G209" s="24">
        <v>1</v>
      </c>
      <c r="H209" s="24">
        <v>4</v>
      </c>
      <c r="I209" s="24">
        <v>0</v>
      </c>
      <c r="J209" s="24">
        <v>0</v>
      </c>
      <c r="K209" s="24">
        <v>0</v>
      </c>
      <c r="L209" s="24">
        <v>1</v>
      </c>
      <c r="M209" s="24">
        <v>1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</row>
    <row r="210" s="12" customFormat="1" spans="1:19">
      <c r="A210" s="24">
        <v>10122</v>
      </c>
      <c r="B210" s="24" t="s">
        <v>451</v>
      </c>
      <c r="C210" s="24" t="s">
        <v>403</v>
      </c>
      <c r="D210" s="24">
        <v>4</v>
      </c>
      <c r="E210" s="24">
        <v>0</v>
      </c>
      <c r="F210" s="24" t="s">
        <v>452</v>
      </c>
      <c r="G210" s="24">
        <v>1</v>
      </c>
      <c r="H210" s="24">
        <v>4</v>
      </c>
      <c r="I210" s="24">
        <v>0</v>
      </c>
      <c r="J210" s="24">
        <v>0</v>
      </c>
      <c r="K210" s="24">
        <v>0</v>
      </c>
      <c r="L210" s="24">
        <v>1</v>
      </c>
      <c r="M210" s="24">
        <v>1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</row>
    <row r="211" s="12" customFormat="1" spans="1:19">
      <c r="A211" s="24">
        <v>10123</v>
      </c>
      <c r="B211" s="24" t="s">
        <v>453</v>
      </c>
      <c r="C211" s="24" t="s">
        <v>406</v>
      </c>
      <c r="D211" s="24">
        <v>4</v>
      </c>
      <c r="E211" s="24">
        <v>0</v>
      </c>
      <c r="F211" s="24" t="s">
        <v>454</v>
      </c>
      <c r="G211" s="24">
        <v>1</v>
      </c>
      <c r="H211" s="24">
        <v>4</v>
      </c>
      <c r="I211" s="24">
        <v>0</v>
      </c>
      <c r="J211" s="24">
        <v>0</v>
      </c>
      <c r="K211" s="24">
        <v>0</v>
      </c>
      <c r="L211" s="24">
        <v>1</v>
      </c>
      <c r="M211" s="24">
        <v>1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</row>
    <row r="212" s="12" customFormat="1" spans="1:19">
      <c r="A212" s="24">
        <v>10124</v>
      </c>
      <c r="B212" s="24" t="s">
        <v>455</v>
      </c>
      <c r="C212" s="24" t="s">
        <v>409</v>
      </c>
      <c r="D212" s="24">
        <v>4</v>
      </c>
      <c r="E212" s="24">
        <v>0</v>
      </c>
      <c r="F212" s="24" t="s">
        <v>456</v>
      </c>
      <c r="G212" s="24">
        <v>1</v>
      </c>
      <c r="H212" s="24">
        <v>4</v>
      </c>
      <c r="I212" s="24">
        <v>0</v>
      </c>
      <c r="J212" s="24">
        <v>0</v>
      </c>
      <c r="K212" s="24">
        <v>0</v>
      </c>
      <c r="L212" s="24">
        <v>1</v>
      </c>
      <c r="M212" s="24">
        <v>1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</row>
    <row r="213" s="12" customFormat="1" spans="1:19">
      <c r="A213" s="24">
        <v>10125</v>
      </c>
      <c r="B213" s="24" t="s">
        <v>457</v>
      </c>
      <c r="C213" s="24" t="s">
        <v>412</v>
      </c>
      <c r="D213" s="24">
        <v>4</v>
      </c>
      <c r="E213" s="24">
        <v>0</v>
      </c>
      <c r="F213" s="24" t="s">
        <v>458</v>
      </c>
      <c r="G213" s="24">
        <v>1</v>
      </c>
      <c r="H213" s="24">
        <v>4</v>
      </c>
      <c r="I213" s="24">
        <v>0</v>
      </c>
      <c r="J213" s="24">
        <v>0</v>
      </c>
      <c r="K213" s="24">
        <v>0</v>
      </c>
      <c r="L213" s="24">
        <v>1</v>
      </c>
      <c r="M213" s="24">
        <v>1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</row>
    <row r="214" s="12" customFormat="1" spans="1:19">
      <c r="A214" s="24">
        <v>10126</v>
      </c>
      <c r="B214" s="24" t="s">
        <v>459</v>
      </c>
      <c r="C214" s="24" t="s">
        <v>415</v>
      </c>
      <c r="D214" s="24">
        <v>4</v>
      </c>
      <c r="E214" s="24">
        <v>0</v>
      </c>
      <c r="F214" s="24" t="s">
        <v>460</v>
      </c>
      <c r="G214" s="24">
        <v>1</v>
      </c>
      <c r="H214" s="24">
        <v>4</v>
      </c>
      <c r="I214" s="24">
        <v>0</v>
      </c>
      <c r="J214" s="24">
        <v>0</v>
      </c>
      <c r="K214" s="24">
        <v>0</v>
      </c>
      <c r="L214" s="24">
        <v>1</v>
      </c>
      <c r="M214" s="24">
        <v>1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</row>
    <row r="215" s="12" customFormat="1" spans="1:19">
      <c r="A215" s="24">
        <v>10127</v>
      </c>
      <c r="B215" s="24" t="s">
        <v>461</v>
      </c>
      <c r="C215" s="24" t="s">
        <v>418</v>
      </c>
      <c r="D215" s="24">
        <v>4</v>
      </c>
      <c r="E215" s="24">
        <v>0</v>
      </c>
      <c r="F215" s="24" t="s">
        <v>462</v>
      </c>
      <c r="G215" s="24">
        <v>1</v>
      </c>
      <c r="H215" s="24">
        <v>4</v>
      </c>
      <c r="I215" s="24">
        <v>0</v>
      </c>
      <c r="J215" s="24">
        <v>0</v>
      </c>
      <c r="K215" s="24">
        <v>0</v>
      </c>
      <c r="L215" s="24">
        <v>1</v>
      </c>
      <c r="M215" s="24">
        <v>1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</row>
    <row r="216" s="12" customFormat="1" spans="1:19">
      <c r="A216" s="24">
        <v>10128</v>
      </c>
      <c r="B216" s="24" t="s">
        <v>463</v>
      </c>
      <c r="C216" s="24" t="s">
        <v>421</v>
      </c>
      <c r="D216" s="24">
        <v>4</v>
      </c>
      <c r="E216" s="24">
        <v>0</v>
      </c>
      <c r="F216" s="24" t="s">
        <v>464</v>
      </c>
      <c r="G216" s="24">
        <v>1</v>
      </c>
      <c r="H216" s="24">
        <v>4</v>
      </c>
      <c r="I216" s="24">
        <v>0</v>
      </c>
      <c r="J216" s="24">
        <v>0</v>
      </c>
      <c r="K216" s="24">
        <v>0</v>
      </c>
      <c r="L216" s="24">
        <v>1</v>
      </c>
      <c r="M216" s="24">
        <v>1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</row>
    <row r="217" s="12" customFormat="1" spans="1:19">
      <c r="A217" s="24">
        <v>10129</v>
      </c>
      <c r="B217" s="24" t="s">
        <v>465</v>
      </c>
      <c r="C217" s="24" t="s">
        <v>424</v>
      </c>
      <c r="D217" s="24">
        <v>4</v>
      </c>
      <c r="E217" s="24">
        <v>0</v>
      </c>
      <c r="F217" s="24" t="s">
        <v>466</v>
      </c>
      <c r="G217" s="24">
        <v>1</v>
      </c>
      <c r="H217" s="24">
        <v>4</v>
      </c>
      <c r="I217" s="24">
        <v>0</v>
      </c>
      <c r="J217" s="24">
        <v>0</v>
      </c>
      <c r="K217" s="24">
        <v>0</v>
      </c>
      <c r="L217" s="24">
        <v>1</v>
      </c>
      <c r="M217" s="24">
        <v>1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</row>
    <row r="218" s="12" customFormat="1" spans="1:19">
      <c r="A218" s="24">
        <v>10130</v>
      </c>
      <c r="B218" s="24" t="s">
        <v>467</v>
      </c>
      <c r="C218" s="24" t="s">
        <v>427</v>
      </c>
      <c r="D218" s="24">
        <v>4</v>
      </c>
      <c r="E218" s="24">
        <v>0</v>
      </c>
      <c r="F218" s="24" t="s">
        <v>468</v>
      </c>
      <c r="G218" s="24">
        <v>1</v>
      </c>
      <c r="H218" s="24">
        <v>4</v>
      </c>
      <c r="I218" s="24">
        <v>0</v>
      </c>
      <c r="J218" s="24">
        <v>0</v>
      </c>
      <c r="K218" s="24">
        <v>0</v>
      </c>
      <c r="L218" s="24">
        <v>1</v>
      </c>
      <c r="M218" s="24">
        <v>1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</row>
    <row r="219" s="12" customFormat="1" spans="1:19">
      <c r="A219" s="24">
        <v>10201</v>
      </c>
      <c r="B219" s="24" t="s">
        <v>469</v>
      </c>
      <c r="C219" s="24" t="s">
        <v>470</v>
      </c>
      <c r="D219" s="24">
        <v>2</v>
      </c>
      <c r="E219" s="24">
        <v>0</v>
      </c>
      <c r="F219" s="24" t="s">
        <v>471</v>
      </c>
      <c r="G219" s="24">
        <v>1</v>
      </c>
      <c r="H219" s="24">
        <v>4</v>
      </c>
      <c r="I219" s="24">
        <v>0</v>
      </c>
      <c r="J219" s="24">
        <v>0</v>
      </c>
      <c r="K219" s="24">
        <v>50</v>
      </c>
      <c r="L219" s="24">
        <v>1</v>
      </c>
      <c r="M219" s="24">
        <v>1</v>
      </c>
      <c r="N219" s="24">
        <v>0</v>
      </c>
      <c r="O219" s="24">
        <v>0</v>
      </c>
      <c r="P219" s="24">
        <v>0</v>
      </c>
      <c r="Q219" s="24">
        <v>0</v>
      </c>
      <c r="R219" s="24">
        <v>0</v>
      </c>
      <c r="S219" s="24">
        <v>0</v>
      </c>
    </row>
    <row r="220" s="12" customFormat="1" spans="1:19">
      <c r="A220" s="24">
        <v>10202</v>
      </c>
      <c r="B220" s="24" t="s">
        <v>472</v>
      </c>
      <c r="C220" s="24" t="s">
        <v>470</v>
      </c>
      <c r="D220" s="24">
        <v>3</v>
      </c>
      <c r="E220" s="24">
        <v>0</v>
      </c>
      <c r="F220" s="24" t="s">
        <v>473</v>
      </c>
      <c r="G220" s="24">
        <v>1</v>
      </c>
      <c r="H220" s="24">
        <v>4</v>
      </c>
      <c r="I220" s="24">
        <v>0</v>
      </c>
      <c r="J220" s="24">
        <v>0</v>
      </c>
      <c r="K220" s="24">
        <v>100</v>
      </c>
      <c r="L220" s="24">
        <v>1</v>
      </c>
      <c r="M220" s="24">
        <v>1</v>
      </c>
      <c r="N220" s="24">
        <v>0</v>
      </c>
      <c r="O220" s="24">
        <v>0</v>
      </c>
      <c r="P220" s="24">
        <v>0</v>
      </c>
      <c r="Q220" s="24">
        <v>0</v>
      </c>
      <c r="R220" s="24">
        <v>0</v>
      </c>
      <c r="S220" s="24">
        <v>0</v>
      </c>
    </row>
    <row r="221" s="12" customFormat="1" spans="1:19">
      <c r="A221" s="24">
        <v>10203</v>
      </c>
      <c r="B221" s="24" t="s">
        <v>474</v>
      </c>
      <c r="C221" s="24" t="s">
        <v>470</v>
      </c>
      <c r="D221" s="24">
        <v>4</v>
      </c>
      <c r="E221" s="24">
        <v>0</v>
      </c>
      <c r="F221" s="24" t="s">
        <v>475</v>
      </c>
      <c r="G221" s="24">
        <v>1</v>
      </c>
      <c r="H221" s="24">
        <v>4</v>
      </c>
      <c r="I221" s="24">
        <v>0</v>
      </c>
      <c r="J221" s="24">
        <v>0</v>
      </c>
      <c r="K221" s="24">
        <v>200</v>
      </c>
      <c r="L221" s="24">
        <v>1</v>
      </c>
      <c r="M221" s="24">
        <v>1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</row>
    <row r="222" s="12" customFormat="1" spans="1:19">
      <c r="A222" s="24">
        <v>11001</v>
      </c>
      <c r="B222" s="24" t="s">
        <v>476</v>
      </c>
      <c r="C222" s="24" t="s">
        <v>477</v>
      </c>
      <c r="D222" s="24">
        <v>4</v>
      </c>
      <c r="E222" s="24">
        <v>0</v>
      </c>
      <c r="F222" s="24" t="s">
        <v>478</v>
      </c>
      <c r="G222" s="24">
        <v>1</v>
      </c>
      <c r="H222" s="24">
        <v>2</v>
      </c>
      <c r="I222" s="24">
        <v>0</v>
      </c>
      <c r="J222" s="24">
        <v>0</v>
      </c>
      <c r="K222" s="24">
        <v>0</v>
      </c>
      <c r="L222" s="24">
        <v>1</v>
      </c>
      <c r="M222" s="24">
        <f t="shared" ref="M222:M227" si="5">IF(G222=1,1,0)</f>
        <v>1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</row>
    <row r="223" s="12" customFormat="1" spans="1:19">
      <c r="A223" s="24">
        <v>11002</v>
      </c>
      <c r="B223" s="24" t="s">
        <v>479</v>
      </c>
      <c r="C223" s="24" t="s">
        <v>480</v>
      </c>
      <c r="D223" s="24">
        <v>4</v>
      </c>
      <c r="E223" s="24">
        <v>0</v>
      </c>
      <c r="F223" s="24" t="s">
        <v>481</v>
      </c>
      <c r="G223" s="24">
        <v>1</v>
      </c>
      <c r="H223" s="24">
        <v>4</v>
      </c>
      <c r="I223" s="24">
        <v>0</v>
      </c>
      <c r="J223" s="24" t="s">
        <v>482</v>
      </c>
      <c r="K223" s="24">
        <v>0</v>
      </c>
      <c r="L223" s="24">
        <v>1</v>
      </c>
      <c r="M223" s="24">
        <v>1</v>
      </c>
      <c r="N223" s="24">
        <v>1</v>
      </c>
      <c r="O223" s="24">
        <v>1</v>
      </c>
      <c r="P223" s="24">
        <v>0</v>
      </c>
      <c r="Q223" s="24">
        <v>0</v>
      </c>
      <c r="R223" s="24">
        <v>0</v>
      </c>
      <c r="S223" s="24">
        <v>0</v>
      </c>
    </row>
    <row r="224" spans="1:19">
      <c r="A224" s="24">
        <v>11003</v>
      </c>
      <c r="B224" s="24" t="s">
        <v>483</v>
      </c>
      <c r="C224" s="24" t="s">
        <v>484</v>
      </c>
      <c r="D224" s="24">
        <v>4</v>
      </c>
      <c r="E224" s="24">
        <v>0</v>
      </c>
      <c r="F224" s="24" t="s">
        <v>485</v>
      </c>
      <c r="G224" s="24">
        <v>1</v>
      </c>
      <c r="H224" s="24">
        <v>4</v>
      </c>
      <c r="I224" s="24">
        <v>0</v>
      </c>
      <c r="J224" s="24" t="s">
        <v>486</v>
      </c>
      <c r="K224" s="24">
        <v>0</v>
      </c>
      <c r="L224" s="24">
        <v>1</v>
      </c>
      <c r="M224" s="24">
        <f t="shared" si="5"/>
        <v>1</v>
      </c>
      <c r="N224" s="24">
        <v>1</v>
      </c>
      <c r="O224" s="24">
        <v>10</v>
      </c>
      <c r="P224" s="24">
        <v>0</v>
      </c>
      <c r="Q224" s="24">
        <v>0</v>
      </c>
      <c r="R224" s="24">
        <v>0</v>
      </c>
      <c r="S224" s="24">
        <v>0</v>
      </c>
    </row>
    <row r="225" spans="1:19">
      <c r="A225" s="24">
        <v>11004</v>
      </c>
      <c r="B225" s="24" t="s">
        <v>487</v>
      </c>
      <c r="C225" s="24" t="s">
        <v>488</v>
      </c>
      <c r="D225" s="24">
        <v>4</v>
      </c>
      <c r="E225" s="24">
        <v>0</v>
      </c>
      <c r="F225" s="24" t="s">
        <v>48</v>
      </c>
      <c r="G225" s="24">
        <v>1</v>
      </c>
      <c r="H225" s="24">
        <v>4</v>
      </c>
      <c r="I225" s="24">
        <v>0</v>
      </c>
      <c r="J225" s="33" t="s">
        <v>489</v>
      </c>
      <c r="K225" s="24">
        <v>0</v>
      </c>
      <c r="L225" s="24">
        <v>1</v>
      </c>
      <c r="M225" s="24">
        <f t="shared" si="5"/>
        <v>1</v>
      </c>
      <c r="N225" s="24">
        <v>1</v>
      </c>
      <c r="O225" s="24">
        <v>0</v>
      </c>
      <c r="P225" s="24">
        <v>0</v>
      </c>
      <c r="Q225" s="24">
        <v>0</v>
      </c>
      <c r="R225" s="24">
        <v>0</v>
      </c>
      <c r="S225" s="24">
        <v>0</v>
      </c>
    </row>
    <row r="226" spans="1:19">
      <c r="A226" s="24">
        <v>11005</v>
      </c>
      <c r="B226" s="24" t="s">
        <v>67</v>
      </c>
      <c r="C226" s="24" t="s">
        <v>490</v>
      </c>
      <c r="D226" s="24">
        <v>4</v>
      </c>
      <c r="E226" s="24">
        <v>0</v>
      </c>
      <c r="F226" s="24" t="s">
        <v>69</v>
      </c>
      <c r="G226" s="24">
        <v>1</v>
      </c>
      <c r="H226" s="24">
        <v>4</v>
      </c>
      <c r="I226" s="24">
        <v>0</v>
      </c>
      <c r="J226" s="33" t="s">
        <v>491</v>
      </c>
      <c r="K226" s="24">
        <v>0</v>
      </c>
      <c r="L226" s="24">
        <v>1</v>
      </c>
      <c r="M226" s="24">
        <f t="shared" si="5"/>
        <v>1</v>
      </c>
      <c r="N226" s="24">
        <v>1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</row>
    <row r="227" spans="1:19">
      <c r="A227" s="24">
        <v>11006</v>
      </c>
      <c r="B227" s="24" t="s">
        <v>492</v>
      </c>
      <c r="C227" s="24" t="s">
        <v>493</v>
      </c>
      <c r="D227" s="24">
        <v>3</v>
      </c>
      <c r="E227" s="24">
        <v>0</v>
      </c>
      <c r="F227" s="24" t="s">
        <v>494</v>
      </c>
      <c r="G227" s="24">
        <v>1</v>
      </c>
      <c r="H227" s="24">
        <v>4</v>
      </c>
      <c r="I227" s="24">
        <v>0</v>
      </c>
      <c r="J227" s="33" t="s">
        <v>495</v>
      </c>
      <c r="K227" s="24">
        <v>0</v>
      </c>
      <c r="L227" s="24">
        <v>1</v>
      </c>
      <c r="M227" s="24">
        <f t="shared" si="5"/>
        <v>1</v>
      </c>
      <c r="N227" s="24">
        <v>1</v>
      </c>
      <c r="O227" s="24">
        <v>0</v>
      </c>
      <c r="P227" s="24">
        <v>0</v>
      </c>
      <c r="Q227" s="24">
        <v>0</v>
      </c>
      <c r="R227" s="24">
        <v>0</v>
      </c>
      <c r="S227" s="24">
        <v>0</v>
      </c>
    </row>
    <row r="228" spans="1:19">
      <c r="A228" s="24">
        <v>20001</v>
      </c>
      <c r="B228" s="24" t="s">
        <v>496</v>
      </c>
      <c r="C228" s="24" t="s">
        <v>497</v>
      </c>
      <c r="D228" s="24">
        <v>1</v>
      </c>
      <c r="E228" s="24">
        <v>0</v>
      </c>
      <c r="F228" s="24" t="s">
        <v>498</v>
      </c>
      <c r="G228" s="24">
        <v>1</v>
      </c>
      <c r="H228" s="24">
        <v>5</v>
      </c>
      <c r="I228" s="24">
        <v>0</v>
      </c>
      <c r="J228" s="24">
        <v>0</v>
      </c>
      <c r="K228" s="33" t="s">
        <v>499</v>
      </c>
      <c r="L228" s="24">
        <v>1</v>
      </c>
      <c r="M228" s="24">
        <f t="shared" ref="M228:M236" si="6">IF(G228=1,1,0)</f>
        <v>1</v>
      </c>
      <c r="N228" s="24">
        <v>0</v>
      </c>
      <c r="O228" s="24">
        <v>0</v>
      </c>
      <c r="P228" s="24">
        <v>0</v>
      </c>
      <c r="Q228" s="24">
        <v>0</v>
      </c>
      <c r="R228" s="24">
        <v>0</v>
      </c>
      <c r="S228" s="24">
        <v>0</v>
      </c>
    </row>
    <row r="229" spans="1:19">
      <c r="A229" s="24">
        <v>20002</v>
      </c>
      <c r="B229" s="24" t="s">
        <v>500</v>
      </c>
      <c r="C229" s="24" t="s">
        <v>501</v>
      </c>
      <c r="D229" s="24">
        <v>2</v>
      </c>
      <c r="E229" s="24">
        <v>0</v>
      </c>
      <c r="F229" s="24" t="s">
        <v>502</v>
      </c>
      <c r="G229" s="24">
        <v>1</v>
      </c>
      <c r="H229" s="24">
        <v>5</v>
      </c>
      <c r="I229" s="24">
        <v>0</v>
      </c>
      <c r="J229" s="24">
        <v>0</v>
      </c>
      <c r="K229" s="33" t="s">
        <v>503</v>
      </c>
      <c r="L229" s="24">
        <v>1</v>
      </c>
      <c r="M229" s="24">
        <f t="shared" si="6"/>
        <v>1</v>
      </c>
      <c r="N229" s="24">
        <v>0</v>
      </c>
      <c r="O229" s="24">
        <v>0</v>
      </c>
      <c r="P229" s="24">
        <v>0</v>
      </c>
      <c r="Q229" s="24">
        <v>0</v>
      </c>
      <c r="R229" s="24">
        <v>0</v>
      </c>
      <c r="S229" s="24">
        <v>0</v>
      </c>
    </row>
    <row r="230" spans="1:19">
      <c r="A230" s="24">
        <v>20003</v>
      </c>
      <c r="B230" s="24" t="s">
        <v>504</v>
      </c>
      <c r="C230" s="24" t="s">
        <v>505</v>
      </c>
      <c r="D230" s="24">
        <v>3</v>
      </c>
      <c r="E230" s="24">
        <v>0</v>
      </c>
      <c r="F230" s="24" t="s">
        <v>506</v>
      </c>
      <c r="G230" s="24">
        <v>1</v>
      </c>
      <c r="H230" s="24">
        <v>5</v>
      </c>
      <c r="I230" s="24">
        <v>0</v>
      </c>
      <c r="J230" s="24">
        <v>0</v>
      </c>
      <c r="K230" s="33" t="s">
        <v>507</v>
      </c>
      <c r="L230" s="24">
        <v>1</v>
      </c>
      <c r="M230" s="24">
        <f t="shared" si="6"/>
        <v>1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</row>
    <row r="231" spans="1:19">
      <c r="A231" s="24">
        <v>20004</v>
      </c>
      <c r="B231" s="24" t="s">
        <v>508</v>
      </c>
      <c r="C231" s="24" t="s">
        <v>509</v>
      </c>
      <c r="D231" s="24">
        <v>4</v>
      </c>
      <c r="E231" s="24">
        <v>0</v>
      </c>
      <c r="F231" s="24" t="s">
        <v>510</v>
      </c>
      <c r="G231" s="24">
        <v>1</v>
      </c>
      <c r="H231" s="24">
        <v>5</v>
      </c>
      <c r="I231" s="24">
        <v>0</v>
      </c>
      <c r="J231" s="24">
        <v>0</v>
      </c>
      <c r="K231" s="33" t="s">
        <v>511</v>
      </c>
      <c r="L231" s="24">
        <v>1</v>
      </c>
      <c r="M231" s="24">
        <f t="shared" si="6"/>
        <v>1</v>
      </c>
      <c r="N231" s="24">
        <v>0</v>
      </c>
      <c r="O231" s="24">
        <v>0</v>
      </c>
      <c r="P231" s="24">
        <v>0</v>
      </c>
      <c r="Q231" s="24">
        <v>0</v>
      </c>
      <c r="R231" s="24">
        <v>0</v>
      </c>
      <c r="S231" s="24">
        <v>0</v>
      </c>
    </row>
    <row r="232" ht="14.25" spans="1:19">
      <c r="A232" s="24">
        <v>30001</v>
      </c>
      <c r="B232" s="24" t="s">
        <v>512</v>
      </c>
      <c r="C232" s="24" t="s">
        <v>513</v>
      </c>
      <c r="D232" s="24">
        <v>4</v>
      </c>
      <c r="E232" s="24">
        <v>0</v>
      </c>
      <c r="F232" s="24" t="s">
        <v>514</v>
      </c>
      <c r="G232" s="24">
        <v>1</v>
      </c>
      <c r="H232" s="24">
        <v>4</v>
      </c>
      <c r="I232" s="24">
        <v>0</v>
      </c>
      <c r="J232" s="34" t="s">
        <v>515</v>
      </c>
      <c r="K232" s="24">
        <v>0</v>
      </c>
      <c r="L232" s="24">
        <v>1</v>
      </c>
      <c r="M232" s="24">
        <v>1</v>
      </c>
      <c r="N232" s="24">
        <v>2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</row>
    <row r="233" ht="14.25" spans="1:19">
      <c r="A233" s="24">
        <v>30002</v>
      </c>
      <c r="B233" s="24" t="s">
        <v>516</v>
      </c>
      <c r="C233" s="24" t="s">
        <v>517</v>
      </c>
      <c r="D233" s="24">
        <v>4</v>
      </c>
      <c r="E233" s="24">
        <v>0</v>
      </c>
      <c r="F233" s="24" t="s">
        <v>518</v>
      </c>
      <c r="G233" s="24">
        <v>1</v>
      </c>
      <c r="H233" s="24">
        <v>4</v>
      </c>
      <c r="I233" s="24">
        <v>0</v>
      </c>
      <c r="J233" s="34" t="s">
        <v>519</v>
      </c>
      <c r="K233" s="24">
        <v>0</v>
      </c>
      <c r="L233" s="24">
        <v>1</v>
      </c>
      <c r="M233" s="24">
        <v>1</v>
      </c>
      <c r="N233" s="24">
        <v>2</v>
      </c>
      <c r="O233" s="24">
        <v>0</v>
      </c>
      <c r="P233" s="24">
        <v>0</v>
      </c>
      <c r="Q233" s="24">
        <v>0</v>
      </c>
      <c r="R233" s="24">
        <v>0</v>
      </c>
      <c r="S233" s="24">
        <v>0</v>
      </c>
    </row>
    <row r="234" ht="14.25" spans="1:19">
      <c r="A234" s="24">
        <v>30003</v>
      </c>
      <c r="B234" s="24" t="s">
        <v>520</v>
      </c>
      <c r="C234" s="24" t="s">
        <v>521</v>
      </c>
      <c r="D234" s="24">
        <v>4</v>
      </c>
      <c r="E234" s="24">
        <v>0</v>
      </c>
      <c r="F234" s="24" t="s">
        <v>522</v>
      </c>
      <c r="G234" s="24">
        <v>1</v>
      </c>
      <c r="H234" s="24">
        <v>4</v>
      </c>
      <c r="I234" s="24">
        <v>0</v>
      </c>
      <c r="J234" s="34" t="s">
        <v>523</v>
      </c>
      <c r="K234" s="24">
        <v>0</v>
      </c>
      <c r="L234" s="24">
        <v>1</v>
      </c>
      <c r="M234" s="24">
        <v>1</v>
      </c>
      <c r="N234" s="24">
        <v>2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</row>
    <row r="235" ht="14.25" spans="1:19">
      <c r="A235" s="24">
        <v>30004</v>
      </c>
      <c r="B235" s="24" t="s">
        <v>524</v>
      </c>
      <c r="C235" s="24" t="s">
        <v>525</v>
      </c>
      <c r="D235" s="24">
        <v>4</v>
      </c>
      <c r="E235" s="24">
        <v>0</v>
      </c>
      <c r="F235" s="24" t="s">
        <v>526</v>
      </c>
      <c r="G235" s="24">
        <v>1</v>
      </c>
      <c r="H235" s="24">
        <v>4</v>
      </c>
      <c r="I235" s="24">
        <v>0</v>
      </c>
      <c r="J235" s="34" t="s">
        <v>527</v>
      </c>
      <c r="K235" s="24">
        <v>0</v>
      </c>
      <c r="L235" s="24">
        <v>1</v>
      </c>
      <c r="M235" s="24">
        <v>1</v>
      </c>
      <c r="N235" s="24">
        <v>2</v>
      </c>
      <c r="O235" s="24">
        <v>0</v>
      </c>
      <c r="P235" s="24">
        <v>0</v>
      </c>
      <c r="Q235" s="24">
        <v>0</v>
      </c>
      <c r="R235" s="24">
        <v>0</v>
      </c>
      <c r="S235" s="24">
        <v>0</v>
      </c>
    </row>
    <row r="236" ht="14.25" spans="1:19">
      <c r="A236" s="24">
        <v>30005</v>
      </c>
      <c r="B236" s="24" t="s">
        <v>528</v>
      </c>
      <c r="C236" s="24" t="s">
        <v>529</v>
      </c>
      <c r="D236" s="24">
        <v>4</v>
      </c>
      <c r="E236" s="24">
        <v>0</v>
      </c>
      <c r="F236" s="24" t="s">
        <v>530</v>
      </c>
      <c r="G236" s="24">
        <v>1</v>
      </c>
      <c r="H236" s="24">
        <v>4</v>
      </c>
      <c r="I236" s="24">
        <v>0</v>
      </c>
      <c r="J236" s="34" t="s">
        <v>531</v>
      </c>
      <c r="K236" s="24">
        <v>0</v>
      </c>
      <c r="L236" s="24">
        <v>1</v>
      </c>
      <c r="M236" s="24">
        <v>1</v>
      </c>
      <c r="N236" s="24">
        <v>2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</row>
    <row r="237" ht="14.25" spans="1:19">
      <c r="A237" s="24">
        <v>30006</v>
      </c>
      <c r="B237" s="24" t="s">
        <v>532</v>
      </c>
      <c r="C237" s="24" t="s">
        <v>533</v>
      </c>
      <c r="D237" s="24">
        <v>2</v>
      </c>
      <c r="E237" s="24">
        <v>0</v>
      </c>
      <c r="F237" s="24" t="s">
        <v>518</v>
      </c>
      <c r="G237" s="24">
        <v>1</v>
      </c>
      <c r="H237" s="24">
        <v>4</v>
      </c>
      <c r="I237" s="24">
        <v>0</v>
      </c>
      <c r="J237" s="34" t="s">
        <v>534</v>
      </c>
      <c r="K237" s="24">
        <v>0</v>
      </c>
      <c r="L237" s="24">
        <v>1</v>
      </c>
      <c r="M237" s="24">
        <v>1</v>
      </c>
      <c r="N237" s="24">
        <v>2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</row>
    <row r="238" ht="14.25" spans="1:19">
      <c r="A238" s="24">
        <v>30007</v>
      </c>
      <c r="B238" s="24" t="s">
        <v>535</v>
      </c>
      <c r="C238" s="24" t="s">
        <v>536</v>
      </c>
      <c r="D238" s="24">
        <v>3</v>
      </c>
      <c r="E238" s="24">
        <v>0</v>
      </c>
      <c r="F238" s="24" t="s">
        <v>518</v>
      </c>
      <c r="G238" s="24">
        <v>1</v>
      </c>
      <c r="H238" s="24">
        <v>4</v>
      </c>
      <c r="I238" s="24">
        <v>0</v>
      </c>
      <c r="J238" s="34" t="s">
        <v>537</v>
      </c>
      <c r="K238" s="24">
        <v>0</v>
      </c>
      <c r="L238" s="24">
        <v>1</v>
      </c>
      <c r="M238" s="24">
        <v>1</v>
      </c>
      <c r="N238" s="24">
        <v>2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</row>
    <row r="239" ht="14.25" spans="1:19">
      <c r="A239" s="24">
        <v>30008</v>
      </c>
      <c r="B239" s="24" t="s">
        <v>538</v>
      </c>
      <c r="C239" s="24" t="s">
        <v>539</v>
      </c>
      <c r="D239" s="24">
        <v>3</v>
      </c>
      <c r="E239" s="24">
        <v>0</v>
      </c>
      <c r="F239" s="24" t="s">
        <v>514</v>
      </c>
      <c r="G239" s="24">
        <v>1</v>
      </c>
      <c r="H239" s="24">
        <v>4</v>
      </c>
      <c r="I239" s="24">
        <v>0</v>
      </c>
      <c r="J239" s="34" t="s">
        <v>540</v>
      </c>
      <c r="K239" s="24">
        <v>0</v>
      </c>
      <c r="L239" s="24">
        <v>1</v>
      </c>
      <c r="M239" s="24">
        <v>1</v>
      </c>
      <c r="N239" s="24">
        <v>3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</row>
    <row r="240" ht="14.25" spans="1:19">
      <c r="A240" s="24">
        <v>30009</v>
      </c>
      <c r="B240" s="24" t="s">
        <v>541</v>
      </c>
      <c r="C240" s="24" t="s">
        <v>542</v>
      </c>
      <c r="D240" s="24">
        <v>3</v>
      </c>
      <c r="E240" s="24">
        <v>0</v>
      </c>
      <c r="F240" s="24" t="s">
        <v>518</v>
      </c>
      <c r="G240" s="24">
        <v>1</v>
      </c>
      <c r="H240" s="24">
        <v>4</v>
      </c>
      <c r="I240" s="24">
        <v>0</v>
      </c>
      <c r="J240" s="34" t="s">
        <v>543</v>
      </c>
      <c r="K240" s="24">
        <v>0</v>
      </c>
      <c r="L240" s="24">
        <v>1</v>
      </c>
      <c r="M240" s="24">
        <v>1</v>
      </c>
      <c r="N240" s="24">
        <v>3</v>
      </c>
      <c r="O240" s="24">
        <v>0</v>
      </c>
      <c r="P240" s="24">
        <v>0</v>
      </c>
      <c r="Q240" s="24">
        <v>0</v>
      </c>
      <c r="R240" s="24">
        <v>0</v>
      </c>
      <c r="S240" s="24">
        <v>0</v>
      </c>
    </row>
    <row r="241" ht="14.25" spans="1:19">
      <c r="A241" s="24">
        <v>30010</v>
      </c>
      <c r="B241" s="24" t="s">
        <v>544</v>
      </c>
      <c r="C241" s="24" t="s">
        <v>545</v>
      </c>
      <c r="D241" s="24">
        <v>4</v>
      </c>
      <c r="E241" s="24">
        <v>0</v>
      </c>
      <c r="F241" s="24" t="s">
        <v>514</v>
      </c>
      <c r="G241" s="24">
        <v>1</v>
      </c>
      <c r="H241" s="24">
        <v>4</v>
      </c>
      <c r="I241" s="24">
        <v>0</v>
      </c>
      <c r="J241" s="34" t="s">
        <v>546</v>
      </c>
      <c r="K241" s="24">
        <v>0</v>
      </c>
      <c r="L241" s="24">
        <v>1</v>
      </c>
      <c r="M241" s="24">
        <v>1</v>
      </c>
      <c r="N241" s="24">
        <v>3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</row>
    <row r="242" ht="14.25" spans="1:19">
      <c r="A242" s="24">
        <v>30011</v>
      </c>
      <c r="B242" s="24" t="s">
        <v>547</v>
      </c>
      <c r="C242" s="24" t="s">
        <v>548</v>
      </c>
      <c r="D242" s="24">
        <v>4</v>
      </c>
      <c r="E242" s="24">
        <v>0</v>
      </c>
      <c r="F242" s="24" t="s">
        <v>518</v>
      </c>
      <c r="G242" s="24">
        <v>1</v>
      </c>
      <c r="H242" s="24">
        <v>4</v>
      </c>
      <c r="I242" s="24">
        <v>0</v>
      </c>
      <c r="J242" s="34" t="s">
        <v>549</v>
      </c>
      <c r="K242" s="24">
        <v>0</v>
      </c>
      <c r="L242" s="24">
        <v>1</v>
      </c>
      <c r="M242" s="24">
        <v>1</v>
      </c>
      <c r="N242" s="24">
        <v>3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</row>
    <row r="243" ht="14.25" spans="1:19">
      <c r="A243" s="24">
        <v>30012</v>
      </c>
      <c r="B243" s="24" t="s">
        <v>550</v>
      </c>
      <c r="C243" s="24" t="s">
        <v>551</v>
      </c>
      <c r="D243" s="24">
        <v>2</v>
      </c>
      <c r="E243" s="24">
        <v>0</v>
      </c>
      <c r="F243" s="24" t="s">
        <v>518</v>
      </c>
      <c r="G243" s="24">
        <v>1</v>
      </c>
      <c r="H243" s="24">
        <v>4</v>
      </c>
      <c r="I243" s="24">
        <v>0</v>
      </c>
      <c r="J243" s="34" t="s">
        <v>552</v>
      </c>
      <c r="K243" s="24">
        <v>0</v>
      </c>
      <c r="L243" s="24">
        <v>1</v>
      </c>
      <c r="M243" s="24">
        <v>1</v>
      </c>
      <c r="N243" s="24">
        <v>4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</row>
    <row r="244" ht="14.25" spans="1:19">
      <c r="A244" s="24">
        <v>30013</v>
      </c>
      <c r="B244" s="24" t="s">
        <v>553</v>
      </c>
      <c r="C244" s="24" t="s">
        <v>554</v>
      </c>
      <c r="D244" s="24">
        <v>3</v>
      </c>
      <c r="E244" s="24">
        <v>0</v>
      </c>
      <c r="F244" s="24" t="s">
        <v>518</v>
      </c>
      <c r="G244" s="24">
        <v>1</v>
      </c>
      <c r="H244" s="24">
        <v>4</v>
      </c>
      <c r="I244" s="24">
        <v>0</v>
      </c>
      <c r="J244" s="34" t="s">
        <v>555</v>
      </c>
      <c r="K244" s="24">
        <v>0</v>
      </c>
      <c r="L244" s="24">
        <v>1</v>
      </c>
      <c r="M244" s="24">
        <v>1</v>
      </c>
      <c r="N244" s="24">
        <v>4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</row>
    <row r="245" ht="14.25" spans="1:19">
      <c r="A245" s="24">
        <v>30014</v>
      </c>
      <c r="B245" s="24" t="s">
        <v>556</v>
      </c>
      <c r="C245" s="24" t="s">
        <v>557</v>
      </c>
      <c r="D245" s="24">
        <v>4</v>
      </c>
      <c r="E245" s="24">
        <v>0</v>
      </c>
      <c r="F245" s="24" t="s">
        <v>518</v>
      </c>
      <c r="G245" s="24">
        <v>1</v>
      </c>
      <c r="H245" s="24">
        <v>4</v>
      </c>
      <c r="I245" s="24">
        <v>0</v>
      </c>
      <c r="J245" s="34" t="s">
        <v>558</v>
      </c>
      <c r="K245" s="24">
        <v>0</v>
      </c>
      <c r="L245" s="24">
        <v>1</v>
      </c>
      <c r="M245" s="24">
        <v>1</v>
      </c>
      <c r="N245" s="24">
        <v>4</v>
      </c>
      <c r="O245" s="24">
        <v>0</v>
      </c>
      <c r="P245" s="24">
        <v>0</v>
      </c>
      <c r="Q245" s="24">
        <v>0</v>
      </c>
      <c r="R245" s="24">
        <v>0</v>
      </c>
      <c r="S245" s="24">
        <v>0</v>
      </c>
    </row>
    <row r="246" ht="14.25" spans="1:19">
      <c r="A246" s="24">
        <v>30015</v>
      </c>
      <c r="B246" s="24" t="s">
        <v>559</v>
      </c>
      <c r="C246" s="24" t="s">
        <v>560</v>
      </c>
      <c r="D246" s="24">
        <v>4</v>
      </c>
      <c r="E246" s="24">
        <v>0</v>
      </c>
      <c r="F246" s="24" t="s">
        <v>518</v>
      </c>
      <c r="G246" s="24">
        <v>1</v>
      </c>
      <c r="H246" s="24">
        <v>4</v>
      </c>
      <c r="I246" s="24">
        <v>0</v>
      </c>
      <c r="J246" s="34" t="s">
        <v>561</v>
      </c>
      <c r="K246" s="24">
        <v>0</v>
      </c>
      <c r="L246" s="24">
        <v>1</v>
      </c>
      <c r="M246" s="24">
        <v>1</v>
      </c>
      <c r="N246" s="24">
        <v>4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</row>
    <row r="247" spans="1:19">
      <c r="A247" s="24">
        <v>101001</v>
      </c>
      <c r="B247" s="24" t="s">
        <v>562</v>
      </c>
      <c r="C247" s="24" t="s">
        <v>563</v>
      </c>
      <c r="D247" s="24">
        <v>2</v>
      </c>
      <c r="E247" s="24">
        <v>0</v>
      </c>
      <c r="F247" s="24" t="s">
        <v>564</v>
      </c>
      <c r="G247" s="24">
        <v>1</v>
      </c>
      <c r="H247" s="24">
        <v>3</v>
      </c>
      <c r="I247" s="24">
        <v>0</v>
      </c>
      <c r="J247" s="24">
        <v>11001</v>
      </c>
      <c r="K247" s="24" t="s">
        <v>565</v>
      </c>
      <c r="L247" s="24">
        <v>1</v>
      </c>
      <c r="M247" s="24">
        <f t="shared" ref="M247:M272" si="7">IF(G247=1,1,0)</f>
        <v>1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</row>
    <row r="248" spans="1:19">
      <c r="A248" s="24">
        <v>102001</v>
      </c>
      <c r="B248" s="24" t="s">
        <v>566</v>
      </c>
      <c r="C248" s="24" t="s">
        <v>563</v>
      </c>
      <c r="D248" s="24">
        <v>2</v>
      </c>
      <c r="E248" s="24">
        <v>0</v>
      </c>
      <c r="F248" s="24" t="s">
        <v>567</v>
      </c>
      <c r="G248" s="24">
        <v>1</v>
      </c>
      <c r="H248" s="24">
        <v>3</v>
      </c>
      <c r="I248" s="24">
        <v>0</v>
      </c>
      <c r="J248" s="24">
        <v>12001</v>
      </c>
      <c r="K248" s="24" t="s">
        <v>565</v>
      </c>
      <c r="L248" s="24">
        <v>1</v>
      </c>
      <c r="M248" s="24">
        <f t="shared" si="7"/>
        <v>1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</row>
    <row r="249" spans="1:19">
      <c r="A249" s="24">
        <v>103001</v>
      </c>
      <c r="B249" s="24" t="s">
        <v>568</v>
      </c>
      <c r="C249" s="24" t="s">
        <v>563</v>
      </c>
      <c r="D249" s="24">
        <v>2</v>
      </c>
      <c r="E249" s="24">
        <v>0</v>
      </c>
      <c r="F249" s="24" t="s">
        <v>569</v>
      </c>
      <c r="G249" s="24">
        <v>1</v>
      </c>
      <c r="H249" s="24">
        <v>3</v>
      </c>
      <c r="I249" s="24">
        <v>0</v>
      </c>
      <c r="J249" s="24">
        <v>13001</v>
      </c>
      <c r="K249" s="24" t="s">
        <v>565</v>
      </c>
      <c r="L249" s="24">
        <v>1</v>
      </c>
      <c r="M249" s="24">
        <f t="shared" si="7"/>
        <v>1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</row>
    <row r="250" spans="1:19">
      <c r="A250" s="24">
        <v>104001</v>
      </c>
      <c r="B250" s="24" t="s">
        <v>570</v>
      </c>
      <c r="C250" s="24" t="s">
        <v>563</v>
      </c>
      <c r="D250" s="24">
        <v>2</v>
      </c>
      <c r="E250" s="24">
        <v>0</v>
      </c>
      <c r="F250" s="24" t="s">
        <v>571</v>
      </c>
      <c r="G250" s="24">
        <v>1</v>
      </c>
      <c r="H250" s="24">
        <v>3</v>
      </c>
      <c r="I250" s="24">
        <v>0</v>
      </c>
      <c r="J250" s="24">
        <v>14001</v>
      </c>
      <c r="K250" s="24" t="s">
        <v>565</v>
      </c>
      <c r="L250" s="24">
        <v>1</v>
      </c>
      <c r="M250" s="24">
        <f t="shared" si="7"/>
        <v>1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</row>
    <row r="251" spans="1:19">
      <c r="A251" s="24">
        <v>105001</v>
      </c>
      <c r="B251" s="24" t="s">
        <v>572</v>
      </c>
      <c r="C251" s="24" t="s">
        <v>563</v>
      </c>
      <c r="D251" s="24">
        <v>2</v>
      </c>
      <c r="E251" s="24">
        <v>0</v>
      </c>
      <c r="F251" s="24" t="s">
        <v>573</v>
      </c>
      <c r="G251" s="24">
        <v>1</v>
      </c>
      <c r="H251" s="24">
        <v>3</v>
      </c>
      <c r="I251" s="24">
        <v>0</v>
      </c>
      <c r="J251" s="24">
        <v>15001</v>
      </c>
      <c r="K251" s="24" t="s">
        <v>565</v>
      </c>
      <c r="L251" s="24">
        <v>1</v>
      </c>
      <c r="M251" s="24">
        <f t="shared" si="7"/>
        <v>1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</row>
    <row r="252" spans="1:19">
      <c r="A252" s="24">
        <v>106001</v>
      </c>
      <c r="B252" s="24" t="s">
        <v>574</v>
      </c>
      <c r="C252" s="24" t="s">
        <v>563</v>
      </c>
      <c r="D252" s="24">
        <v>2</v>
      </c>
      <c r="E252" s="24">
        <v>0</v>
      </c>
      <c r="F252" s="24" t="s">
        <v>575</v>
      </c>
      <c r="G252" s="24">
        <v>1</v>
      </c>
      <c r="H252" s="24">
        <v>3</v>
      </c>
      <c r="I252" s="24">
        <v>0</v>
      </c>
      <c r="J252" s="24">
        <v>16001</v>
      </c>
      <c r="K252" s="24" t="s">
        <v>565</v>
      </c>
      <c r="L252" s="24">
        <v>1</v>
      </c>
      <c r="M252" s="24">
        <f t="shared" si="7"/>
        <v>1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</row>
    <row r="253" spans="1:19">
      <c r="A253" s="24">
        <v>201001</v>
      </c>
      <c r="B253" s="24" t="s">
        <v>576</v>
      </c>
      <c r="C253" s="24" t="s">
        <v>563</v>
      </c>
      <c r="D253" s="24">
        <v>3</v>
      </c>
      <c r="E253" s="24">
        <v>0</v>
      </c>
      <c r="F253" s="24" t="s">
        <v>577</v>
      </c>
      <c r="G253" s="24">
        <v>1</v>
      </c>
      <c r="H253" s="24">
        <v>3</v>
      </c>
      <c r="I253" s="24">
        <v>0</v>
      </c>
      <c r="J253" s="24">
        <v>21001</v>
      </c>
      <c r="K253" s="24" t="s">
        <v>578</v>
      </c>
      <c r="L253" s="24">
        <v>1</v>
      </c>
      <c r="M253" s="24">
        <f t="shared" si="7"/>
        <v>1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</row>
    <row r="254" spans="1:19">
      <c r="A254" s="24">
        <v>202001</v>
      </c>
      <c r="B254" s="24" t="s">
        <v>579</v>
      </c>
      <c r="C254" s="24" t="s">
        <v>563</v>
      </c>
      <c r="D254" s="24">
        <v>3</v>
      </c>
      <c r="E254" s="24">
        <v>0</v>
      </c>
      <c r="F254" s="24" t="s">
        <v>580</v>
      </c>
      <c r="G254" s="24">
        <v>1</v>
      </c>
      <c r="H254" s="24">
        <v>3</v>
      </c>
      <c r="I254" s="24">
        <v>0</v>
      </c>
      <c r="J254" s="24">
        <v>22001</v>
      </c>
      <c r="K254" s="24" t="s">
        <v>578</v>
      </c>
      <c r="L254" s="24">
        <v>1</v>
      </c>
      <c r="M254" s="24">
        <f t="shared" si="7"/>
        <v>1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</row>
    <row r="255" spans="1:19">
      <c r="A255" s="24">
        <v>203001</v>
      </c>
      <c r="B255" s="24" t="s">
        <v>581</v>
      </c>
      <c r="C255" s="24" t="s">
        <v>563</v>
      </c>
      <c r="D255" s="24">
        <v>3</v>
      </c>
      <c r="E255" s="24">
        <v>0</v>
      </c>
      <c r="F255" s="24" t="s">
        <v>582</v>
      </c>
      <c r="G255" s="24">
        <v>1</v>
      </c>
      <c r="H255" s="24">
        <v>3</v>
      </c>
      <c r="I255" s="24">
        <v>0</v>
      </c>
      <c r="J255" s="24">
        <v>23001</v>
      </c>
      <c r="K255" s="24" t="s">
        <v>578</v>
      </c>
      <c r="L255" s="24">
        <v>1</v>
      </c>
      <c r="M255" s="24">
        <f t="shared" si="7"/>
        <v>1</v>
      </c>
      <c r="N255" s="24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</row>
    <row r="256" spans="1:19">
      <c r="A256" s="24">
        <v>204001</v>
      </c>
      <c r="B256" s="24" t="s">
        <v>583</v>
      </c>
      <c r="C256" s="24" t="s">
        <v>563</v>
      </c>
      <c r="D256" s="24">
        <v>3</v>
      </c>
      <c r="E256" s="24">
        <v>0</v>
      </c>
      <c r="F256" s="24" t="s">
        <v>584</v>
      </c>
      <c r="G256" s="24">
        <v>1</v>
      </c>
      <c r="H256" s="24">
        <v>3</v>
      </c>
      <c r="I256" s="24">
        <v>0</v>
      </c>
      <c r="J256" s="24">
        <v>24001</v>
      </c>
      <c r="K256" s="24" t="s">
        <v>578</v>
      </c>
      <c r="L256" s="24">
        <v>1</v>
      </c>
      <c r="M256" s="24">
        <f t="shared" si="7"/>
        <v>1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</row>
    <row r="257" spans="1:19">
      <c r="A257" s="24">
        <v>205001</v>
      </c>
      <c r="B257" s="24" t="s">
        <v>585</v>
      </c>
      <c r="C257" s="24" t="s">
        <v>563</v>
      </c>
      <c r="D257" s="24">
        <v>3</v>
      </c>
      <c r="E257" s="24">
        <v>0</v>
      </c>
      <c r="F257" s="24" t="s">
        <v>586</v>
      </c>
      <c r="G257" s="24">
        <v>1</v>
      </c>
      <c r="H257" s="24">
        <v>3</v>
      </c>
      <c r="I257" s="24">
        <v>0</v>
      </c>
      <c r="J257" s="24">
        <v>25001</v>
      </c>
      <c r="K257" s="24" t="s">
        <v>578</v>
      </c>
      <c r="L257" s="24">
        <v>1</v>
      </c>
      <c r="M257" s="24">
        <f t="shared" si="7"/>
        <v>1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</row>
    <row r="258" spans="1:19">
      <c r="A258" s="24">
        <v>206001</v>
      </c>
      <c r="B258" s="24" t="s">
        <v>587</v>
      </c>
      <c r="C258" s="24" t="s">
        <v>563</v>
      </c>
      <c r="D258" s="24">
        <v>3</v>
      </c>
      <c r="E258" s="24">
        <v>0</v>
      </c>
      <c r="F258" s="24" t="s">
        <v>588</v>
      </c>
      <c r="G258" s="24">
        <v>1</v>
      </c>
      <c r="H258" s="24">
        <v>3</v>
      </c>
      <c r="I258" s="24">
        <v>0</v>
      </c>
      <c r="J258" s="24">
        <v>26001</v>
      </c>
      <c r="K258" s="24" t="s">
        <v>578</v>
      </c>
      <c r="L258" s="24">
        <v>1</v>
      </c>
      <c r="M258" s="24">
        <f t="shared" si="7"/>
        <v>1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</row>
    <row r="259" spans="1:19">
      <c r="A259" s="24">
        <v>208001</v>
      </c>
      <c r="B259" s="24" t="s">
        <v>589</v>
      </c>
      <c r="C259" s="24" t="s">
        <v>563</v>
      </c>
      <c r="D259" s="24">
        <v>3</v>
      </c>
      <c r="E259" s="24">
        <v>0</v>
      </c>
      <c r="F259" s="24" t="s">
        <v>590</v>
      </c>
      <c r="G259" s="24">
        <v>1</v>
      </c>
      <c r="H259" s="24">
        <v>3</v>
      </c>
      <c r="I259" s="24">
        <v>0</v>
      </c>
      <c r="J259" s="24">
        <v>28001</v>
      </c>
      <c r="K259" s="24" t="s">
        <v>578</v>
      </c>
      <c r="L259" s="24">
        <v>1</v>
      </c>
      <c r="M259" s="24">
        <f t="shared" si="7"/>
        <v>1</v>
      </c>
      <c r="N259" s="24">
        <v>0</v>
      </c>
      <c r="O259" s="24">
        <v>0</v>
      </c>
      <c r="P259" s="24">
        <v>0</v>
      </c>
      <c r="Q259" s="24">
        <v>0</v>
      </c>
      <c r="R259" s="24">
        <v>0</v>
      </c>
      <c r="S259" s="24">
        <v>0</v>
      </c>
    </row>
    <row r="260" spans="1:19">
      <c r="A260" s="24">
        <v>301001</v>
      </c>
      <c r="B260" s="24" t="s">
        <v>591</v>
      </c>
      <c r="C260" s="24" t="s">
        <v>563</v>
      </c>
      <c r="D260" s="24">
        <v>4</v>
      </c>
      <c r="E260" s="24">
        <v>0</v>
      </c>
      <c r="F260" s="24" t="s">
        <v>592</v>
      </c>
      <c r="G260" s="24">
        <v>1</v>
      </c>
      <c r="H260" s="24">
        <v>3</v>
      </c>
      <c r="I260" s="24">
        <v>0</v>
      </c>
      <c r="J260" s="24">
        <v>31001</v>
      </c>
      <c r="K260" s="24" t="s">
        <v>593</v>
      </c>
      <c r="L260" s="24">
        <v>1</v>
      </c>
      <c r="M260" s="24">
        <f t="shared" si="7"/>
        <v>1</v>
      </c>
      <c r="N260" s="24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</row>
    <row r="261" spans="1:19">
      <c r="A261" s="24">
        <v>301002</v>
      </c>
      <c r="B261" s="24" t="s">
        <v>594</v>
      </c>
      <c r="C261" s="24" t="s">
        <v>563</v>
      </c>
      <c r="D261" s="24">
        <v>4</v>
      </c>
      <c r="E261" s="24">
        <v>0</v>
      </c>
      <c r="F261" s="24" t="s">
        <v>595</v>
      </c>
      <c r="G261" s="24">
        <v>1</v>
      </c>
      <c r="H261" s="24">
        <v>3</v>
      </c>
      <c r="I261" s="24">
        <v>0</v>
      </c>
      <c r="J261" s="24">
        <v>31002</v>
      </c>
      <c r="K261" s="24" t="s">
        <v>593</v>
      </c>
      <c r="L261" s="24">
        <v>1</v>
      </c>
      <c r="M261" s="24">
        <f t="shared" si="7"/>
        <v>1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</row>
    <row r="262" spans="1:19">
      <c r="A262" s="24">
        <v>302001</v>
      </c>
      <c r="B262" s="24" t="s">
        <v>596</v>
      </c>
      <c r="C262" s="24" t="s">
        <v>563</v>
      </c>
      <c r="D262" s="24">
        <v>4</v>
      </c>
      <c r="E262" s="24">
        <v>0</v>
      </c>
      <c r="F262" s="24" t="s">
        <v>597</v>
      </c>
      <c r="G262" s="24">
        <v>1</v>
      </c>
      <c r="H262" s="24">
        <v>3</v>
      </c>
      <c r="I262" s="24">
        <v>0</v>
      </c>
      <c r="J262" s="24">
        <v>32001</v>
      </c>
      <c r="K262" s="24" t="s">
        <v>593</v>
      </c>
      <c r="L262" s="24">
        <v>1</v>
      </c>
      <c r="M262" s="24">
        <f t="shared" si="7"/>
        <v>1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</row>
    <row r="263" spans="1:19">
      <c r="A263" s="24">
        <v>303001</v>
      </c>
      <c r="B263" s="24" t="s">
        <v>598</v>
      </c>
      <c r="C263" s="24" t="s">
        <v>563</v>
      </c>
      <c r="D263" s="24">
        <v>4</v>
      </c>
      <c r="E263" s="24">
        <v>0</v>
      </c>
      <c r="F263" s="24" t="s">
        <v>599</v>
      </c>
      <c r="G263" s="24">
        <v>1</v>
      </c>
      <c r="H263" s="24">
        <v>3</v>
      </c>
      <c r="I263" s="24">
        <v>0</v>
      </c>
      <c r="J263" s="24">
        <v>33001</v>
      </c>
      <c r="K263" s="24" t="s">
        <v>593</v>
      </c>
      <c r="L263" s="24">
        <v>1</v>
      </c>
      <c r="M263" s="24">
        <f t="shared" si="7"/>
        <v>1</v>
      </c>
      <c r="N263" s="24">
        <v>0</v>
      </c>
      <c r="O263" s="24">
        <v>0</v>
      </c>
      <c r="P263" s="24">
        <v>0</v>
      </c>
      <c r="Q263" s="24">
        <v>0</v>
      </c>
      <c r="R263" s="24">
        <v>0</v>
      </c>
      <c r="S263" s="24">
        <v>0</v>
      </c>
    </row>
    <row r="264" spans="1:19">
      <c r="A264" s="24">
        <v>304001</v>
      </c>
      <c r="B264" s="24" t="s">
        <v>600</v>
      </c>
      <c r="C264" s="24" t="s">
        <v>563</v>
      </c>
      <c r="D264" s="24">
        <v>4</v>
      </c>
      <c r="E264" s="24">
        <v>0</v>
      </c>
      <c r="F264" s="24" t="s">
        <v>601</v>
      </c>
      <c r="G264" s="24">
        <v>1</v>
      </c>
      <c r="H264" s="24">
        <v>3</v>
      </c>
      <c r="I264" s="24">
        <v>0</v>
      </c>
      <c r="J264" s="24">
        <v>34001</v>
      </c>
      <c r="K264" s="24" t="s">
        <v>593</v>
      </c>
      <c r="L264" s="24">
        <v>1</v>
      </c>
      <c r="M264" s="24">
        <f t="shared" si="7"/>
        <v>1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</row>
    <row r="265" spans="1:19">
      <c r="A265" s="24">
        <v>305001</v>
      </c>
      <c r="B265" s="24" t="s">
        <v>602</v>
      </c>
      <c r="C265" s="24" t="s">
        <v>563</v>
      </c>
      <c r="D265" s="24">
        <v>4</v>
      </c>
      <c r="E265" s="24">
        <v>0</v>
      </c>
      <c r="F265" s="24" t="s">
        <v>603</v>
      </c>
      <c r="G265" s="24">
        <v>1</v>
      </c>
      <c r="H265" s="24">
        <v>3</v>
      </c>
      <c r="I265" s="24">
        <v>0</v>
      </c>
      <c r="J265" s="24">
        <v>35001</v>
      </c>
      <c r="K265" s="24" t="s">
        <v>593</v>
      </c>
      <c r="L265" s="24">
        <v>1</v>
      </c>
      <c r="M265" s="24">
        <f t="shared" si="7"/>
        <v>1</v>
      </c>
      <c r="N265" s="24">
        <v>0</v>
      </c>
      <c r="O265" s="24">
        <v>0</v>
      </c>
      <c r="P265" s="24">
        <v>0</v>
      </c>
      <c r="Q265" s="24">
        <v>0</v>
      </c>
      <c r="R265" s="24">
        <v>0</v>
      </c>
      <c r="S265" s="24">
        <v>0</v>
      </c>
    </row>
    <row r="266" spans="1:19">
      <c r="A266" s="24">
        <v>306001</v>
      </c>
      <c r="B266" s="24" t="s">
        <v>604</v>
      </c>
      <c r="C266" s="24" t="s">
        <v>563</v>
      </c>
      <c r="D266" s="24">
        <v>4</v>
      </c>
      <c r="E266" s="24">
        <v>0</v>
      </c>
      <c r="F266" s="24" t="s">
        <v>605</v>
      </c>
      <c r="G266" s="24">
        <v>1</v>
      </c>
      <c r="H266" s="24">
        <v>3</v>
      </c>
      <c r="I266" s="24">
        <v>0</v>
      </c>
      <c r="J266" s="24">
        <v>36001</v>
      </c>
      <c r="K266" s="24" t="s">
        <v>593</v>
      </c>
      <c r="L266" s="24">
        <v>1</v>
      </c>
      <c r="M266" s="24">
        <f t="shared" si="7"/>
        <v>1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</row>
    <row r="267" spans="1:19">
      <c r="A267" s="24">
        <v>307001</v>
      </c>
      <c r="B267" s="24" t="s">
        <v>606</v>
      </c>
      <c r="C267" s="24" t="s">
        <v>563</v>
      </c>
      <c r="D267" s="24">
        <v>4</v>
      </c>
      <c r="E267" s="24">
        <v>0</v>
      </c>
      <c r="F267" s="24" t="s">
        <v>607</v>
      </c>
      <c r="G267" s="24">
        <v>1</v>
      </c>
      <c r="H267" s="24">
        <v>3</v>
      </c>
      <c r="I267" s="24">
        <v>0</v>
      </c>
      <c r="J267" s="24">
        <v>37001</v>
      </c>
      <c r="K267" s="24" t="s">
        <v>593</v>
      </c>
      <c r="L267" s="24">
        <v>1</v>
      </c>
      <c r="M267" s="24">
        <f t="shared" si="7"/>
        <v>1</v>
      </c>
      <c r="N267" s="24">
        <v>0</v>
      </c>
      <c r="O267" s="24">
        <v>0</v>
      </c>
      <c r="P267" s="24">
        <v>0</v>
      </c>
      <c r="Q267" s="24">
        <v>0</v>
      </c>
      <c r="R267" s="24">
        <v>0</v>
      </c>
      <c r="S267" s="24">
        <v>0</v>
      </c>
    </row>
    <row r="268" spans="1:19">
      <c r="A268" s="24">
        <v>307002</v>
      </c>
      <c r="B268" s="24" t="s">
        <v>608</v>
      </c>
      <c r="C268" s="24" t="s">
        <v>563</v>
      </c>
      <c r="D268" s="24">
        <v>4</v>
      </c>
      <c r="E268" s="24">
        <v>0</v>
      </c>
      <c r="F268" s="24" t="s">
        <v>609</v>
      </c>
      <c r="G268" s="24">
        <v>1</v>
      </c>
      <c r="H268" s="24">
        <v>3</v>
      </c>
      <c r="I268" s="24">
        <v>0</v>
      </c>
      <c r="J268" s="24">
        <v>37002</v>
      </c>
      <c r="K268" s="24" t="s">
        <v>593</v>
      </c>
      <c r="L268" s="24">
        <v>1</v>
      </c>
      <c r="M268" s="24">
        <f t="shared" si="7"/>
        <v>1</v>
      </c>
      <c r="N268" s="24">
        <v>0</v>
      </c>
      <c r="O268" s="24">
        <v>0</v>
      </c>
      <c r="P268" s="24">
        <v>0</v>
      </c>
      <c r="Q268" s="24">
        <v>0</v>
      </c>
      <c r="R268" s="24">
        <v>0</v>
      </c>
      <c r="S268" s="24">
        <v>0</v>
      </c>
    </row>
    <row r="269" spans="1:19">
      <c r="A269" s="24">
        <v>308001</v>
      </c>
      <c r="B269" s="24" t="s">
        <v>610</v>
      </c>
      <c r="C269" s="24" t="s">
        <v>563</v>
      </c>
      <c r="D269" s="24">
        <v>4</v>
      </c>
      <c r="E269" s="24">
        <v>0</v>
      </c>
      <c r="F269" s="24" t="s">
        <v>611</v>
      </c>
      <c r="G269" s="24">
        <v>1</v>
      </c>
      <c r="H269" s="24">
        <v>3</v>
      </c>
      <c r="I269" s="24">
        <v>0</v>
      </c>
      <c r="J269" s="24">
        <v>38001</v>
      </c>
      <c r="K269" s="24" t="s">
        <v>593</v>
      </c>
      <c r="L269" s="24">
        <v>1</v>
      </c>
      <c r="M269" s="24">
        <f t="shared" si="7"/>
        <v>1</v>
      </c>
      <c r="N269" s="24">
        <v>0</v>
      </c>
      <c r="O269" s="24">
        <v>0</v>
      </c>
      <c r="P269" s="24">
        <v>0</v>
      </c>
      <c r="Q269" s="24">
        <v>0</v>
      </c>
      <c r="R269" s="24">
        <v>0</v>
      </c>
      <c r="S269" s="24">
        <v>0</v>
      </c>
    </row>
    <row r="270" spans="1:19">
      <c r="A270" s="24">
        <v>308002</v>
      </c>
      <c r="B270" s="24" t="s">
        <v>612</v>
      </c>
      <c r="C270" s="24" t="s">
        <v>563</v>
      </c>
      <c r="D270" s="24">
        <v>4</v>
      </c>
      <c r="E270" s="24">
        <v>0</v>
      </c>
      <c r="F270" s="24" t="s">
        <v>613</v>
      </c>
      <c r="G270" s="24">
        <v>1</v>
      </c>
      <c r="H270" s="24">
        <v>3</v>
      </c>
      <c r="I270" s="24">
        <v>0</v>
      </c>
      <c r="J270" s="24">
        <v>38002</v>
      </c>
      <c r="K270" s="24" t="s">
        <v>593</v>
      </c>
      <c r="L270" s="24">
        <v>1</v>
      </c>
      <c r="M270" s="24">
        <f t="shared" si="7"/>
        <v>1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</row>
    <row r="271" customFormat="1" spans="1:19">
      <c r="A271" s="24">
        <v>309001</v>
      </c>
      <c r="B271" s="24" t="s">
        <v>614</v>
      </c>
      <c r="C271" s="24" t="s">
        <v>563</v>
      </c>
      <c r="D271" s="24">
        <v>4</v>
      </c>
      <c r="E271" s="24">
        <v>0</v>
      </c>
      <c r="F271" s="24" t="s">
        <v>615</v>
      </c>
      <c r="G271" s="24">
        <v>1</v>
      </c>
      <c r="H271" s="24">
        <v>3</v>
      </c>
      <c r="I271" s="24">
        <v>0</v>
      </c>
      <c r="J271" s="24">
        <v>39001</v>
      </c>
      <c r="K271" s="24" t="s">
        <v>593</v>
      </c>
      <c r="L271" s="24">
        <v>1</v>
      </c>
      <c r="M271" s="24">
        <f t="shared" si="7"/>
        <v>1</v>
      </c>
      <c r="N271" s="24">
        <v>0</v>
      </c>
      <c r="O271" s="24">
        <v>0</v>
      </c>
      <c r="P271" s="24">
        <v>0</v>
      </c>
      <c r="Q271" s="24">
        <v>0</v>
      </c>
      <c r="R271" s="24">
        <v>0</v>
      </c>
      <c r="S271" s="24">
        <v>0</v>
      </c>
    </row>
    <row r="272" customFormat="1" spans="1:19">
      <c r="A272" s="24">
        <v>309002</v>
      </c>
      <c r="B272" s="24" t="s">
        <v>616</v>
      </c>
      <c r="C272" s="24" t="s">
        <v>563</v>
      </c>
      <c r="D272" s="24">
        <v>4</v>
      </c>
      <c r="E272" s="24">
        <v>0</v>
      </c>
      <c r="F272" s="24" t="s">
        <v>617</v>
      </c>
      <c r="G272" s="24">
        <v>1</v>
      </c>
      <c r="H272" s="24">
        <v>3</v>
      </c>
      <c r="I272" s="24">
        <v>0</v>
      </c>
      <c r="J272" s="24">
        <v>39002</v>
      </c>
      <c r="K272" s="24" t="s">
        <v>593</v>
      </c>
      <c r="L272" s="24">
        <v>1</v>
      </c>
      <c r="M272" s="24">
        <f t="shared" si="7"/>
        <v>1</v>
      </c>
      <c r="N272" s="24">
        <v>0</v>
      </c>
      <c r="O272" s="24">
        <v>0</v>
      </c>
      <c r="P272" s="24">
        <v>0</v>
      </c>
      <c r="Q272" s="24">
        <v>0</v>
      </c>
      <c r="R272" s="24">
        <v>0</v>
      </c>
      <c r="S272" s="24">
        <v>0</v>
      </c>
    </row>
    <row r="273" ht="16.5" spans="1:19">
      <c r="A273" s="24">
        <v>1010101</v>
      </c>
      <c r="B273" s="24" t="s">
        <v>618</v>
      </c>
      <c r="C273" s="24" t="s">
        <v>619</v>
      </c>
      <c r="D273" s="35">
        <v>1</v>
      </c>
      <c r="E273" s="24">
        <v>0</v>
      </c>
      <c r="F273" s="24" t="s">
        <v>620</v>
      </c>
      <c r="G273" s="24">
        <v>1</v>
      </c>
      <c r="H273" s="24">
        <v>3</v>
      </c>
      <c r="I273" s="24">
        <v>0</v>
      </c>
      <c r="J273" s="24">
        <v>10101</v>
      </c>
      <c r="K273" s="24">
        <v>0</v>
      </c>
      <c r="L273" s="24">
        <v>0</v>
      </c>
      <c r="M273" s="24">
        <v>1</v>
      </c>
      <c r="N273" s="24">
        <v>0</v>
      </c>
      <c r="O273" s="24">
        <v>0</v>
      </c>
      <c r="P273" s="24">
        <v>0</v>
      </c>
      <c r="Q273" s="24">
        <v>0</v>
      </c>
      <c r="R273" s="24">
        <v>0</v>
      </c>
      <c r="S273" s="24">
        <v>0</v>
      </c>
    </row>
    <row r="274" ht="16.5" spans="1:19">
      <c r="A274" s="24">
        <v>1020101</v>
      </c>
      <c r="B274" s="24" t="s">
        <v>621</v>
      </c>
      <c r="C274" s="24" t="s">
        <v>619</v>
      </c>
      <c r="D274" s="35">
        <v>1</v>
      </c>
      <c r="E274" s="24">
        <v>0</v>
      </c>
      <c r="F274" s="24" t="s">
        <v>622</v>
      </c>
      <c r="G274" s="24">
        <v>1</v>
      </c>
      <c r="H274" s="24">
        <v>3</v>
      </c>
      <c r="I274" s="24">
        <v>0</v>
      </c>
      <c r="J274" s="24">
        <v>10201</v>
      </c>
      <c r="K274" s="24">
        <v>0</v>
      </c>
      <c r="L274" s="24">
        <v>0</v>
      </c>
      <c r="M274" s="24">
        <v>1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</row>
    <row r="275" ht="16.5" spans="1:19">
      <c r="A275" s="24">
        <v>1030101</v>
      </c>
      <c r="B275" s="24" t="s">
        <v>623</v>
      </c>
      <c r="C275" s="24" t="s">
        <v>619</v>
      </c>
      <c r="D275" s="35">
        <v>3</v>
      </c>
      <c r="E275" s="24">
        <v>0</v>
      </c>
      <c r="F275" s="24" t="s">
        <v>624</v>
      </c>
      <c r="G275" s="24">
        <v>1</v>
      </c>
      <c r="H275" s="24">
        <v>3</v>
      </c>
      <c r="I275" s="24">
        <v>0</v>
      </c>
      <c r="J275" s="24">
        <v>10301</v>
      </c>
      <c r="K275" s="24">
        <v>0</v>
      </c>
      <c r="L275" s="24">
        <v>0</v>
      </c>
      <c r="M275" s="24">
        <v>1</v>
      </c>
      <c r="N275" s="24">
        <v>0</v>
      </c>
      <c r="O275" s="24">
        <v>0</v>
      </c>
      <c r="P275" s="24">
        <v>0</v>
      </c>
      <c r="Q275" s="24">
        <v>0</v>
      </c>
      <c r="R275" s="24">
        <v>0</v>
      </c>
      <c r="S275" s="24">
        <v>0</v>
      </c>
    </row>
    <row r="276" ht="16.5" spans="1:19">
      <c r="A276" s="24">
        <v>1040101</v>
      </c>
      <c r="B276" s="24" t="s">
        <v>625</v>
      </c>
      <c r="C276" s="24" t="s">
        <v>619</v>
      </c>
      <c r="D276" s="35">
        <v>1</v>
      </c>
      <c r="E276" s="24">
        <v>0</v>
      </c>
      <c r="F276" s="24" t="s">
        <v>626</v>
      </c>
      <c r="G276" s="24">
        <v>1</v>
      </c>
      <c r="H276" s="24">
        <v>3</v>
      </c>
      <c r="I276" s="24">
        <v>0</v>
      </c>
      <c r="J276" s="24">
        <v>10401</v>
      </c>
      <c r="K276" s="24">
        <v>0</v>
      </c>
      <c r="L276" s="24">
        <v>0</v>
      </c>
      <c r="M276" s="24">
        <v>1</v>
      </c>
      <c r="N276" s="24">
        <v>0</v>
      </c>
      <c r="O276" s="24">
        <v>0</v>
      </c>
      <c r="P276" s="24">
        <v>0</v>
      </c>
      <c r="Q276" s="24">
        <v>0</v>
      </c>
      <c r="R276" s="24">
        <v>0</v>
      </c>
      <c r="S276" s="24">
        <v>0</v>
      </c>
    </row>
    <row r="277" ht="16.5" spans="1:19">
      <c r="A277" s="24">
        <v>1050101</v>
      </c>
      <c r="B277" s="24" t="s">
        <v>627</v>
      </c>
      <c r="C277" s="24" t="s">
        <v>619</v>
      </c>
      <c r="D277" s="35">
        <v>2</v>
      </c>
      <c r="E277" s="24">
        <v>0</v>
      </c>
      <c r="F277" s="24" t="s">
        <v>628</v>
      </c>
      <c r="G277" s="24">
        <v>1</v>
      </c>
      <c r="H277" s="24">
        <v>3</v>
      </c>
      <c r="I277" s="24">
        <v>0</v>
      </c>
      <c r="J277" s="24">
        <v>10501</v>
      </c>
      <c r="K277" s="24">
        <v>0</v>
      </c>
      <c r="L277" s="24">
        <v>0</v>
      </c>
      <c r="M277" s="24">
        <v>1</v>
      </c>
      <c r="N277" s="24">
        <v>0</v>
      </c>
      <c r="O277" s="24">
        <v>0</v>
      </c>
      <c r="P277" s="24">
        <v>0</v>
      </c>
      <c r="Q277" s="24">
        <v>0</v>
      </c>
      <c r="R277" s="24">
        <v>0</v>
      </c>
      <c r="S277" s="24">
        <v>0</v>
      </c>
    </row>
    <row r="278" ht="16.5" spans="1:19">
      <c r="A278" s="24">
        <v>1060101</v>
      </c>
      <c r="B278" s="24" t="s">
        <v>629</v>
      </c>
      <c r="C278" s="24" t="s">
        <v>619</v>
      </c>
      <c r="D278" s="35">
        <v>4</v>
      </c>
      <c r="E278" s="24">
        <v>0</v>
      </c>
      <c r="F278" s="24" t="s">
        <v>630</v>
      </c>
      <c r="G278" s="24">
        <v>1</v>
      </c>
      <c r="H278" s="24">
        <v>3</v>
      </c>
      <c r="I278" s="24">
        <v>0</v>
      </c>
      <c r="J278" s="24">
        <v>10601</v>
      </c>
      <c r="K278" s="24">
        <v>0</v>
      </c>
      <c r="L278" s="24">
        <v>0</v>
      </c>
      <c r="M278" s="24">
        <v>1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</row>
    <row r="279" ht="16.5" spans="1:19">
      <c r="A279" s="24">
        <v>1070101</v>
      </c>
      <c r="B279" s="24" t="s">
        <v>631</v>
      </c>
      <c r="C279" s="24" t="s">
        <v>619</v>
      </c>
      <c r="D279" s="35">
        <v>3</v>
      </c>
      <c r="E279" s="24">
        <v>0</v>
      </c>
      <c r="F279" s="24" t="s">
        <v>632</v>
      </c>
      <c r="G279" s="24">
        <v>1</v>
      </c>
      <c r="H279" s="24">
        <v>3</v>
      </c>
      <c r="I279" s="24">
        <v>0</v>
      </c>
      <c r="J279" s="24">
        <v>10701</v>
      </c>
      <c r="K279" s="24">
        <v>0</v>
      </c>
      <c r="L279" s="24">
        <v>0</v>
      </c>
      <c r="M279" s="24">
        <v>1</v>
      </c>
      <c r="N279" s="24">
        <v>0</v>
      </c>
      <c r="O279" s="24">
        <v>0</v>
      </c>
      <c r="P279" s="24">
        <v>0</v>
      </c>
      <c r="Q279" s="24">
        <v>0</v>
      </c>
      <c r="R279" s="24">
        <v>0</v>
      </c>
      <c r="S279" s="24">
        <v>0</v>
      </c>
    </row>
    <row r="280" ht="16.5" spans="1:19">
      <c r="A280" s="24">
        <v>1080101</v>
      </c>
      <c r="B280" s="24" t="s">
        <v>633</v>
      </c>
      <c r="C280" s="24" t="s">
        <v>619</v>
      </c>
      <c r="D280" s="35">
        <v>2</v>
      </c>
      <c r="E280" s="24">
        <v>0</v>
      </c>
      <c r="F280" s="24" t="s">
        <v>634</v>
      </c>
      <c r="G280" s="24">
        <v>1</v>
      </c>
      <c r="H280" s="24">
        <v>3</v>
      </c>
      <c r="I280" s="24">
        <v>0</v>
      </c>
      <c r="J280" s="24">
        <v>10801</v>
      </c>
      <c r="K280" s="24">
        <v>0</v>
      </c>
      <c r="L280" s="24">
        <v>0</v>
      </c>
      <c r="M280" s="24">
        <v>1</v>
      </c>
      <c r="N280" s="24">
        <v>0</v>
      </c>
      <c r="O280" s="24">
        <v>0</v>
      </c>
      <c r="P280" s="24">
        <v>0</v>
      </c>
      <c r="Q280" s="24">
        <v>0</v>
      </c>
      <c r="R280" s="24">
        <v>0</v>
      </c>
      <c r="S280" s="24">
        <v>0</v>
      </c>
    </row>
    <row r="281" ht="16.5" spans="1:19">
      <c r="A281" s="24">
        <v>1090101</v>
      </c>
      <c r="B281" s="24" t="s">
        <v>635</v>
      </c>
      <c r="C281" s="24" t="s">
        <v>619</v>
      </c>
      <c r="D281" s="35">
        <v>2</v>
      </c>
      <c r="E281" s="24">
        <v>0</v>
      </c>
      <c r="F281" s="24" t="s">
        <v>636</v>
      </c>
      <c r="G281" s="24">
        <v>1</v>
      </c>
      <c r="H281" s="24">
        <v>3</v>
      </c>
      <c r="I281" s="24">
        <v>0</v>
      </c>
      <c r="J281" s="24">
        <v>10901</v>
      </c>
      <c r="K281" s="24">
        <v>0</v>
      </c>
      <c r="L281" s="24">
        <v>0</v>
      </c>
      <c r="M281" s="24">
        <v>1</v>
      </c>
      <c r="N281" s="24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0</v>
      </c>
    </row>
    <row r="282" ht="16.5" spans="1:19">
      <c r="A282" s="24">
        <v>2010101</v>
      </c>
      <c r="B282" s="24" t="s">
        <v>637</v>
      </c>
      <c r="C282" s="24" t="s">
        <v>619</v>
      </c>
      <c r="D282" s="35">
        <v>1</v>
      </c>
      <c r="E282" s="24">
        <v>0</v>
      </c>
      <c r="F282" s="24" t="s">
        <v>638</v>
      </c>
      <c r="G282" s="24">
        <v>1</v>
      </c>
      <c r="H282" s="24">
        <v>3</v>
      </c>
      <c r="I282" s="24">
        <v>0</v>
      </c>
      <c r="J282" s="24">
        <v>20101</v>
      </c>
      <c r="K282" s="24">
        <v>0</v>
      </c>
      <c r="L282" s="24">
        <v>0</v>
      </c>
      <c r="M282" s="24">
        <v>1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</row>
    <row r="283" ht="16.5" spans="1:19">
      <c r="A283" s="24">
        <v>2020101</v>
      </c>
      <c r="B283" s="24" t="s">
        <v>639</v>
      </c>
      <c r="C283" s="24" t="s">
        <v>619</v>
      </c>
      <c r="D283" s="35">
        <v>2</v>
      </c>
      <c r="E283" s="24">
        <v>0</v>
      </c>
      <c r="F283" s="24" t="s">
        <v>640</v>
      </c>
      <c r="G283" s="24">
        <v>1</v>
      </c>
      <c r="H283" s="24">
        <v>3</v>
      </c>
      <c r="I283" s="24">
        <v>0</v>
      </c>
      <c r="J283" s="24">
        <v>20201</v>
      </c>
      <c r="K283" s="24">
        <v>0</v>
      </c>
      <c r="L283" s="24">
        <v>0</v>
      </c>
      <c r="M283" s="24">
        <v>1</v>
      </c>
      <c r="N283" s="24">
        <v>0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</row>
    <row r="284" ht="16.5" spans="1:19">
      <c r="A284" s="24">
        <v>2030101</v>
      </c>
      <c r="B284" s="24" t="s">
        <v>641</v>
      </c>
      <c r="C284" s="24" t="s">
        <v>619</v>
      </c>
      <c r="D284" s="35">
        <v>1</v>
      </c>
      <c r="E284" s="24">
        <v>0</v>
      </c>
      <c r="F284" s="24" t="s">
        <v>642</v>
      </c>
      <c r="G284" s="24">
        <v>1</v>
      </c>
      <c r="H284" s="24">
        <v>3</v>
      </c>
      <c r="I284" s="24">
        <v>0</v>
      </c>
      <c r="J284" s="24">
        <v>20301</v>
      </c>
      <c r="K284" s="24">
        <v>0</v>
      </c>
      <c r="L284" s="24">
        <v>0</v>
      </c>
      <c r="M284" s="24">
        <v>1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</row>
    <row r="285" ht="16.5" spans="1:19">
      <c r="A285" s="24">
        <v>2040101</v>
      </c>
      <c r="B285" s="24" t="s">
        <v>643</v>
      </c>
      <c r="C285" s="24" t="s">
        <v>619</v>
      </c>
      <c r="D285" s="35">
        <v>3</v>
      </c>
      <c r="E285" s="24">
        <v>0</v>
      </c>
      <c r="F285" s="24" t="s">
        <v>644</v>
      </c>
      <c r="G285" s="24">
        <v>1</v>
      </c>
      <c r="H285" s="24">
        <v>3</v>
      </c>
      <c r="I285" s="24">
        <v>0</v>
      </c>
      <c r="J285" s="24">
        <v>20401</v>
      </c>
      <c r="K285" s="24">
        <v>0</v>
      </c>
      <c r="L285" s="24">
        <v>0</v>
      </c>
      <c r="M285" s="24">
        <v>1</v>
      </c>
      <c r="N285" s="24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0</v>
      </c>
    </row>
    <row r="286" ht="16.5" spans="1:19">
      <c r="A286" s="24">
        <v>2050101</v>
      </c>
      <c r="B286" s="24" t="s">
        <v>645</v>
      </c>
      <c r="C286" s="24" t="s">
        <v>619</v>
      </c>
      <c r="D286" s="35">
        <v>4</v>
      </c>
      <c r="E286" s="24">
        <v>0</v>
      </c>
      <c r="F286" s="24" t="s">
        <v>646</v>
      </c>
      <c r="G286" s="24">
        <v>1</v>
      </c>
      <c r="H286" s="24">
        <v>3</v>
      </c>
      <c r="I286" s="24">
        <v>0</v>
      </c>
      <c r="J286" s="24">
        <v>20501</v>
      </c>
      <c r="K286" s="24">
        <v>0</v>
      </c>
      <c r="L286" s="24">
        <v>0</v>
      </c>
      <c r="M286" s="24">
        <v>1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</row>
    <row r="287" ht="16.5" spans="1:19">
      <c r="A287" s="24">
        <v>2060101</v>
      </c>
      <c r="B287" s="24" t="s">
        <v>647</v>
      </c>
      <c r="C287" s="24" t="s">
        <v>619</v>
      </c>
      <c r="D287" s="35">
        <v>3</v>
      </c>
      <c r="E287" s="24">
        <v>0</v>
      </c>
      <c r="F287" s="24" t="s">
        <v>648</v>
      </c>
      <c r="G287" s="24">
        <v>1</v>
      </c>
      <c r="H287" s="24">
        <v>3</v>
      </c>
      <c r="I287" s="24">
        <v>0</v>
      </c>
      <c r="J287" s="24">
        <v>20601</v>
      </c>
      <c r="K287" s="24">
        <v>0</v>
      </c>
      <c r="L287" s="24">
        <v>0</v>
      </c>
      <c r="M287" s="24">
        <v>1</v>
      </c>
      <c r="N287" s="24">
        <v>0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</row>
    <row r="288" ht="16.5" spans="1:19">
      <c r="A288" s="24">
        <v>2070101</v>
      </c>
      <c r="B288" s="24" t="s">
        <v>649</v>
      </c>
      <c r="C288" s="24" t="s">
        <v>619</v>
      </c>
      <c r="D288" s="35">
        <v>2</v>
      </c>
      <c r="E288" s="24">
        <v>0</v>
      </c>
      <c r="F288" s="24" t="s">
        <v>650</v>
      </c>
      <c r="G288" s="24">
        <v>1</v>
      </c>
      <c r="H288" s="24">
        <v>3</v>
      </c>
      <c r="I288" s="24">
        <v>0</v>
      </c>
      <c r="J288" s="24">
        <v>20701</v>
      </c>
      <c r="K288" s="24">
        <v>0</v>
      </c>
      <c r="L288" s="24">
        <v>0</v>
      </c>
      <c r="M288" s="24">
        <v>1</v>
      </c>
      <c r="N288" s="24">
        <v>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</row>
    <row r="289" ht="16.5" spans="1:19">
      <c r="A289" s="24">
        <v>2080101</v>
      </c>
      <c r="B289" s="24" t="s">
        <v>651</v>
      </c>
      <c r="C289" s="24" t="s">
        <v>619</v>
      </c>
      <c r="D289" s="35">
        <v>1</v>
      </c>
      <c r="E289" s="24">
        <v>0</v>
      </c>
      <c r="F289" s="24" t="s">
        <v>652</v>
      </c>
      <c r="G289" s="24">
        <v>1</v>
      </c>
      <c r="H289" s="24">
        <v>3</v>
      </c>
      <c r="I289" s="24">
        <v>0</v>
      </c>
      <c r="J289" s="24">
        <v>20801</v>
      </c>
      <c r="K289" s="24">
        <v>0</v>
      </c>
      <c r="L289" s="24">
        <v>0</v>
      </c>
      <c r="M289" s="24">
        <v>1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</row>
    <row r="290" ht="16.5" spans="1:19">
      <c r="A290" s="24">
        <v>2090101</v>
      </c>
      <c r="B290" s="24" t="s">
        <v>653</v>
      </c>
      <c r="C290" s="24" t="s">
        <v>619</v>
      </c>
      <c r="D290" s="35">
        <v>2</v>
      </c>
      <c r="E290" s="24">
        <v>0</v>
      </c>
      <c r="F290" s="24" t="s">
        <v>654</v>
      </c>
      <c r="G290" s="24">
        <v>1</v>
      </c>
      <c r="H290" s="24">
        <v>3</v>
      </c>
      <c r="I290" s="24">
        <v>0</v>
      </c>
      <c r="J290" s="24">
        <v>20901</v>
      </c>
      <c r="K290" s="24">
        <v>0</v>
      </c>
      <c r="L290" s="24">
        <v>0</v>
      </c>
      <c r="M290" s="24">
        <v>1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</row>
    <row r="291" ht="16.5" spans="1:19">
      <c r="A291" s="24">
        <v>3010101</v>
      </c>
      <c r="B291" s="24" t="s">
        <v>655</v>
      </c>
      <c r="C291" s="24" t="s">
        <v>619</v>
      </c>
      <c r="D291" s="35">
        <v>1</v>
      </c>
      <c r="E291" s="24">
        <v>0</v>
      </c>
      <c r="F291" s="24" t="s">
        <v>656</v>
      </c>
      <c r="G291" s="24">
        <v>1</v>
      </c>
      <c r="H291" s="24">
        <v>3</v>
      </c>
      <c r="I291" s="24">
        <v>0</v>
      </c>
      <c r="J291" s="24">
        <v>30101</v>
      </c>
      <c r="K291" s="24">
        <v>0</v>
      </c>
      <c r="L291" s="24">
        <v>0</v>
      </c>
      <c r="M291" s="24">
        <v>1</v>
      </c>
      <c r="N291" s="24">
        <v>0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</row>
    <row r="292" ht="16.5" spans="1:19">
      <c r="A292" s="24">
        <v>3020101</v>
      </c>
      <c r="B292" s="24" t="s">
        <v>657</v>
      </c>
      <c r="C292" s="24" t="s">
        <v>619</v>
      </c>
      <c r="D292" s="35">
        <v>1</v>
      </c>
      <c r="E292" s="24">
        <v>0</v>
      </c>
      <c r="F292" s="24" t="s">
        <v>658</v>
      </c>
      <c r="G292" s="24">
        <v>1</v>
      </c>
      <c r="H292" s="24">
        <v>3</v>
      </c>
      <c r="I292" s="24">
        <v>0</v>
      </c>
      <c r="J292" s="24">
        <v>30201</v>
      </c>
      <c r="K292" s="24">
        <v>0</v>
      </c>
      <c r="L292" s="24">
        <v>0</v>
      </c>
      <c r="M292" s="24">
        <v>1</v>
      </c>
      <c r="N292" s="24">
        <v>0</v>
      </c>
      <c r="O292" s="24">
        <v>0</v>
      </c>
      <c r="P292" s="24">
        <v>0</v>
      </c>
      <c r="Q292" s="24">
        <v>0</v>
      </c>
      <c r="R292" s="24">
        <v>0</v>
      </c>
      <c r="S292" s="24">
        <v>0</v>
      </c>
    </row>
    <row r="293" ht="16.5" spans="1:19">
      <c r="A293" s="24">
        <v>3030101</v>
      </c>
      <c r="B293" s="24" t="s">
        <v>659</v>
      </c>
      <c r="C293" s="24" t="s">
        <v>619</v>
      </c>
      <c r="D293" s="35">
        <v>4</v>
      </c>
      <c r="E293" s="24">
        <v>0</v>
      </c>
      <c r="F293" s="24" t="s">
        <v>660</v>
      </c>
      <c r="G293" s="24">
        <v>1</v>
      </c>
      <c r="H293" s="24">
        <v>3</v>
      </c>
      <c r="I293" s="24">
        <v>0</v>
      </c>
      <c r="J293" s="24">
        <v>30301</v>
      </c>
      <c r="K293" s="24">
        <v>0</v>
      </c>
      <c r="L293" s="24">
        <v>0</v>
      </c>
      <c r="M293" s="24">
        <v>1</v>
      </c>
      <c r="N293" s="24">
        <v>0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</row>
    <row r="294" ht="16.5" spans="1:19">
      <c r="A294" s="24">
        <v>3040101</v>
      </c>
      <c r="B294" s="24" t="s">
        <v>661</v>
      </c>
      <c r="C294" s="24" t="s">
        <v>619</v>
      </c>
      <c r="D294" s="35">
        <v>2</v>
      </c>
      <c r="E294" s="24">
        <v>0</v>
      </c>
      <c r="F294" s="24" t="s">
        <v>662</v>
      </c>
      <c r="G294" s="24">
        <v>1</v>
      </c>
      <c r="H294" s="24">
        <v>3</v>
      </c>
      <c r="I294" s="24">
        <v>0</v>
      </c>
      <c r="J294" s="24">
        <v>30401</v>
      </c>
      <c r="K294" s="24">
        <v>0</v>
      </c>
      <c r="L294" s="24">
        <v>0</v>
      </c>
      <c r="M294" s="24">
        <v>1</v>
      </c>
      <c r="N294" s="24">
        <v>0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</row>
    <row r="295" ht="16.5" spans="1:19">
      <c r="A295" s="24">
        <v>3050101</v>
      </c>
      <c r="B295" s="24" t="s">
        <v>663</v>
      </c>
      <c r="C295" s="24" t="s">
        <v>619</v>
      </c>
      <c r="D295" s="35">
        <v>3</v>
      </c>
      <c r="E295" s="24">
        <v>0</v>
      </c>
      <c r="F295" s="24" t="s">
        <v>664</v>
      </c>
      <c r="G295" s="24">
        <v>1</v>
      </c>
      <c r="H295" s="24">
        <v>3</v>
      </c>
      <c r="I295" s="24">
        <v>0</v>
      </c>
      <c r="J295" s="24">
        <v>30501</v>
      </c>
      <c r="K295" s="24">
        <v>0</v>
      </c>
      <c r="L295" s="24">
        <v>0</v>
      </c>
      <c r="M295" s="24">
        <v>1</v>
      </c>
      <c r="N295" s="24">
        <v>0</v>
      </c>
      <c r="O295" s="24">
        <v>0</v>
      </c>
      <c r="P295" s="24">
        <v>0</v>
      </c>
      <c r="Q295" s="24">
        <v>0</v>
      </c>
      <c r="R295" s="24">
        <v>0</v>
      </c>
      <c r="S295" s="24">
        <v>0</v>
      </c>
    </row>
    <row r="296" ht="16.5" spans="1:19">
      <c r="A296" s="24">
        <v>3060101</v>
      </c>
      <c r="B296" s="24" t="s">
        <v>665</v>
      </c>
      <c r="C296" s="24" t="s">
        <v>619</v>
      </c>
      <c r="D296" s="35">
        <v>2</v>
      </c>
      <c r="E296" s="24">
        <v>0</v>
      </c>
      <c r="F296" s="24" t="s">
        <v>666</v>
      </c>
      <c r="G296" s="24">
        <v>1</v>
      </c>
      <c r="H296" s="24">
        <v>3</v>
      </c>
      <c r="I296" s="24">
        <v>0</v>
      </c>
      <c r="J296" s="24">
        <v>30601</v>
      </c>
      <c r="K296" s="24">
        <v>0</v>
      </c>
      <c r="L296" s="24">
        <v>0</v>
      </c>
      <c r="M296" s="24">
        <v>1</v>
      </c>
      <c r="N296" s="24">
        <v>0</v>
      </c>
      <c r="O296" s="24">
        <v>0</v>
      </c>
      <c r="P296" s="24">
        <v>0</v>
      </c>
      <c r="Q296" s="24">
        <v>0</v>
      </c>
      <c r="R296" s="24">
        <v>0</v>
      </c>
      <c r="S296" s="24">
        <v>0</v>
      </c>
    </row>
    <row r="297" ht="16.5" spans="1:19">
      <c r="A297" s="24">
        <v>3070101</v>
      </c>
      <c r="B297" s="24" t="s">
        <v>667</v>
      </c>
      <c r="C297" s="24" t="s">
        <v>619</v>
      </c>
      <c r="D297" s="35">
        <v>3</v>
      </c>
      <c r="E297" s="24">
        <v>0</v>
      </c>
      <c r="F297" s="24" t="s">
        <v>668</v>
      </c>
      <c r="G297" s="24">
        <v>1</v>
      </c>
      <c r="H297" s="24">
        <v>3</v>
      </c>
      <c r="I297" s="24">
        <v>0</v>
      </c>
      <c r="J297" s="24">
        <v>30701</v>
      </c>
      <c r="K297" s="24">
        <v>0</v>
      </c>
      <c r="L297" s="24">
        <v>0</v>
      </c>
      <c r="M297" s="24">
        <v>1</v>
      </c>
      <c r="N297" s="24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0</v>
      </c>
    </row>
    <row r="298" ht="16.5" spans="1:19">
      <c r="A298" s="24">
        <v>3080101</v>
      </c>
      <c r="B298" s="24" t="s">
        <v>669</v>
      </c>
      <c r="C298" s="24" t="s">
        <v>619</v>
      </c>
      <c r="D298" s="35">
        <v>1</v>
      </c>
      <c r="E298" s="24">
        <v>0</v>
      </c>
      <c r="F298" s="24" t="s">
        <v>670</v>
      </c>
      <c r="G298" s="24">
        <v>1</v>
      </c>
      <c r="H298" s="24">
        <v>3</v>
      </c>
      <c r="I298" s="24">
        <v>0</v>
      </c>
      <c r="J298" s="24">
        <v>30801</v>
      </c>
      <c r="K298" s="24">
        <v>0</v>
      </c>
      <c r="L298" s="24">
        <v>0</v>
      </c>
      <c r="M298" s="24">
        <v>1</v>
      </c>
      <c r="N298" s="24">
        <v>0</v>
      </c>
      <c r="O298" s="24">
        <v>0</v>
      </c>
      <c r="P298" s="24">
        <v>0</v>
      </c>
      <c r="Q298" s="24">
        <v>0</v>
      </c>
      <c r="R298" s="24">
        <v>0</v>
      </c>
      <c r="S298" s="24">
        <v>0</v>
      </c>
    </row>
    <row r="299" ht="16.5" spans="1:19">
      <c r="A299" s="24">
        <v>3090101</v>
      </c>
      <c r="B299" s="24" t="s">
        <v>671</v>
      </c>
      <c r="C299" s="24" t="s">
        <v>619</v>
      </c>
      <c r="D299" s="35">
        <v>2</v>
      </c>
      <c r="E299" s="24">
        <v>0</v>
      </c>
      <c r="F299" s="24" t="s">
        <v>672</v>
      </c>
      <c r="G299" s="24">
        <v>1</v>
      </c>
      <c r="H299" s="24">
        <v>3</v>
      </c>
      <c r="I299" s="24">
        <v>0</v>
      </c>
      <c r="J299" s="24">
        <v>30901</v>
      </c>
      <c r="K299" s="24">
        <v>0</v>
      </c>
      <c r="L299" s="24">
        <v>0</v>
      </c>
      <c r="M299" s="24">
        <v>1</v>
      </c>
      <c r="N299" s="24">
        <v>0</v>
      </c>
      <c r="O299" s="24">
        <v>0</v>
      </c>
      <c r="P299" s="24">
        <v>0</v>
      </c>
      <c r="Q299" s="24">
        <v>0</v>
      </c>
      <c r="R299" s="24">
        <v>0</v>
      </c>
      <c r="S299" s="24">
        <v>0</v>
      </c>
    </row>
    <row r="300" ht="16.5" spans="1:19">
      <c r="A300" s="24">
        <v>4010101</v>
      </c>
      <c r="B300" s="24" t="s">
        <v>673</v>
      </c>
      <c r="C300" s="24" t="s">
        <v>619</v>
      </c>
      <c r="D300" s="35">
        <v>1</v>
      </c>
      <c r="E300" s="24">
        <v>0</v>
      </c>
      <c r="F300" s="24" t="s">
        <v>674</v>
      </c>
      <c r="G300" s="24">
        <v>1</v>
      </c>
      <c r="H300" s="24">
        <v>3</v>
      </c>
      <c r="I300" s="24">
        <v>0</v>
      </c>
      <c r="J300" s="24">
        <v>40101</v>
      </c>
      <c r="K300" s="24">
        <v>0</v>
      </c>
      <c r="L300" s="24">
        <v>0</v>
      </c>
      <c r="M300" s="24">
        <v>1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0</v>
      </c>
    </row>
    <row r="301" ht="16.5" spans="1:19">
      <c r="A301" s="24">
        <v>4020101</v>
      </c>
      <c r="B301" s="24" t="s">
        <v>675</v>
      </c>
      <c r="C301" s="24" t="s">
        <v>619</v>
      </c>
      <c r="D301" s="35">
        <v>1</v>
      </c>
      <c r="E301" s="24">
        <v>0</v>
      </c>
      <c r="F301" s="24" t="s">
        <v>676</v>
      </c>
      <c r="G301" s="24">
        <v>1</v>
      </c>
      <c r="H301" s="24">
        <v>3</v>
      </c>
      <c r="I301" s="24">
        <v>0</v>
      </c>
      <c r="J301" s="24">
        <v>40201</v>
      </c>
      <c r="K301" s="24">
        <v>0</v>
      </c>
      <c r="L301" s="24">
        <v>0</v>
      </c>
      <c r="M301" s="24">
        <v>1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</row>
    <row r="302" ht="16.5" spans="1:19">
      <c r="A302" s="24">
        <v>4030101</v>
      </c>
      <c r="B302" s="24" t="s">
        <v>677</v>
      </c>
      <c r="C302" s="24" t="s">
        <v>619</v>
      </c>
      <c r="D302" s="35">
        <v>1</v>
      </c>
      <c r="E302" s="24">
        <v>0</v>
      </c>
      <c r="F302" s="24" t="s">
        <v>678</v>
      </c>
      <c r="G302" s="24">
        <v>1</v>
      </c>
      <c r="H302" s="24">
        <v>3</v>
      </c>
      <c r="I302" s="24">
        <v>0</v>
      </c>
      <c r="J302" s="24">
        <v>40301</v>
      </c>
      <c r="K302" s="24">
        <v>0</v>
      </c>
      <c r="L302" s="24">
        <v>0</v>
      </c>
      <c r="M302" s="24">
        <v>1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</row>
    <row r="303" ht="16.5" spans="1:19">
      <c r="A303" s="24">
        <v>4040101</v>
      </c>
      <c r="B303" s="24" t="s">
        <v>679</v>
      </c>
      <c r="C303" s="24" t="s">
        <v>619</v>
      </c>
      <c r="D303" s="35">
        <v>3</v>
      </c>
      <c r="E303" s="24">
        <v>0</v>
      </c>
      <c r="F303" s="24" t="s">
        <v>680</v>
      </c>
      <c r="G303" s="24">
        <v>1</v>
      </c>
      <c r="H303" s="24">
        <v>3</v>
      </c>
      <c r="I303" s="24">
        <v>0</v>
      </c>
      <c r="J303" s="24">
        <v>40401</v>
      </c>
      <c r="K303" s="24">
        <v>0</v>
      </c>
      <c r="L303" s="24">
        <v>0</v>
      </c>
      <c r="M303" s="24">
        <v>1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</row>
    <row r="304" ht="16.5" spans="1:19">
      <c r="A304" s="24">
        <v>4050101</v>
      </c>
      <c r="B304" s="24" t="s">
        <v>681</v>
      </c>
      <c r="C304" s="24" t="s">
        <v>619</v>
      </c>
      <c r="D304" s="35">
        <v>2</v>
      </c>
      <c r="E304" s="24">
        <v>0</v>
      </c>
      <c r="F304" s="24" t="s">
        <v>682</v>
      </c>
      <c r="G304" s="24">
        <v>1</v>
      </c>
      <c r="H304" s="24">
        <v>3</v>
      </c>
      <c r="I304" s="24">
        <v>0</v>
      </c>
      <c r="J304" s="24">
        <v>40501</v>
      </c>
      <c r="K304" s="24">
        <v>0</v>
      </c>
      <c r="L304" s="24">
        <v>0</v>
      </c>
      <c r="M304" s="24">
        <v>1</v>
      </c>
      <c r="N304" s="24">
        <v>0</v>
      </c>
      <c r="O304" s="24">
        <v>0</v>
      </c>
      <c r="P304" s="24">
        <v>0</v>
      </c>
      <c r="Q304" s="24">
        <v>0</v>
      </c>
      <c r="R304" s="24">
        <v>0</v>
      </c>
      <c r="S304" s="24">
        <v>0</v>
      </c>
    </row>
    <row r="305" ht="16.5" spans="1:19">
      <c r="A305" s="24">
        <v>4060101</v>
      </c>
      <c r="B305" s="24" t="s">
        <v>683</v>
      </c>
      <c r="C305" s="24" t="s">
        <v>619</v>
      </c>
      <c r="D305" s="35">
        <v>3</v>
      </c>
      <c r="E305" s="24">
        <v>0</v>
      </c>
      <c r="F305" s="24" t="s">
        <v>684</v>
      </c>
      <c r="G305" s="24">
        <v>1</v>
      </c>
      <c r="H305" s="24">
        <v>3</v>
      </c>
      <c r="I305" s="24">
        <v>0</v>
      </c>
      <c r="J305" s="24">
        <v>40601</v>
      </c>
      <c r="K305" s="24">
        <v>0</v>
      </c>
      <c r="L305" s="24">
        <v>0</v>
      </c>
      <c r="M305" s="24">
        <v>1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</row>
    <row r="306" ht="16.5" spans="1:19">
      <c r="A306" s="24">
        <v>4070101</v>
      </c>
      <c r="B306" s="24" t="s">
        <v>685</v>
      </c>
      <c r="C306" s="24" t="s">
        <v>619</v>
      </c>
      <c r="D306" s="35">
        <v>2</v>
      </c>
      <c r="E306" s="24">
        <v>0</v>
      </c>
      <c r="F306" s="24" t="s">
        <v>686</v>
      </c>
      <c r="G306" s="24">
        <v>1</v>
      </c>
      <c r="H306" s="24">
        <v>3</v>
      </c>
      <c r="I306" s="24">
        <v>0</v>
      </c>
      <c r="J306" s="24">
        <v>40701</v>
      </c>
      <c r="K306" s="24">
        <v>0</v>
      </c>
      <c r="L306" s="24">
        <v>0</v>
      </c>
      <c r="M306" s="24">
        <v>1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</row>
    <row r="307" ht="16.5" spans="1:19">
      <c r="A307" s="24">
        <v>4080101</v>
      </c>
      <c r="B307" s="24" t="s">
        <v>687</v>
      </c>
      <c r="C307" s="24" t="s">
        <v>619</v>
      </c>
      <c r="D307" s="35">
        <v>4</v>
      </c>
      <c r="E307" s="24">
        <v>0</v>
      </c>
      <c r="F307" s="24" t="s">
        <v>688</v>
      </c>
      <c r="G307" s="24">
        <v>1</v>
      </c>
      <c r="H307" s="24">
        <v>3</v>
      </c>
      <c r="I307" s="24">
        <v>0</v>
      </c>
      <c r="J307" s="24">
        <v>40801</v>
      </c>
      <c r="K307" s="24">
        <v>0</v>
      </c>
      <c r="L307" s="24">
        <v>0</v>
      </c>
      <c r="M307" s="24">
        <v>1</v>
      </c>
      <c r="N307" s="24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</row>
    <row r="308" ht="16.5" spans="1:19">
      <c r="A308" s="24">
        <v>4090101</v>
      </c>
      <c r="B308" s="24" t="s">
        <v>689</v>
      </c>
      <c r="C308" s="24" t="s">
        <v>619</v>
      </c>
      <c r="D308" s="35">
        <v>2</v>
      </c>
      <c r="E308" s="24">
        <v>0</v>
      </c>
      <c r="F308" s="24" t="s">
        <v>690</v>
      </c>
      <c r="G308" s="24">
        <v>1</v>
      </c>
      <c r="H308" s="24">
        <v>3</v>
      </c>
      <c r="I308" s="24">
        <v>0</v>
      </c>
      <c r="J308" s="24">
        <v>40901</v>
      </c>
      <c r="K308" s="24">
        <v>0</v>
      </c>
      <c r="L308" s="24">
        <v>0</v>
      </c>
      <c r="M308" s="24">
        <v>1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</row>
    <row r="309" ht="16.5" spans="1:19">
      <c r="A309" s="24">
        <v>5010101</v>
      </c>
      <c r="B309" s="24" t="s">
        <v>691</v>
      </c>
      <c r="C309" s="24" t="s">
        <v>619</v>
      </c>
      <c r="D309" s="35">
        <v>1</v>
      </c>
      <c r="E309" s="24">
        <v>0</v>
      </c>
      <c r="F309" s="24" t="s">
        <v>692</v>
      </c>
      <c r="G309" s="24">
        <v>1</v>
      </c>
      <c r="H309" s="24">
        <v>3</v>
      </c>
      <c r="I309" s="24">
        <v>0</v>
      </c>
      <c r="J309" s="24">
        <v>50101</v>
      </c>
      <c r="K309" s="24">
        <v>0</v>
      </c>
      <c r="L309" s="24">
        <v>0</v>
      </c>
      <c r="M309" s="24">
        <v>1</v>
      </c>
      <c r="N309" s="24">
        <v>0</v>
      </c>
      <c r="O309" s="24">
        <v>0</v>
      </c>
      <c r="P309" s="24">
        <v>0</v>
      </c>
      <c r="Q309" s="24">
        <v>0</v>
      </c>
      <c r="R309" s="24">
        <v>0</v>
      </c>
      <c r="S309" s="24">
        <v>0</v>
      </c>
    </row>
    <row r="310" ht="16.5" spans="1:19">
      <c r="A310" s="24">
        <v>5020101</v>
      </c>
      <c r="B310" s="24" t="s">
        <v>693</v>
      </c>
      <c r="C310" s="24" t="s">
        <v>619</v>
      </c>
      <c r="D310" s="35">
        <v>1</v>
      </c>
      <c r="E310" s="24">
        <v>0</v>
      </c>
      <c r="F310" s="24" t="s">
        <v>694</v>
      </c>
      <c r="G310" s="24">
        <v>1</v>
      </c>
      <c r="H310" s="24">
        <v>3</v>
      </c>
      <c r="I310" s="24">
        <v>0</v>
      </c>
      <c r="J310" s="24">
        <v>50201</v>
      </c>
      <c r="K310" s="24">
        <v>0</v>
      </c>
      <c r="L310" s="24">
        <v>0</v>
      </c>
      <c r="M310" s="24">
        <v>1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</row>
    <row r="311" ht="16.5" spans="1:19">
      <c r="A311" s="24">
        <v>5030101</v>
      </c>
      <c r="B311" s="24" t="s">
        <v>695</v>
      </c>
      <c r="C311" s="24" t="s">
        <v>619</v>
      </c>
      <c r="D311" s="35">
        <v>3</v>
      </c>
      <c r="E311" s="24">
        <v>0</v>
      </c>
      <c r="F311" s="24" t="s">
        <v>696</v>
      </c>
      <c r="G311" s="24">
        <v>1</v>
      </c>
      <c r="H311" s="24">
        <v>3</v>
      </c>
      <c r="I311" s="24">
        <v>0</v>
      </c>
      <c r="J311" s="24">
        <v>50301</v>
      </c>
      <c r="K311" s="24">
        <v>0</v>
      </c>
      <c r="L311" s="24">
        <v>0</v>
      </c>
      <c r="M311" s="24">
        <v>1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</row>
    <row r="312" ht="16.5" spans="1:19">
      <c r="A312" s="24">
        <v>5040101</v>
      </c>
      <c r="B312" s="24" t="s">
        <v>697</v>
      </c>
      <c r="C312" s="24" t="s">
        <v>619</v>
      </c>
      <c r="D312" s="35">
        <v>2</v>
      </c>
      <c r="E312" s="24">
        <v>0</v>
      </c>
      <c r="F312" s="24" t="s">
        <v>698</v>
      </c>
      <c r="G312" s="24">
        <v>1</v>
      </c>
      <c r="H312" s="24">
        <v>3</v>
      </c>
      <c r="I312" s="24">
        <v>0</v>
      </c>
      <c r="J312" s="24">
        <v>50401</v>
      </c>
      <c r="K312" s="24">
        <v>0</v>
      </c>
      <c r="L312" s="24">
        <v>0</v>
      </c>
      <c r="M312" s="24">
        <v>1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</row>
    <row r="313" ht="16.5" spans="1:19">
      <c r="A313" s="24">
        <v>5050101</v>
      </c>
      <c r="B313" s="24" t="s">
        <v>699</v>
      </c>
      <c r="C313" s="24" t="s">
        <v>619</v>
      </c>
      <c r="D313" s="35">
        <v>2</v>
      </c>
      <c r="E313" s="24">
        <v>0</v>
      </c>
      <c r="F313" s="24" t="s">
        <v>700</v>
      </c>
      <c r="G313" s="24">
        <v>1</v>
      </c>
      <c r="H313" s="24">
        <v>3</v>
      </c>
      <c r="I313" s="24">
        <v>0</v>
      </c>
      <c r="J313" s="24">
        <v>50501</v>
      </c>
      <c r="K313" s="24">
        <v>0</v>
      </c>
      <c r="L313" s="24">
        <v>0</v>
      </c>
      <c r="M313" s="24">
        <v>1</v>
      </c>
      <c r="N313" s="24">
        <v>0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</row>
    <row r="314" ht="16.5" spans="1:19">
      <c r="A314" s="24">
        <v>5060101</v>
      </c>
      <c r="B314" s="24" t="s">
        <v>701</v>
      </c>
      <c r="C314" s="24" t="s">
        <v>619</v>
      </c>
      <c r="D314" s="35">
        <v>1</v>
      </c>
      <c r="E314" s="24">
        <v>0</v>
      </c>
      <c r="F314" s="24" t="s">
        <v>702</v>
      </c>
      <c r="G314" s="24">
        <v>1</v>
      </c>
      <c r="H314" s="24">
        <v>3</v>
      </c>
      <c r="I314" s="24">
        <v>0</v>
      </c>
      <c r="J314" s="24">
        <v>50601</v>
      </c>
      <c r="K314" s="24">
        <v>0</v>
      </c>
      <c r="L314" s="24">
        <v>0</v>
      </c>
      <c r="M314" s="24">
        <v>1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</row>
    <row r="315" ht="16.5" spans="1:19">
      <c r="A315" s="24">
        <v>5070101</v>
      </c>
      <c r="B315" s="24" t="s">
        <v>703</v>
      </c>
      <c r="C315" s="24" t="s">
        <v>619</v>
      </c>
      <c r="D315" s="35">
        <v>3</v>
      </c>
      <c r="E315" s="24">
        <v>0</v>
      </c>
      <c r="F315" s="24" t="s">
        <v>704</v>
      </c>
      <c r="G315" s="24">
        <v>1</v>
      </c>
      <c r="H315" s="24">
        <v>3</v>
      </c>
      <c r="I315" s="24">
        <v>0</v>
      </c>
      <c r="J315" s="24">
        <v>50701</v>
      </c>
      <c r="K315" s="24">
        <v>0</v>
      </c>
      <c r="L315" s="24">
        <v>0</v>
      </c>
      <c r="M315" s="24">
        <v>1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</row>
    <row r="316" ht="16.5" spans="1:19">
      <c r="A316" s="24">
        <v>5080101</v>
      </c>
      <c r="B316" s="24" t="s">
        <v>705</v>
      </c>
      <c r="C316" s="24" t="s">
        <v>619</v>
      </c>
      <c r="D316" s="35">
        <v>4</v>
      </c>
      <c r="E316" s="24">
        <v>0</v>
      </c>
      <c r="F316" s="24" t="s">
        <v>706</v>
      </c>
      <c r="G316" s="24">
        <v>1</v>
      </c>
      <c r="H316" s="24">
        <v>3</v>
      </c>
      <c r="I316" s="24">
        <v>0</v>
      </c>
      <c r="J316" s="24">
        <v>50801</v>
      </c>
      <c r="K316" s="24">
        <v>0</v>
      </c>
      <c r="L316" s="24">
        <v>0</v>
      </c>
      <c r="M316" s="24">
        <v>1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</row>
    <row r="317" ht="16.5" spans="1:19">
      <c r="A317" s="24">
        <v>5090101</v>
      </c>
      <c r="B317" s="24" t="s">
        <v>707</v>
      </c>
      <c r="C317" s="24" t="s">
        <v>619</v>
      </c>
      <c r="D317" s="35">
        <v>2</v>
      </c>
      <c r="E317" s="24">
        <v>0</v>
      </c>
      <c r="F317" s="24" t="s">
        <v>708</v>
      </c>
      <c r="G317" s="24">
        <v>1</v>
      </c>
      <c r="H317" s="24">
        <v>3</v>
      </c>
      <c r="I317" s="24">
        <v>0</v>
      </c>
      <c r="J317" s="24">
        <v>50901</v>
      </c>
      <c r="K317" s="24">
        <v>0</v>
      </c>
      <c r="L317" s="24">
        <v>0</v>
      </c>
      <c r="M317" s="24">
        <v>1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</row>
    <row r="318" spans="1:19">
      <c r="A318" s="24">
        <v>6010101</v>
      </c>
      <c r="B318" s="24" t="s">
        <v>709</v>
      </c>
      <c r="C318" s="24" t="s">
        <v>619</v>
      </c>
      <c r="D318" s="24">
        <v>5</v>
      </c>
      <c r="E318" s="24">
        <v>0</v>
      </c>
      <c r="F318" s="24" t="s">
        <v>710</v>
      </c>
      <c r="G318" s="24">
        <v>1</v>
      </c>
      <c r="H318" s="24">
        <v>3</v>
      </c>
      <c r="I318" s="24">
        <v>0</v>
      </c>
      <c r="J318" s="24">
        <v>60101</v>
      </c>
      <c r="K318" s="24">
        <v>0</v>
      </c>
      <c r="L318" s="24">
        <v>0</v>
      </c>
      <c r="M318" s="24">
        <v>1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</row>
    <row r="319" spans="1:19">
      <c r="A319" s="24">
        <v>6020101</v>
      </c>
      <c r="B319" s="24" t="s">
        <v>711</v>
      </c>
      <c r="C319" s="24" t="s">
        <v>619</v>
      </c>
      <c r="D319" s="24">
        <v>5</v>
      </c>
      <c r="E319" s="24">
        <v>0</v>
      </c>
      <c r="F319" s="24" t="s">
        <v>712</v>
      </c>
      <c r="G319" s="24">
        <v>1</v>
      </c>
      <c r="H319" s="24">
        <v>3</v>
      </c>
      <c r="I319" s="24">
        <v>0</v>
      </c>
      <c r="J319" s="24">
        <v>60201</v>
      </c>
      <c r="K319" s="24">
        <v>0</v>
      </c>
      <c r="L319" s="24">
        <v>0</v>
      </c>
      <c r="M319" s="24">
        <v>1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</row>
    <row r="320" spans="1:19">
      <c r="A320" s="24">
        <v>6030101</v>
      </c>
      <c r="B320" s="24" t="s">
        <v>713</v>
      </c>
      <c r="C320" s="24" t="s">
        <v>619</v>
      </c>
      <c r="D320" s="24">
        <v>5</v>
      </c>
      <c r="E320" s="24">
        <v>0</v>
      </c>
      <c r="F320" s="24" t="s">
        <v>714</v>
      </c>
      <c r="G320" s="24">
        <v>1</v>
      </c>
      <c r="H320" s="24">
        <v>3</v>
      </c>
      <c r="I320" s="24">
        <v>0</v>
      </c>
      <c r="J320" s="24">
        <v>60301</v>
      </c>
      <c r="K320" s="24">
        <v>0</v>
      </c>
      <c r="L320" s="24">
        <v>0</v>
      </c>
      <c r="M320" s="24">
        <v>1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</row>
    <row r="321" spans="1:19">
      <c r="A321" s="24">
        <v>6040101</v>
      </c>
      <c r="B321" s="24" t="s">
        <v>715</v>
      </c>
      <c r="C321" s="24" t="s">
        <v>619</v>
      </c>
      <c r="D321" s="24">
        <v>5</v>
      </c>
      <c r="E321" s="24">
        <v>0</v>
      </c>
      <c r="F321" s="24" t="s">
        <v>716</v>
      </c>
      <c r="G321" s="24">
        <v>1</v>
      </c>
      <c r="H321" s="24">
        <v>3</v>
      </c>
      <c r="I321" s="24">
        <v>0</v>
      </c>
      <c r="J321" s="24">
        <v>60401</v>
      </c>
      <c r="K321" s="24">
        <v>0</v>
      </c>
      <c r="L321" s="24">
        <v>0</v>
      </c>
      <c r="M321" s="24">
        <v>1</v>
      </c>
      <c r="N321" s="24">
        <v>0</v>
      </c>
      <c r="O321" s="24">
        <v>0</v>
      </c>
      <c r="P321" s="24">
        <v>0</v>
      </c>
      <c r="Q321" s="24">
        <v>0</v>
      </c>
      <c r="R321" s="24">
        <v>0</v>
      </c>
      <c r="S321" s="24">
        <v>0</v>
      </c>
    </row>
    <row r="322" spans="1:19">
      <c r="A322" s="24">
        <v>6050101</v>
      </c>
      <c r="B322" s="24" t="s">
        <v>717</v>
      </c>
      <c r="C322" s="24" t="s">
        <v>619</v>
      </c>
      <c r="D322" s="24">
        <v>5</v>
      </c>
      <c r="E322" s="24">
        <v>0</v>
      </c>
      <c r="F322" s="24" t="s">
        <v>718</v>
      </c>
      <c r="G322" s="24">
        <v>1</v>
      </c>
      <c r="H322" s="24">
        <v>3</v>
      </c>
      <c r="I322" s="24">
        <v>0</v>
      </c>
      <c r="J322" s="24">
        <v>60501</v>
      </c>
      <c r="K322" s="24">
        <v>0</v>
      </c>
      <c r="L322" s="24">
        <v>0</v>
      </c>
      <c r="M322" s="24">
        <v>1</v>
      </c>
      <c r="N322" s="24">
        <v>0</v>
      </c>
      <c r="O322" s="24">
        <v>0</v>
      </c>
      <c r="P322" s="24">
        <v>0</v>
      </c>
      <c r="Q322" s="24">
        <v>0</v>
      </c>
      <c r="R322" s="24">
        <v>0</v>
      </c>
      <c r="S322" s="24">
        <v>0</v>
      </c>
    </row>
    <row r="323" spans="1:19">
      <c r="A323" s="24">
        <v>6060101</v>
      </c>
      <c r="B323" s="24" t="s">
        <v>719</v>
      </c>
      <c r="C323" s="24" t="s">
        <v>619</v>
      </c>
      <c r="D323" s="24">
        <v>5</v>
      </c>
      <c r="E323" s="24">
        <v>0</v>
      </c>
      <c r="F323" s="24" t="s">
        <v>720</v>
      </c>
      <c r="G323" s="24">
        <v>1</v>
      </c>
      <c r="H323" s="24">
        <v>3</v>
      </c>
      <c r="I323" s="24">
        <v>0</v>
      </c>
      <c r="J323" s="24">
        <v>60601</v>
      </c>
      <c r="K323" s="24">
        <v>0</v>
      </c>
      <c r="L323" s="24">
        <v>0</v>
      </c>
      <c r="M323" s="24">
        <v>1</v>
      </c>
      <c r="N323" s="24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</row>
    <row r="324" spans="1:19">
      <c r="A324" s="24">
        <v>6070101</v>
      </c>
      <c r="B324" s="24" t="s">
        <v>721</v>
      </c>
      <c r="C324" s="24" t="s">
        <v>619</v>
      </c>
      <c r="D324" s="24">
        <v>5</v>
      </c>
      <c r="E324" s="24">
        <v>0</v>
      </c>
      <c r="F324" s="24" t="s">
        <v>722</v>
      </c>
      <c r="G324" s="24">
        <v>1</v>
      </c>
      <c r="H324" s="24">
        <v>3</v>
      </c>
      <c r="I324" s="24">
        <v>0</v>
      </c>
      <c r="J324" s="24">
        <v>60701</v>
      </c>
      <c r="K324" s="24">
        <v>0</v>
      </c>
      <c r="L324" s="24">
        <v>0</v>
      </c>
      <c r="M324" s="24">
        <v>1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</row>
    <row r="325" spans="1:19">
      <c r="A325" s="24">
        <v>6080101</v>
      </c>
      <c r="B325" s="24" t="s">
        <v>723</v>
      </c>
      <c r="C325" s="24" t="s">
        <v>619</v>
      </c>
      <c r="D325" s="24">
        <v>5</v>
      </c>
      <c r="E325" s="24">
        <v>0</v>
      </c>
      <c r="F325" s="24" t="s">
        <v>724</v>
      </c>
      <c r="G325" s="24">
        <v>1</v>
      </c>
      <c r="H325" s="24">
        <v>3</v>
      </c>
      <c r="I325" s="24">
        <v>0</v>
      </c>
      <c r="J325" s="24">
        <v>60801</v>
      </c>
      <c r="K325" s="24">
        <v>0</v>
      </c>
      <c r="L325" s="24">
        <v>0</v>
      </c>
      <c r="M325" s="24">
        <v>1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</row>
    <row r="326" spans="1:19">
      <c r="A326" s="24">
        <v>6090101</v>
      </c>
      <c r="B326" s="24" t="s">
        <v>725</v>
      </c>
      <c r="C326" s="24" t="s">
        <v>619</v>
      </c>
      <c r="D326" s="24">
        <v>5</v>
      </c>
      <c r="E326" s="24">
        <v>0</v>
      </c>
      <c r="F326" s="24" t="s">
        <v>726</v>
      </c>
      <c r="G326" s="24">
        <v>1</v>
      </c>
      <c r="H326" s="24">
        <v>3</v>
      </c>
      <c r="I326" s="24">
        <v>0</v>
      </c>
      <c r="J326" s="24">
        <v>60901</v>
      </c>
      <c r="K326" s="24">
        <v>0</v>
      </c>
      <c r="L326" s="24">
        <v>0</v>
      </c>
      <c r="M326" s="24">
        <v>1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</row>
    <row r="327" spans="1:19">
      <c r="A327" s="24">
        <v>7010101</v>
      </c>
      <c r="B327" s="24" t="s">
        <v>727</v>
      </c>
      <c r="C327" s="24" t="s">
        <v>619</v>
      </c>
      <c r="D327" s="24">
        <v>5</v>
      </c>
      <c r="E327" s="24">
        <v>0</v>
      </c>
      <c r="F327" s="24" t="s">
        <v>617</v>
      </c>
      <c r="G327" s="24">
        <v>1</v>
      </c>
      <c r="H327" s="24">
        <v>3</v>
      </c>
      <c r="I327" s="24">
        <v>0</v>
      </c>
      <c r="J327" s="24">
        <v>70101</v>
      </c>
      <c r="K327" s="24">
        <v>0</v>
      </c>
      <c r="L327" s="24">
        <v>0</v>
      </c>
      <c r="M327" s="24">
        <v>1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0</v>
      </c>
    </row>
    <row r="328" spans="1:19">
      <c r="A328" s="24">
        <v>7020101</v>
      </c>
      <c r="B328" s="24" t="s">
        <v>728</v>
      </c>
      <c r="C328" s="24" t="s">
        <v>619</v>
      </c>
      <c r="D328" s="24">
        <v>5</v>
      </c>
      <c r="E328" s="24">
        <v>0</v>
      </c>
      <c r="F328" s="24" t="s">
        <v>617</v>
      </c>
      <c r="G328" s="24">
        <v>1</v>
      </c>
      <c r="H328" s="24">
        <v>3</v>
      </c>
      <c r="I328" s="24">
        <v>0</v>
      </c>
      <c r="J328" s="24">
        <v>70201</v>
      </c>
      <c r="K328" s="24">
        <v>0</v>
      </c>
      <c r="L328" s="24">
        <v>0</v>
      </c>
      <c r="M328" s="24">
        <v>1</v>
      </c>
      <c r="N328" s="24">
        <v>0</v>
      </c>
      <c r="O328" s="24">
        <v>0</v>
      </c>
      <c r="P328" s="24">
        <v>0</v>
      </c>
      <c r="Q328" s="24">
        <v>0</v>
      </c>
      <c r="R328" s="24">
        <v>0</v>
      </c>
      <c r="S328" s="24">
        <v>0</v>
      </c>
    </row>
    <row r="329" spans="1:19">
      <c r="A329" s="24">
        <v>7030101</v>
      </c>
      <c r="B329" s="24" t="s">
        <v>729</v>
      </c>
      <c r="C329" s="24" t="s">
        <v>619</v>
      </c>
      <c r="D329" s="24">
        <v>5</v>
      </c>
      <c r="E329" s="24">
        <v>0</v>
      </c>
      <c r="F329" s="24" t="s">
        <v>617</v>
      </c>
      <c r="G329" s="24">
        <v>1</v>
      </c>
      <c r="H329" s="24">
        <v>3</v>
      </c>
      <c r="I329" s="24">
        <v>0</v>
      </c>
      <c r="J329" s="24">
        <v>70301</v>
      </c>
      <c r="K329" s="24">
        <v>0</v>
      </c>
      <c r="L329" s="24">
        <v>0</v>
      </c>
      <c r="M329" s="24">
        <v>1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</row>
    <row r="330" spans="1:19">
      <c r="A330" s="24">
        <v>7040101</v>
      </c>
      <c r="B330" s="24" t="s">
        <v>730</v>
      </c>
      <c r="C330" s="24" t="s">
        <v>619</v>
      </c>
      <c r="D330" s="24">
        <v>5</v>
      </c>
      <c r="E330" s="24">
        <v>0</v>
      </c>
      <c r="F330" s="24" t="s">
        <v>617</v>
      </c>
      <c r="G330" s="24">
        <v>1</v>
      </c>
      <c r="H330" s="24">
        <v>3</v>
      </c>
      <c r="I330" s="24">
        <v>0</v>
      </c>
      <c r="J330" s="24">
        <v>70401</v>
      </c>
      <c r="K330" s="24">
        <v>0</v>
      </c>
      <c r="L330" s="24">
        <v>0</v>
      </c>
      <c r="M330" s="24">
        <v>1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</row>
    <row r="331" spans="1:19">
      <c r="A331" s="24">
        <v>7050101</v>
      </c>
      <c r="B331" s="24" t="s">
        <v>731</v>
      </c>
      <c r="C331" s="24" t="s">
        <v>619</v>
      </c>
      <c r="D331" s="24">
        <v>5</v>
      </c>
      <c r="E331" s="24">
        <v>0</v>
      </c>
      <c r="F331" s="24" t="s">
        <v>617</v>
      </c>
      <c r="G331" s="24">
        <v>1</v>
      </c>
      <c r="H331" s="24">
        <v>3</v>
      </c>
      <c r="I331" s="24">
        <v>0</v>
      </c>
      <c r="J331" s="24">
        <v>70501</v>
      </c>
      <c r="K331" s="24">
        <v>0</v>
      </c>
      <c r="L331" s="24">
        <v>0</v>
      </c>
      <c r="M331" s="24">
        <v>1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</row>
    <row r="332" spans="1:19">
      <c r="A332" s="24">
        <v>7060101</v>
      </c>
      <c r="B332" s="24" t="s">
        <v>732</v>
      </c>
      <c r="C332" s="24" t="s">
        <v>619</v>
      </c>
      <c r="D332" s="24">
        <v>5</v>
      </c>
      <c r="E332" s="24">
        <v>0</v>
      </c>
      <c r="F332" s="24" t="s">
        <v>617</v>
      </c>
      <c r="G332" s="24">
        <v>1</v>
      </c>
      <c r="H332" s="24">
        <v>3</v>
      </c>
      <c r="I332" s="24">
        <v>0</v>
      </c>
      <c r="J332" s="24">
        <v>70601</v>
      </c>
      <c r="K332" s="24">
        <v>0</v>
      </c>
      <c r="L332" s="24">
        <v>0</v>
      </c>
      <c r="M332" s="24">
        <v>1</v>
      </c>
      <c r="N332" s="24">
        <v>0</v>
      </c>
      <c r="O332" s="24">
        <v>0</v>
      </c>
      <c r="P332" s="24">
        <v>0</v>
      </c>
      <c r="Q332" s="24">
        <v>0</v>
      </c>
      <c r="R332" s="24">
        <v>0</v>
      </c>
      <c r="S332" s="24">
        <v>0</v>
      </c>
    </row>
    <row r="333" spans="1:19">
      <c r="A333" s="24">
        <v>7070101</v>
      </c>
      <c r="B333" s="24" t="s">
        <v>733</v>
      </c>
      <c r="C333" s="24" t="s">
        <v>619</v>
      </c>
      <c r="D333" s="24">
        <v>5</v>
      </c>
      <c r="E333" s="24">
        <v>0</v>
      </c>
      <c r="F333" s="24" t="s">
        <v>617</v>
      </c>
      <c r="G333" s="24">
        <v>1</v>
      </c>
      <c r="H333" s="24">
        <v>3</v>
      </c>
      <c r="I333" s="24">
        <v>0</v>
      </c>
      <c r="J333" s="24">
        <v>70701</v>
      </c>
      <c r="K333" s="24">
        <v>0</v>
      </c>
      <c r="L333" s="24">
        <v>0</v>
      </c>
      <c r="M333" s="24">
        <v>1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</row>
    <row r="334" spans="1:19">
      <c r="A334" s="24">
        <v>7080101</v>
      </c>
      <c r="B334" s="24" t="s">
        <v>734</v>
      </c>
      <c r="C334" s="24" t="s">
        <v>619</v>
      </c>
      <c r="D334" s="24">
        <v>5</v>
      </c>
      <c r="E334" s="24">
        <v>0</v>
      </c>
      <c r="F334" s="24" t="s">
        <v>617</v>
      </c>
      <c r="G334" s="24">
        <v>1</v>
      </c>
      <c r="H334" s="24">
        <v>3</v>
      </c>
      <c r="I334" s="24">
        <v>0</v>
      </c>
      <c r="J334" s="24">
        <v>70801</v>
      </c>
      <c r="K334" s="24">
        <v>0</v>
      </c>
      <c r="L334" s="24">
        <v>0</v>
      </c>
      <c r="M334" s="24">
        <v>1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</row>
    <row r="335" spans="1:19">
      <c r="A335" s="24">
        <v>7090101</v>
      </c>
      <c r="B335" s="24" t="s">
        <v>735</v>
      </c>
      <c r="C335" s="24" t="s">
        <v>619</v>
      </c>
      <c r="D335" s="24">
        <v>5</v>
      </c>
      <c r="E335" s="24">
        <v>0</v>
      </c>
      <c r="F335" s="24" t="s">
        <v>617</v>
      </c>
      <c r="G335" s="24">
        <v>1</v>
      </c>
      <c r="H335" s="24">
        <v>3</v>
      </c>
      <c r="I335" s="24">
        <v>0</v>
      </c>
      <c r="J335" s="24">
        <v>70901</v>
      </c>
      <c r="K335" s="24">
        <v>0</v>
      </c>
      <c r="L335" s="24">
        <v>0</v>
      </c>
      <c r="M335" s="24">
        <v>1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</row>
    <row r="336" spans="1:19">
      <c r="A336" s="24">
        <v>8010101</v>
      </c>
      <c r="B336" s="24" t="s">
        <v>736</v>
      </c>
      <c r="C336" s="24" t="s">
        <v>619</v>
      </c>
      <c r="D336" s="24">
        <v>5</v>
      </c>
      <c r="E336" s="24">
        <v>0</v>
      </c>
      <c r="F336" s="24" t="s">
        <v>617</v>
      </c>
      <c r="G336" s="24">
        <v>1</v>
      </c>
      <c r="H336" s="24">
        <v>3</v>
      </c>
      <c r="I336" s="24">
        <v>0</v>
      </c>
      <c r="J336" s="24">
        <v>80101</v>
      </c>
      <c r="K336" s="24">
        <v>0</v>
      </c>
      <c r="L336" s="24">
        <v>0</v>
      </c>
      <c r="M336" s="24">
        <v>1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</row>
    <row r="337" spans="1:19">
      <c r="A337" s="24">
        <v>8020101</v>
      </c>
      <c r="B337" s="24" t="s">
        <v>737</v>
      </c>
      <c r="C337" s="24" t="s">
        <v>619</v>
      </c>
      <c r="D337" s="24">
        <v>5</v>
      </c>
      <c r="E337" s="24">
        <v>0</v>
      </c>
      <c r="F337" s="24" t="s">
        <v>617</v>
      </c>
      <c r="G337" s="24">
        <v>1</v>
      </c>
      <c r="H337" s="24">
        <v>3</v>
      </c>
      <c r="I337" s="24">
        <v>0</v>
      </c>
      <c r="J337" s="24">
        <v>80201</v>
      </c>
      <c r="K337" s="24">
        <v>0</v>
      </c>
      <c r="L337" s="24">
        <v>0</v>
      </c>
      <c r="M337" s="24">
        <v>1</v>
      </c>
      <c r="N337" s="24">
        <v>0</v>
      </c>
      <c r="O337" s="24">
        <v>0</v>
      </c>
      <c r="P337" s="24">
        <v>0</v>
      </c>
      <c r="Q337" s="24">
        <v>0</v>
      </c>
      <c r="R337" s="24">
        <v>0</v>
      </c>
      <c r="S337" s="24">
        <v>0</v>
      </c>
    </row>
    <row r="338" spans="1:19">
      <c r="A338" s="24">
        <v>8030101</v>
      </c>
      <c r="B338" s="24" t="s">
        <v>738</v>
      </c>
      <c r="C338" s="24" t="s">
        <v>619</v>
      </c>
      <c r="D338" s="24">
        <v>5</v>
      </c>
      <c r="E338" s="24">
        <v>0</v>
      </c>
      <c r="F338" s="24" t="s">
        <v>617</v>
      </c>
      <c r="G338" s="24">
        <v>1</v>
      </c>
      <c r="H338" s="24">
        <v>3</v>
      </c>
      <c r="I338" s="24">
        <v>0</v>
      </c>
      <c r="J338" s="24">
        <v>80301</v>
      </c>
      <c r="K338" s="24">
        <v>0</v>
      </c>
      <c r="L338" s="24">
        <v>0</v>
      </c>
      <c r="M338" s="24">
        <v>1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</row>
    <row r="339" spans="1:19">
      <c r="A339" s="24">
        <v>8040101</v>
      </c>
      <c r="B339" s="24" t="s">
        <v>739</v>
      </c>
      <c r="C339" s="24" t="s">
        <v>619</v>
      </c>
      <c r="D339" s="24">
        <v>5</v>
      </c>
      <c r="E339" s="24">
        <v>0</v>
      </c>
      <c r="F339" s="24" t="s">
        <v>617</v>
      </c>
      <c r="G339" s="24">
        <v>1</v>
      </c>
      <c r="H339" s="24">
        <v>3</v>
      </c>
      <c r="I339" s="24">
        <v>0</v>
      </c>
      <c r="J339" s="24">
        <v>80401</v>
      </c>
      <c r="K339" s="24">
        <v>0</v>
      </c>
      <c r="L339" s="24">
        <v>0</v>
      </c>
      <c r="M339" s="24">
        <v>1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</row>
    <row r="340" spans="1:19">
      <c r="A340" s="24">
        <v>8050101</v>
      </c>
      <c r="B340" s="24" t="s">
        <v>740</v>
      </c>
      <c r="C340" s="24" t="s">
        <v>619</v>
      </c>
      <c r="D340" s="24">
        <v>5</v>
      </c>
      <c r="E340" s="24">
        <v>0</v>
      </c>
      <c r="F340" s="24" t="s">
        <v>617</v>
      </c>
      <c r="G340" s="24">
        <v>1</v>
      </c>
      <c r="H340" s="24">
        <v>3</v>
      </c>
      <c r="I340" s="24">
        <v>0</v>
      </c>
      <c r="J340" s="24">
        <v>80501</v>
      </c>
      <c r="K340" s="24">
        <v>0</v>
      </c>
      <c r="L340" s="24">
        <v>0</v>
      </c>
      <c r="M340" s="24">
        <v>1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</row>
    <row r="341" spans="1:19">
      <c r="A341" s="24">
        <v>8060101</v>
      </c>
      <c r="B341" s="24" t="s">
        <v>741</v>
      </c>
      <c r="C341" s="24" t="s">
        <v>619</v>
      </c>
      <c r="D341" s="24">
        <v>5</v>
      </c>
      <c r="E341" s="24">
        <v>0</v>
      </c>
      <c r="F341" s="24" t="s">
        <v>617</v>
      </c>
      <c r="G341" s="24">
        <v>1</v>
      </c>
      <c r="H341" s="24">
        <v>3</v>
      </c>
      <c r="I341" s="24">
        <v>0</v>
      </c>
      <c r="J341" s="24">
        <v>80601</v>
      </c>
      <c r="K341" s="24">
        <v>0</v>
      </c>
      <c r="L341" s="24">
        <v>0</v>
      </c>
      <c r="M341" s="24">
        <v>1</v>
      </c>
      <c r="N341" s="24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</row>
    <row r="342" spans="1:19">
      <c r="A342" s="24">
        <v>8070101</v>
      </c>
      <c r="B342" s="24" t="s">
        <v>742</v>
      </c>
      <c r="C342" s="24" t="s">
        <v>619</v>
      </c>
      <c r="D342" s="24">
        <v>5</v>
      </c>
      <c r="E342" s="24">
        <v>0</v>
      </c>
      <c r="F342" s="24" t="s">
        <v>617</v>
      </c>
      <c r="G342" s="24">
        <v>1</v>
      </c>
      <c r="H342" s="24">
        <v>3</v>
      </c>
      <c r="I342" s="24">
        <v>0</v>
      </c>
      <c r="J342" s="24">
        <v>80701</v>
      </c>
      <c r="K342" s="24">
        <v>0</v>
      </c>
      <c r="L342" s="24">
        <v>0</v>
      </c>
      <c r="M342" s="24">
        <v>1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</row>
    <row r="343" spans="1:19">
      <c r="A343" s="24">
        <v>8080101</v>
      </c>
      <c r="B343" s="24" t="s">
        <v>743</v>
      </c>
      <c r="C343" s="24" t="s">
        <v>619</v>
      </c>
      <c r="D343" s="24">
        <v>5</v>
      </c>
      <c r="E343" s="24">
        <v>0</v>
      </c>
      <c r="F343" s="24" t="s">
        <v>617</v>
      </c>
      <c r="G343" s="24">
        <v>1</v>
      </c>
      <c r="H343" s="24">
        <v>3</v>
      </c>
      <c r="I343" s="24">
        <v>0</v>
      </c>
      <c r="J343" s="24">
        <v>80801</v>
      </c>
      <c r="K343" s="24">
        <v>0</v>
      </c>
      <c r="L343" s="24">
        <v>0</v>
      </c>
      <c r="M343" s="24">
        <v>1</v>
      </c>
      <c r="N343" s="24">
        <v>0</v>
      </c>
      <c r="O343" s="24">
        <v>0</v>
      </c>
      <c r="P343" s="24">
        <v>0</v>
      </c>
      <c r="Q343" s="24">
        <v>0</v>
      </c>
      <c r="R343" s="24">
        <v>0</v>
      </c>
      <c r="S343" s="24">
        <v>0</v>
      </c>
    </row>
    <row r="344" spans="1:19">
      <c r="A344" s="24">
        <v>8090101</v>
      </c>
      <c r="B344" s="24" t="s">
        <v>744</v>
      </c>
      <c r="C344" s="24" t="s">
        <v>619</v>
      </c>
      <c r="D344" s="24">
        <v>5</v>
      </c>
      <c r="E344" s="24">
        <v>0</v>
      </c>
      <c r="F344" s="24" t="s">
        <v>617</v>
      </c>
      <c r="G344" s="24">
        <v>1</v>
      </c>
      <c r="H344" s="24">
        <v>3</v>
      </c>
      <c r="I344" s="24">
        <v>0</v>
      </c>
      <c r="J344" s="24">
        <v>80901</v>
      </c>
      <c r="K344" s="24">
        <v>0</v>
      </c>
      <c r="L344" s="24">
        <v>0</v>
      </c>
      <c r="M344" s="24">
        <v>1</v>
      </c>
      <c r="N344" s="24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</row>
    <row r="345" spans="1:19">
      <c r="A345" s="24">
        <v>10000001</v>
      </c>
      <c r="B345" s="24" t="s">
        <v>745</v>
      </c>
      <c r="C345" s="24" t="s">
        <v>746</v>
      </c>
      <c r="D345" s="24">
        <v>1</v>
      </c>
      <c r="E345" s="24">
        <v>0</v>
      </c>
      <c r="F345" s="24" t="s">
        <v>747</v>
      </c>
      <c r="G345" s="24">
        <v>1</v>
      </c>
      <c r="H345" s="24">
        <v>6</v>
      </c>
      <c r="I345" s="24">
        <v>0</v>
      </c>
      <c r="J345" s="24" t="s">
        <v>748</v>
      </c>
      <c r="K345" s="24">
        <v>0</v>
      </c>
      <c r="L345" s="24">
        <v>0</v>
      </c>
      <c r="M345" s="24">
        <v>1</v>
      </c>
      <c r="N345" s="24">
        <v>2</v>
      </c>
      <c r="O345" s="24">
        <v>0</v>
      </c>
      <c r="P345" s="24">
        <v>0</v>
      </c>
      <c r="Q345" s="24">
        <v>0</v>
      </c>
      <c r="R345" s="24">
        <v>0</v>
      </c>
      <c r="S345" s="24">
        <v>0</v>
      </c>
    </row>
    <row r="346" spans="1:19">
      <c r="A346" s="24">
        <v>10000002</v>
      </c>
      <c r="B346" s="24" t="s">
        <v>749</v>
      </c>
      <c r="C346" s="24" t="s">
        <v>750</v>
      </c>
      <c r="D346" s="24">
        <v>2</v>
      </c>
      <c r="E346" s="24">
        <v>0</v>
      </c>
      <c r="F346" s="24" t="s">
        <v>751</v>
      </c>
      <c r="G346" s="24">
        <v>1</v>
      </c>
      <c r="H346" s="24">
        <v>6</v>
      </c>
      <c r="I346" s="24">
        <v>0</v>
      </c>
      <c r="J346" s="24" t="s">
        <v>752</v>
      </c>
      <c r="K346" s="24">
        <v>0</v>
      </c>
      <c r="L346" s="24">
        <v>0</v>
      </c>
      <c r="M346" s="24">
        <v>1</v>
      </c>
      <c r="N346" s="24">
        <v>2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</row>
    <row r="347" spans="1:19">
      <c r="A347" s="24">
        <v>10000003</v>
      </c>
      <c r="B347" s="24" t="s">
        <v>753</v>
      </c>
      <c r="C347" s="24" t="s">
        <v>754</v>
      </c>
      <c r="D347" s="24">
        <v>3</v>
      </c>
      <c r="E347" s="24">
        <v>0</v>
      </c>
      <c r="F347" s="24" t="s">
        <v>755</v>
      </c>
      <c r="G347" s="24">
        <v>1</v>
      </c>
      <c r="H347" s="24">
        <v>6</v>
      </c>
      <c r="I347" s="24">
        <v>0</v>
      </c>
      <c r="J347" s="24" t="s">
        <v>756</v>
      </c>
      <c r="K347" s="24">
        <v>0</v>
      </c>
      <c r="L347" s="24">
        <v>0</v>
      </c>
      <c r="M347" s="24">
        <v>1</v>
      </c>
      <c r="N347" s="24">
        <v>2</v>
      </c>
      <c r="O347" s="24">
        <v>0</v>
      </c>
      <c r="P347" s="24">
        <v>0</v>
      </c>
      <c r="Q347" s="24">
        <v>0</v>
      </c>
      <c r="R347" s="24">
        <v>0</v>
      </c>
      <c r="S347" s="24">
        <v>0</v>
      </c>
    </row>
    <row r="348" spans="1:19">
      <c r="A348" s="24">
        <v>10000004</v>
      </c>
      <c r="B348" s="24" t="s">
        <v>757</v>
      </c>
      <c r="C348" s="24" t="s">
        <v>758</v>
      </c>
      <c r="D348" s="24">
        <v>4</v>
      </c>
      <c r="E348" s="24">
        <v>0</v>
      </c>
      <c r="F348" s="24" t="s">
        <v>759</v>
      </c>
      <c r="G348" s="24">
        <v>1</v>
      </c>
      <c r="H348" s="24">
        <v>6</v>
      </c>
      <c r="I348" s="24">
        <v>0</v>
      </c>
      <c r="J348" s="24" t="s">
        <v>760</v>
      </c>
      <c r="K348" s="24">
        <v>0</v>
      </c>
      <c r="L348" s="24">
        <v>0</v>
      </c>
      <c r="M348" s="24">
        <v>1</v>
      </c>
      <c r="N348" s="24">
        <v>2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</row>
  </sheetData>
  <autoFilter xmlns:etc="http://www.wps.cn/officeDocument/2017/etCustomData" ref="A3:Q348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1"/>
  <sheetViews>
    <sheetView workbookViewId="0">
      <pane xSplit="2" ySplit="3" topLeftCell="C341" activePane="bottomRight" state="frozen"/>
      <selection/>
      <selection pane="topRight"/>
      <selection pane="bottomLeft"/>
      <selection pane="bottomRight" activeCell="A216" sqref="$A216:$XFD351"/>
    </sheetView>
  </sheetViews>
  <sheetFormatPr defaultColWidth="9" defaultRowHeight="16.5"/>
  <cols>
    <col min="1" max="1" width="17.875" style="11" customWidth="1"/>
    <col min="2" max="3" width="20.875" style="10" customWidth="1"/>
    <col min="4" max="4" width="13.75" style="10" customWidth="1"/>
    <col min="5" max="5" width="13.75" style="12" customWidth="1"/>
    <col min="6" max="6" width="20.5" style="10" customWidth="1"/>
    <col min="7" max="7" width="23.75" style="10" customWidth="1"/>
    <col min="8" max="11" width="25.875" style="10" customWidth="1"/>
    <col min="12" max="15" width="23.75" style="10" customWidth="1"/>
    <col min="16" max="16" width="34.25" style="10" customWidth="1"/>
    <col min="17" max="17" width="27.625" style="11" customWidth="1"/>
    <col min="18" max="18" width="14.375" style="11" customWidth="1"/>
    <col min="19" max="16384" width="9" style="10"/>
  </cols>
  <sheetData>
    <row r="1" s="10" customFormat="1" spans="1:18">
      <c r="A1" s="13" t="s">
        <v>0</v>
      </c>
      <c r="B1" s="13" t="s">
        <v>1</v>
      </c>
      <c r="C1" s="14" t="s">
        <v>2</v>
      </c>
      <c r="D1" s="13" t="s">
        <v>3</v>
      </c>
      <c r="E1" s="15" t="s">
        <v>4</v>
      </c>
      <c r="F1" s="13" t="s">
        <v>5</v>
      </c>
      <c r="G1" s="13" t="s">
        <v>6</v>
      </c>
      <c r="H1" s="13" t="s">
        <v>7</v>
      </c>
      <c r="I1" s="16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3" t="s">
        <v>15</v>
      </c>
      <c r="Q1" s="17" t="s">
        <v>16</v>
      </c>
      <c r="R1" s="14" t="s">
        <v>17</v>
      </c>
    </row>
    <row r="2" s="10" customFormat="1" spans="1:18">
      <c r="A2" s="13" t="s">
        <v>19</v>
      </c>
      <c r="B2" s="13" t="s">
        <v>20</v>
      </c>
      <c r="C2" s="14" t="s">
        <v>20</v>
      </c>
      <c r="D2" s="13" t="s">
        <v>19</v>
      </c>
      <c r="E2" s="15" t="s">
        <v>19</v>
      </c>
      <c r="F2" s="13" t="s">
        <v>20</v>
      </c>
      <c r="G2" s="13" t="s">
        <v>19</v>
      </c>
      <c r="H2" s="13" t="s">
        <v>19</v>
      </c>
      <c r="I2" s="16" t="s">
        <v>19</v>
      </c>
      <c r="J2" s="14" t="s">
        <v>20</v>
      </c>
      <c r="K2" s="14" t="s">
        <v>20</v>
      </c>
      <c r="L2" s="14" t="s">
        <v>19</v>
      </c>
      <c r="M2" s="14" t="s">
        <v>19</v>
      </c>
      <c r="N2" s="14" t="s">
        <v>19</v>
      </c>
      <c r="O2" s="14" t="s">
        <v>19</v>
      </c>
      <c r="P2" s="13" t="s">
        <v>20</v>
      </c>
      <c r="Q2" s="18" t="s">
        <v>20</v>
      </c>
      <c r="R2" s="14" t="s">
        <v>19</v>
      </c>
    </row>
    <row r="3" s="10" customFormat="1" ht="82" customHeight="1" spans="1:18">
      <c r="A3" s="19" t="s">
        <v>21</v>
      </c>
      <c r="B3" s="19" t="s">
        <v>22</v>
      </c>
      <c r="C3" s="20" t="s">
        <v>23</v>
      </c>
      <c r="D3" s="19" t="s">
        <v>24</v>
      </c>
      <c r="E3" s="21" t="s">
        <v>25</v>
      </c>
      <c r="F3" s="19" t="s">
        <v>26</v>
      </c>
      <c r="G3" s="19" t="s">
        <v>27</v>
      </c>
      <c r="H3" s="19" t="s">
        <v>761</v>
      </c>
      <c r="I3" s="22" t="s">
        <v>29</v>
      </c>
      <c r="J3" s="20" t="s">
        <v>30</v>
      </c>
      <c r="K3" s="20" t="s">
        <v>31</v>
      </c>
      <c r="L3" s="20" t="s">
        <v>32</v>
      </c>
      <c r="M3" s="20" t="s">
        <v>33</v>
      </c>
      <c r="N3" s="20" t="s">
        <v>34</v>
      </c>
      <c r="O3" s="20" t="s">
        <v>35</v>
      </c>
      <c r="P3" s="19" t="s">
        <v>36</v>
      </c>
      <c r="Q3" s="23" t="s">
        <v>37</v>
      </c>
      <c r="R3" s="20" t="s">
        <v>38</v>
      </c>
    </row>
    <row r="4" s="10" customFormat="1" spans="1:18">
      <c r="A4" s="11">
        <v>11</v>
      </c>
      <c r="B4" s="11" t="s">
        <v>40</v>
      </c>
      <c r="C4" s="11" t="s">
        <v>50</v>
      </c>
      <c r="D4" s="11">
        <v>1</v>
      </c>
      <c r="E4" s="24">
        <v>0</v>
      </c>
      <c r="F4" s="11" t="s">
        <v>762</v>
      </c>
      <c r="G4" s="11">
        <v>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f>IF(G4=1,1,0)</f>
        <v>1</v>
      </c>
      <c r="N4" s="11">
        <v>0</v>
      </c>
      <c r="O4" s="11">
        <v>0</v>
      </c>
      <c r="P4" s="11">
        <v>0</v>
      </c>
      <c r="Q4" s="11">
        <v>0</v>
      </c>
      <c r="R4" s="11">
        <v>1</v>
      </c>
    </row>
    <row r="5" s="10" customFormat="1" spans="1:18">
      <c r="A5" s="11">
        <v>12</v>
      </c>
      <c r="B5" s="11" t="s">
        <v>43</v>
      </c>
      <c r="C5" s="11" t="s">
        <v>50</v>
      </c>
      <c r="D5" s="11">
        <v>1</v>
      </c>
      <c r="E5" s="24">
        <v>0</v>
      </c>
      <c r="F5" s="11" t="s">
        <v>763</v>
      </c>
      <c r="G5" s="11">
        <v>1</v>
      </c>
      <c r="H5" s="11">
        <v>1</v>
      </c>
      <c r="I5" s="11">
        <v>0</v>
      </c>
      <c r="J5" s="11">
        <v>0</v>
      </c>
      <c r="K5" s="11">
        <v>0</v>
      </c>
      <c r="L5" s="11">
        <v>0</v>
      </c>
      <c r="M5" s="11">
        <f>IF(G5=1,1,0)</f>
        <v>1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</row>
    <row r="6" s="10" customFormat="1" spans="1:18">
      <c r="A6" s="11">
        <v>13</v>
      </c>
      <c r="B6" s="11" t="s">
        <v>46</v>
      </c>
      <c r="C6" s="11" t="s">
        <v>50</v>
      </c>
      <c r="D6" s="11">
        <v>1</v>
      </c>
      <c r="E6" s="24">
        <v>0</v>
      </c>
      <c r="F6" s="11" t="s">
        <v>764</v>
      </c>
      <c r="G6" s="11">
        <v>1</v>
      </c>
      <c r="H6" s="11">
        <v>1</v>
      </c>
      <c r="I6" s="11">
        <v>0</v>
      </c>
      <c r="J6" s="11">
        <v>0</v>
      </c>
      <c r="K6" s="11">
        <v>0</v>
      </c>
      <c r="L6" s="11">
        <v>0</v>
      </c>
      <c r="M6" s="11">
        <f>IF(G6=1,1,0)</f>
        <v>1</v>
      </c>
      <c r="N6" s="11">
        <v>0</v>
      </c>
      <c r="O6" s="11">
        <v>0</v>
      </c>
      <c r="P6" s="11">
        <v>0</v>
      </c>
      <c r="Q6" s="11">
        <v>0</v>
      </c>
      <c r="R6" s="11">
        <v>1</v>
      </c>
    </row>
    <row r="7" s="10" customFormat="1" spans="1:18">
      <c r="A7" s="11">
        <v>14</v>
      </c>
      <c r="B7" s="11" t="s">
        <v>49</v>
      </c>
      <c r="C7" s="11" t="s">
        <v>50</v>
      </c>
      <c r="D7" s="11">
        <v>1</v>
      </c>
      <c r="E7" s="24">
        <v>0</v>
      </c>
      <c r="F7" s="11" t="s">
        <v>765</v>
      </c>
      <c r="G7" s="11">
        <v>1</v>
      </c>
      <c r="H7" s="11">
        <v>1</v>
      </c>
      <c r="I7" s="11">
        <v>0</v>
      </c>
      <c r="J7" s="11">
        <v>0</v>
      </c>
      <c r="K7" s="11">
        <v>0</v>
      </c>
      <c r="L7" s="11">
        <v>0</v>
      </c>
      <c r="M7" s="11">
        <f>IF(G7=1,1,0)</f>
        <v>1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</row>
    <row r="8" s="10" customFormat="1" spans="1:18">
      <c r="A8" s="11">
        <v>15</v>
      </c>
      <c r="B8" s="11" t="s">
        <v>51</v>
      </c>
      <c r="C8" s="11" t="s">
        <v>50</v>
      </c>
      <c r="D8" s="11">
        <v>1</v>
      </c>
      <c r="E8" s="24">
        <v>0</v>
      </c>
      <c r="F8" s="11" t="s">
        <v>766</v>
      </c>
      <c r="G8" s="11">
        <v>1</v>
      </c>
      <c r="H8" s="11">
        <v>1</v>
      </c>
      <c r="I8" s="11">
        <v>0</v>
      </c>
      <c r="J8" s="11">
        <v>0</v>
      </c>
      <c r="K8" s="11">
        <v>0</v>
      </c>
      <c r="L8" s="11">
        <v>1</v>
      </c>
      <c r="M8" s="11">
        <f>IF(G8=1,1,0)</f>
        <v>1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</row>
    <row r="9" s="10" customFormat="1" spans="1:18">
      <c r="A9" s="11">
        <v>16</v>
      </c>
      <c r="B9" s="11" t="s">
        <v>52</v>
      </c>
      <c r="C9" s="11" t="s">
        <v>50</v>
      </c>
      <c r="D9" s="11">
        <v>1</v>
      </c>
      <c r="E9" s="24">
        <v>0</v>
      </c>
      <c r="F9" s="11" t="s">
        <v>767</v>
      </c>
      <c r="G9" s="11">
        <v>1</v>
      </c>
      <c r="H9" s="11">
        <v>1</v>
      </c>
      <c r="I9" s="11">
        <v>0</v>
      </c>
      <c r="J9" s="11">
        <v>0</v>
      </c>
      <c r="K9" s="11">
        <v>0</v>
      </c>
      <c r="L9" s="11">
        <v>0</v>
      </c>
      <c r="M9" s="11">
        <f t="shared" ref="M9:M16" si="0">IF(G9=1,1,0)</f>
        <v>1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</row>
    <row r="10" s="10" customFormat="1" spans="1:18">
      <c r="A10" s="11">
        <v>17</v>
      </c>
      <c r="B10" s="11" t="s">
        <v>54</v>
      </c>
      <c r="C10" s="11" t="s">
        <v>50</v>
      </c>
      <c r="D10" s="11">
        <v>1</v>
      </c>
      <c r="E10" s="24">
        <v>0</v>
      </c>
      <c r="F10" s="11" t="s">
        <v>768</v>
      </c>
      <c r="G10" s="11">
        <v>1</v>
      </c>
      <c r="H10" s="11">
        <v>2</v>
      </c>
      <c r="I10" s="11">
        <v>0</v>
      </c>
      <c r="J10" s="11">
        <v>0</v>
      </c>
      <c r="K10" s="11">
        <v>0</v>
      </c>
      <c r="L10" s="11">
        <v>1</v>
      </c>
      <c r="M10" s="11">
        <f t="shared" si="0"/>
        <v>1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</row>
    <row r="11" s="10" customFormat="1" ht="15" customHeight="1" spans="1:18">
      <c r="A11" s="11">
        <v>18</v>
      </c>
      <c r="B11" s="11" t="s">
        <v>55</v>
      </c>
      <c r="C11" s="11" t="s">
        <v>50</v>
      </c>
      <c r="D11" s="11">
        <v>1</v>
      </c>
      <c r="E11" s="24">
        <v>0</v>
      </c>
      <c r="F11" s="11" t="s">
        <v>769</v>
      </c>
      <c r="G11" s="11">
        <v>1</v>
      </c>
      <c r="H11" s="11">
        <v>2</v>
      </c>
      <c r="I11" s="11">
        <v>0</v>
      </c>
      <c r="J11" s="11">
        <v>0</v>
      </c>
      <c r="K11" s="11">
        <v>0</v>
      </c>
      <c r="L11" s="11">
        <v>1</v>
      </c>
      <c r="M11" s="11">
        <f t="shared" si="0"/>
        <v>1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</row>
    <row r="12" s="10" customFormat="1" ht="15" customHeight="1" spans="1:18">
      <c r="A12" s="11">
        <v>19</v>
      </c>
      <c r="B12" s="11" t="s">
        <v>56</v>
      </c>
      <c r="C12" s="11" t="s">
        <v>50</v>
      </c>
      <c r="D12" s="11">
        <v>1</v>
      </c>
      <c r="E12" s="24">
        <v>0</v>
      </c>
      <c r="F12" s="11" t="s">
        <v>770</v>
      </c>
      <c r="G12" s="11">
        <v>1</v>
      </c>
      <c r="H12" s="11">
        <v>2</v>
      </c>
      <c r="I12" s="11">
        <v>0</v>
      </c>
      <c r="J12" s="11">
        <v>0</v>
      </c>
      <c r="K12" s="11">
        <v>0</v>
      </c>
      <c r="L12" s="11">
        <v>1</v>
      </c>
      <c r="M12" s="11">
        <f t="shared" si="0"/>
        <v>1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</row>
    <row r="13" s="10" customFormat="1" ht="15" customHeight="1" spans="1:18">
      <c r="A13" s="11">
        <v>20</v>
      </c>
      <c r="B13" s="11" t="s">
        <v>57</v>
      </c>
      <c r="C13" s="11" t="s">
        <v>50</v>
      </c>
      <c r="D13" s="11">
        <v>1</v>
      </c>
      <c r="E13" s="24">
        <v>0</v>
      </c>
      <c r="F13" s="11" t="s">
        <v>771</v>
      </c>
      <c r="G13" s="11">
        <v>1</v>
      </c>
      <c r="H13" s="11">
        <v>2</v>
      </c>
      <c r="I13" s="11">
        <v>0</v>
      </c>
      <c r="J13" s="11">
        <v>0</v>
      </c>
      <c r="K13" s="11">
        <v>0</v>
      </c>
      <c r="L13" s="11">
        <v>1</v>
      </c>
      <c r="M13" s="11">
        <f t="shared" si="0"/>
        <v>1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</row>
    <row r="14" s="10" customFormat="1" ht="15" customHeight="1" spans="1:18">
      <c r="A14" s="11">
        <v>21</v>
      </c>
      <c r="B14" s="11" t="s">
        <v>58</v>
      </c>
      <c r="C14" s="11" t="s">
        <v>50</v>
      </c>
      <c r="D14" s="11">
        <v>2</v>
      </c>
      <c r="E14" s="24">
        <v>0</v>
      </c>
      <c r="F14" s="11" t="s">
        <v>770</v>
      </c>
      <c r="G14" s="11">
        <v>1</v>
      </c>
      <c r="H14" s="11">
        <v>1</v>
      </c>
      <c r="I14" s="11">
        <v>0</v>
      </c>
      <c r="J14" s="11">
        <v>0</v>
      </c>
      <c r="K14" s="11">
        <v>0</v>
      </c>
      <c r="L14" s="11">
        <v>1</v>
      </c>
      <c r="M14" s="11">
        <f t="shared" si="0"/>
        <v>1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</row>
    <row r="15" s="10" customFormat="1" ht="15" customHeight="1" spans="1:18">
      <c r="A15" s="11">
        <v>22</v>
      </c>
      <c r="B15" s="11" t="s">
        <v>61</v>
      </c>
      <c r="C15" s="11" t="s">
        <v>50</v>
      </c>
      <c r="D15" s="11">
        <v>3</v>
      </c>
      <c r="E15" s="24">
        <v>0</v>
      </c>
      <c r="F15" s="11" t="s">
        <v>770</v>
      </c>
      <c r="G15" s="11">
        <v>1</v>
      </c>
      <c r="H15" s="11">
        <v>1</v>
      </c>
      <c r="I15" s="11">
        <v>0</v>
      </c>
      <c r="J15" s="11">
        <v>0</v>
      </c>
      <c r="K15" s="11">
        <v>0</v>
      </c>
      <c r="L15" s="11">
        <v>1</v>
      </c>
      <c r="M15" s="11">
        <f t="shared" si="0"/>
        <v>1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</row>
    <row r="16" s="10" customFormat="1" ht="15" customHeight="1" spans="1:18">
      <c r="A16" s="11">
        <v>23</v>
      </c>
      <c r="B16" s="11" t="s">
        <v>64</v>
      </c>
      <c r="C16" s="11" t="s">
        <v>50</v>
      </c>
      <c r="D16" s="11">
        <v>4</v>
      </c>
      <c r="E16" s="24">
        <v>0</v>
      </c>
      <c r="F16" s="11" t="s">
        <v>770</v>
      </c>
      <c r="G16" s="11">
        <v>1</v>
      </c>
      <c r="H16" s="11">
        <v>1</v>
      </c>
      <c r="I16" s="11">
        <v>0</v>
      </c>
      <c r="J16" s="11">
        <v>0</v>
      </c>
      <c r="K16" s="11">
        <v>0</v>
      </c>
      <c r="L16" s="11">
        <v>1</v>
      </c>
      <c r="M16" s="11">
        <f t="shared" si="0"/>
        <v>1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</row>
    <row r="17" s="10" customFormat="1" spans="1:18">
      <c r="A17" s="11">
        <v>101</v>
      </c>
      <c r="B17" s="11" t="s">
        <v>75</v>
      </c>
      <c r="C17" s="11" t="s">
        <v>50</v>
      </c>
      <c r="D17" s="11">
        <v>1</v>
      </c>
      <c r="E17" s="24">
        <v>1</v>
      </c>
      <c r="F17" s="11" t="s">
        <v>772</v>
      </c>
      <c r="G17" s="11">
        <v>2</v>
      </c>
      <c r="H17" s="11">
        <v>2</v>
      </c>
      <c r="I17" s="11">
        <v>1</v>
      </c>
      <c r="J17" s="11">
        <v>0</v>
      </c>
      <c r="K17" s="11">
        <v>0</v>
      </c>
      <c r="L17" s="11">
        <v>1</v>
      </c>
      <c r="M17" s="11">
        <f t="shared" ref="M17:M70" si="1">IF(G17=1,1,0)</f>
        <v>0</v>
      </c>
      <c r="N17" s="11">
        <v>0</v>
      </c>
      <c r="O17" s="11">
        <v>0</v>
      </c>
      <c r="P17" s="11">
        <v>2</v>
      </c>
      <c r="Q17" s="11">
        <v>296</v>
      </c>
      <c r="R17" s="11">
        <v>0</v>
      </c>
    </row>
    <row r="18" s="10" customFormat="1" spans="1:18">
      <c r="A18" s="11">
        <v>102</v>
      </c>
      <c r="B18" s="11" t="s">
        <v>77</v>
      </c>
      <c r="C18" s="11" t="s">
        <v>50</v>
      </c>
      <c r="D18" s="11">
        <v>1</v>
      </c>
      <c r="E18" s="24">
        <v>1</v>
      </c>
      <c r="F18" s="11" t="s">
        <v>773</v>
      </c>
      <c r="G18" s="11">
        <v>2</v>
      </c>
      <c r="H18" s="11">
        <v>2</v>
      </c>
      <c r="I18" s="11">
        <v>1</v>
      </c>
      <c r="J18" s="11">
        <v>0</v>
      </c>
      <c r="K18" s="11">
        <v>0</v>
      </c>
      <c r="L18" s="11">
        <v>1</v>
      </c>
      <c r="M18" s="11">
        <f t="shared" si="1"/>
        <v>0</v>
      </c>
      <c r="N18" s="11">
        <v>0</v>
      </c>
      <c r="O18" s="11">
        <v>0</v>
      </c>
      <c r="P18" s="11">
        <v>1</v>
      </c>
      <c r="Q18" s="11">
        <v>296</v>
      </c>
      <c r="R18" s="11">
        <v>0</v>
      </c>
    </row>
    <row r="19" s="10" customFormat="1" spans="1:18">
      <c r="A19" s="11">
        <v>103</v>
      </c>
      <c r="B19" s="11" t="s">
        <v>79</v>
      </c>
      <c r="C19" s="11" t="s">
        <v>50</v>
      </c>
      <c r="D19" s="11">
        <v>1</v>
      </c>
      <c r="E19" s="24">
        <v>1</v>
      </c>
      <c r="F19" s="11" t="s">
        <v>774</v>
      </c>
      <c r="G19" s="11">
        <v>2</v>
      </c>
      <c r="H19" s="11">
        <v>2</v>
      </c>
      <c r="I19" s="11">
        <v>1</v>
      </c>
      <c r="J19" s="11">
        <v>0</v>
      </c>
      <c r="K19" s="11">
        <v>0</v>
      </c>
      <c r="L19" s="11">
        <v>1</v>
      </c>
      <c r="M19" s="11">
        <f t="shared" si="1"/>
        <v>0</v>
      </c>
      <c r="N19" s="11">
        <v>0</v>
      </c>
      <c r="O19" s="11">
        <v>0</v>
      </c>
      <c r="P19" s="11" t="s">
        <v>81</v>
      </c>
      <c r="Q19" s="11">
        <v>296</v>
      </c>
      <c r="R19" s="11">
        <v>0</v>
      </c>
    </row>
    <row r="20" s="10" customFormat="1" spans="1:18">
      <c r="A20" s="11">
        <v>104</v>
      </c>
      <c r="B20" s="11" t="s">
        <v>82</v>
      </c>
      <c r="C20" s="11" t="s">
        <v>50</v>
      </c>
      <c r="D20" s="11">
        <v>2</v>
      </c>
      <c r="E20" s="24">
        <v>1</v>
      </c>
      <c r="F20" s="11" t="s">
        <v>775</v>
      </c>
      <c r="G20" s="11">
        <v>2</v>
      </c>
      <c r="H20" s="11">
        <v>2</v>
      </c>
      <c r="I20" s="11">
        <v>1</v>
      </c>
      <c r="J20" s="11">
        <v>0</v>
      </c>
      <c r="K20" s="11">
        <v>0</v>
      </c>
      <c r="L20" s="11">
        <v>1</v>
      </c>
      <c r="M20" s="11">
        <f t="shared" si="1"/>
        <v>0</v>
      </c>
      <c r="N20" s="11">
        <v>0</v>
      </c>
      <c r="O20" s="11">
        <v>0</v>
      </c>
      <c r="P20" s="11" t="s">
        <v>84</v>
      </c>
      <c r="Q20" s="11">
        <v>296</v>
      </c>
      <c r="R20" s="11">
        <v>0</v>
      </c>
    </row>
    <row r="21" s="10" customFormat="1" spans="1:18">
      <c r="A21" s="11">
        <v>105</v>
      </c>
      <c r="B21" s="11" t="s">
        <v>85</v>
      </c>
      <c r="C21" s="11" t="s">
        <v>50</v>
      </c>
      <c r="D21" s="11">
        <v>2</v>
      </c>
      <c r="E21" s="24">
        <v>1</v>
      </c>
      <c r="F21" s="11" t="s">
        <v>776</v>
      </c>
      <c r="G21" s="11">
        <v>2</v>
      </c>
      <c r="H21" s="11">
        <v>2</v>
      </c>
      <c r="I21" s="11">
        <v>1</v>
      </c>
      <c r="J21" s="11">
        <v>0</v>
      </c>
      <c r="K21" s="11">
        <v>0</v>
      </c>
      <c r="L21" s="11">
        <v>1</v>
      </c>
      <c r="M21" s="11">
        <f t="shared" si="1"/>
        <v>0</v>
      </c>
      <c r="N21" s="11">
        <v>0</v>
      </c>
      <c r="O21" s="11">
        <v>0</v>
      </c>
      <c r="P21" s="11" t="s">
        <v>87</v>
      </c>
      <c r="Q21" s="11">
        <v>296</v>
      </c>
      <c r="R21" s="11">
        <v>0</v>
      </c>
    </row>
    <row r="22" s="10" customFormat="1" spans="1:18">
      <c r="A22" s="11">
        <v>106</v>
      </c>
      <c r="B22" s="11" t="s">
        <v>88</v>
      </c>
      <c r="C22" s="11" t="s">
        <v>50</v>
      </c>
      <c r="D22" s="11">
        <v>2</v>
      </c>
      <c r="E22" s="24">
        <v>1</v>
      </c>
      <c r="F22" s="11" t="s">
        <v>777</v>
      </c>
      <c r="G22" s="11">
        <v>2</v>
      </c>
      <c r="H22" s="11">
        <v>2</v>
      </c>
      <c r="I22" s="11">
        <v>1</v>
      </c>
      <c r="J22" s="11">
        <v>0</v>
      </c>
      <c r="K22" s="11">
        <v>0</v>
      </c>
      <c r="L22" s="11">
        <v>1</v>
      </c>
      <c r="M22" s="11">
        <f t="shared" si="1"/>
        <v>0</v>
      </c>
      <c r="N22" s="11">
        <v>0</v>
      </c>
      <c r="O22" s="11">
        <v>0</v>
      </c>
      <c r="P22" s="11" t="s">
        <v>89</v>
      </c>
      <c r="Q22" s="11">
        <v>296</v>
      </c>
      <c r="R22" s="11">
        <v>0</v>
      </c>
    </row>
    <row r="23" s="10" customFormat="1" spans="1:18">
      <c r="A23" s="11">
        <v>107</v>
      </c>
      <c r="B23" s="11" t="s">
        <v>90</v>
      </c>
      <c r="C23" s="11" t="s">
        <v>50</v>
      </c>
      <c r="D23" s="11">
        <v>2</v>
      </c>
      <c r="E23" s="24">
        <v>1</v>
      </c>
      <c r="F23" s="11" t="s">
        <v>778</v>
      </c>
      <c r="G23" s="11">
        <v>2</v>
      </c>
      <c r="H23" s="11">
        <v>2</v>
      </c>
      <c r="I23" s="11">
        <v>1</v>
      </c>
      <c r="J23" s="11">
        <v>0</v>
      </c>
      <c r="K23" s="11">
        <v>0</v>
      </c>
      <c r="L23" s="11">
        <v>1</v>
      </c>
      <c r="M23" s="11">
        <f t="shared" si="1"/>
        <v>0</v>
      </c>
      <c r="N23" s="11">
        <v>0</v>
      </c>
      <c r="O23" s="11">
        <v>0</v>
      </c>
      <c r="P23" s="11" t="s">
        <v>91</v>
      </c>
      <c r="Q23" s="11">
        <v>296</v>
      </c>
      <c r="R23" s="11">
        <v>0</v>
      </c>
    </row>
    <row r="24" s="10" customFormat="1" spans="1:18">
      <c r="A24" s="11">
        <v>108</v>
      </c>
      <c r="B24" s="11" t="s">
        <v>92</v>
      </c>
      <c r="C24" s="11" t="s">
        <v>50</v>
      </c>
      <c r="D24" s="11">
        <v>3</v>
      </c>
      <c r="E24" s="24">
        <v>2</v>
      </c>
      <c r="F24" s="11" t="s">
        <v>779</v>
      </c>
      <c r="G24" s="11">
        <v>2</v>
      </c>
      <c r="H24" s="11">
        <v>2</v>
      </c>
      <c r="I24" s="11">
        <v>1</v>
      </c>
      <c r="J24" s="11">
        <v>0</v>
      </c>
      <c r="K24" s="11">
        <v>0</v>
      </c>
      <c r="L24" s="11">
        <v>1</v>
      </c>
      <c r="M24" s="11">
        <f t="shared" si="1"/>
        <v>0</v>
      </c>
      <c r="N24" s="11">
        <v>0</v>
      </c>
      <c r="O24" s="11">
        <v>0</v>
      </c>
      <c r="P24" s="11" t="s">
        <v>93</v>
      </c>
      <c r="Q24" s="11">
        <v>296</v>
      </c>
      <c r="R24" s="11">
        <v>0</v>
      </c>
    </row>
    <row r="25" s="10" customFormat="1" spans="1:18">
      <c r="A25" s="11">
        <v>109</v>
      </c>
      <c r="B25" s="11" t="s">
        <v>94</v>
      </c>
      <c r="C25" s="11" t="s">
        <v>50</v>
      </c>
      <c r="D25" s="11">
        <v>3</v>
      </c>
      <c r="E25" s="24">
        <v>2</v>
      </c>
      <c r="F25" s="11" t="s">
        <v>780</v>
      </c>
      <c r="G25" s="11">
        <v>2</v>
      </c>
      <c r="H25" s="11">
        <v>2</v>
      </c>
      <c r="I25" s="11">
        <v>1</v>
      </c>
      <c r="J25" s="11">
        <v>0</v>
      </c>
      <c r="K25" s="11">
        <v>0</v>
      </c>
      <c r="L25" s="11">
        <v>1</v>
      </c>
      <c r="M25" s="11">
        <f t="shared" si="1"/>
        <v>0</v>
      </c>
      <c r="N25" s="11">
        <v>0</v>
      </c>
      <c r="O25" s="11">
        <v>0</v>
      </c>
      <c r="P25" s="11" t="s">
        <v>95</v>
      </c>
      <c r="Q25" s="11">
        <v>296</v>
      </c>
      <c r="R25" s="11">
        <v>0</v>
      </c>
    </row>
    <row r="26" s="10" customFormat="1" spans="1:18">
      <c r="A26" s="11">
        <v>110</v>
      </c>
      <c r="B26" s="11" t="s">
        <v>96</v>
      </c>
      <c r="C26" s="11" t="s">
        <v>50</v>
      </c>
      <c r="D26" s="11">
        <v>3</v>
      </c>
      <c r="E26" s="24">
        <v>2</v>
      </c>
      <c r="F26" s="11" t="s">
        <v>781</v>
      </c>
      <c r="G26" s="11">
        <v>2</v>
      </c>
      <c r="H26" s="11">
        <v>2</v>
      </c>
      <c r="I26" s="11">
        <v>1</v>
      </c>
      <c r="J26" s="11">
        <v>0</v>
      </c>
      <c r="K26" s="11">
        <v>0</v>
      </c>
      <c r="L26" s="11">
        <v>1</v>
      </c>
      <c r="M26" s="11">
        <f t="shared" si="1"/>
        <v>0</v>
      </c>
      <c r="N26" s="11">
        <v>0</v>
      </c>
      <c r="O26" s="11">
        <v>0</v>
      </c>
      <c r="P26" s="11" t="s">
        <v>97</v>
      </c>
      <c r="Q26" s="11">
        <v>296</v>
      </c>
      <c r="R26" s="11">
        <v>0</v>
      </c>
    </row>
    <row r="27" s="10" customFormat="1" spans="1:18">
      <c r="A27" s="11">
        <v>111</v>
      </c>
      <c r="B27" s="11" t="s">
        <v>98</v>
      </c>
      <c r="C27" s="11" t="s">
        <v>50</v>
      </c>
      <c r="D27" s="11">
        <v>3</v>
      </c>
      <c r="E27" s="24">
        <v>2</v>
      </c>
      <c r="F27" s="11" t="s">
        <v>782</v>
      </c>
      <c r="G27" s="11">
        <v>2</v>
      </c>
      <c r="H27" s="11">
        <v>2</v>
      </c>
      <c r="I27" s="11">
        <v>1</v>
      </c>
      <c r="J27" s="11">
        <v>0</v>
      </c>
      <c r="K27" s="11">
        <v>0</v>
      </c>
      <c r="L27" s="11">
        <v>1</v>
      </c>
      <c r="M27" s="11">
        <f t="shared" si="1"/>
        <v>0</v>
      </c>
      <c r="N27" s="11">
        <v>0</v>
      </c>
      <c r="O27" s="11">
        <v>0</v>
      </c>
      <c r="P27" s="11" t="s">
        <v>99</v>
      </c>
      <c r="Q27" s="11">
        <v>296</v>
      </c>
      <c r="R27" s="11">
        <v>0</v>
      </c>
    </row>
    <row r="28" s="10" customFormat="1" spans="1:18">
      <c r="A28" s="11">
        <v>112</v>
      </c>
      <c r="B28" s="11" t="s">
        <v>100</v>
      </c>
      <c r="C28" s="11" t="s">
        <v>50</v>
      </c>
      <c r="D28" s="11">
        <v>3</v>
      </c>
      <c r="E28" s="24">
        <v>2</v>
      </c>
      <c r="F28" s="11" t="s">
        <v>783</v>
      </c>
      <c r="G28" s="11">
        <v>2</v>
      </c>
      <c r="H28" s="11">
        <v>2</v>
      </c>
      <c r="I28" s="11">
        <v>1</v>
      </c>
      <c r="J28" s="11">
        <v>0</v>
      </c>
      <c r="K28" s="11">
        <v>0</v>
      </c>
      <c r="L28" s="11">
        <v>1</v>
      </c>
      <c r="M28" s="11">
        <f t="shared" si="1"/>
        <v>0</v>
      </c>
      <c r="N28" s="11">
        <v>0</v>
      </c>
      <c r="O28" s="11">
        <v>0</v>
      </c>
      <c r="P28" s="11" t="s">
        <v>101</v>
      </c>
      <c r="Q28" s="11">
        <v>296</v>
      </c>
      <c r="R28" s="11">
        <v>0</v>
      </c>
    </row>
    <row r="29" s="10" customFormat="1" spans="1:18">
      <c r="A29" s="11">
        <v>113</v>
      </c>
      <c r="B29" s="11" t="s">
        <v>102</v>
      </c>
      <c r="C29" s="11" t="s">
        <v>50</v>
      </c>
      <c r="D29" s="11">
        <v>3</v>
      </c>
      <c r="E29" s="24">
        <v>2</v>
      </c>
      <c r="F29" s="11" t="s">
        <v>784</v>
      </c>
      <c r="G29" s="11">
        <v>2</v>
      </c>
      <c r="H29" s="11">
        <v>2</v>
      </c>
      <c r="I29" s="11">
        <v>1</v>
      </c>
      <c r="J29" s="11">
        <v>0</v>
      </c>
      <c r="K29" s="11">
        <v>0</v>
      </c>
      <c r="L29" s="11">
        <v>1</v>
      </c>
      <c r="M29" s="11">
        <f t="shared" si="1"/>
        <v>0</v>
      </c>
      <c r="N29" s="11">
        <v>0</v>
      </c>
      <c r="O29" s="11">
        <v>0</v>
      </c>
      <c r="P29" s="11" t="s">
        <v>103</v>
      </c>
      <c r="Q29" s="11">
        <v>296</v>
      </c>
      <c r="R29" s="11">
        <v>0</v>
      </c>
    </row>
    <row r="30" s="10" customFormat="1" spans="1:18">
      <c r="A30" s="11">
        <v>114</v>
      </c>
      <c r="B30" s="11" t="s">
        <v>104</v>
      </c>
      <c r="C30" s="11" t="s">
        <v>50</v>
      </c>
      <c r="D30" s="11">
        <v>3</v>
      </c>
      <c r="E30" s="24">
        <v>2</v>
      </c>
      <c r="F30" s="11" t="s">
        <v>785</v>
      </c>
      <c r="G30" s="11">
        <v>2</v>
      </c>
      <c r="H30" s="11">
        <v>2</v>
      </c>
      <c r="I30" s="11">
        <v>1</v>
      </c>
      <c r="J30" s="11">
        <v>0</v>
      </c>
      <c r="K30" s="11">
        <v>0</v>
      </c>
      <c r="L30" s="11">
        <v>1</v>
      </c>
      <c r="M30" s="11">
        <f t="shared" si="1"/>
        <v>0</v>
      </c>
      <c r="N30" s="11">
        <v>0</v>
      </c>
      <c r="O30" s="11">
        <v>0</v>
      </c>
      <c r="P30" s="11" t="s">
        <v>105</v>
      </c>
      <c r="Q30" s="11">
        <v>296</v>
      </c>
      <c r="R30" s="11">
        <v>0</v>
      </c>
    </row>
    <row r="31" s="10" customFormat="1" spans="1:18">
      <c r="A31" s="11">
        <v>115</v>
      </c>
      <c r="B31" s="11" t="s">
        <v>106</v>
      </c>
      <c r="C31" s="11" t="s">
        <v>50</v>
      </c>
      <c r="D31" s="11">
        <v>4</v>
      </c>
      <c r="E31" s="24">
        <v>3</v>
      </c>
      <c r="F31" s="11" t="s">
        <v>786</v>
      </c>
      <c r="G31" s="11">
        <v>2</v>
      </c>
      <c r="H31" s="11">
        <v>2</v>
      </c>
      <c r="I31" s="11">
        <v>1</v>
      </c>
      <c r="J31" s="11">
        <v>0</v>
      </c>
      <c r="K31" s="11">
        <v>0</v>
      </c>
      <c r="L31" s="11">
        <v>1</v>
      </c>
      <c r="M31" s="11">
        <f t="shared" si="1"/>
        <v>0</v>
      </c>
      <c r="N31" s="11">
        <v>0</v>
      </c>
      <c r="O31" s="11">
        <v>0</v>
      </c>
      <c r="P31" s="11" t="s">
        <v>107</v>
      </c>
      <c r="Q31" s="11">
        <v>296</v>
      </c>
      <c r="R31" s="11">
        <v>0</v>
      </c>
    </row>
    <row r="32" s="10" customFormat="1" spans="1:18">
      <c r="A32" s="11">
        <v>116</v>
      </c>
      <c r="B32" s="11" t="s">
        <v>108</v>
      </c>
      <c r="C32" s="11" t="s">
        <v>50</v>
      </c>
      <c r="D32" s="11">
        <v>4</v>
      </c>
      <c r="E32" s="24">
        <v>3</v>
      </c>
      <c r="F32" s="11" t="s">
        <v>787</v>
      </c>
      <c r="G32" s="11">
        <v>2</v>
      </c>
      <c r="H32" s="11">
        <v>2</v>
      </c>
      <c r="I32" s="11">
        <v>1</v>
      </c>
      <c r="J32" s="11">
        <v>0</v>
      </c>
      <c r="K32" s="11">
        <v>0</v>
      </c>
      <c r="L32" s="11">
        <v>1</v>
      </c>
      <c r="M32" s="11">
        <f t="shared" si="1"/>
        <v>0</v>
      </c>
      <c r="N32" s="11">
        <v>0</v>
      </c>
      <c r="O32" s="11">
        <v>0</v>
      </c>
      <c r="P32" s="11" t="s">
        <v>109</v>
      </c>
      <c r="Q32" s="11">
        <v>296</v>
      </c>
      <c r="R32" s="11">
        <v>0</v>
      </c>
    </row>
    <row r="33" s="10" customFormat="1" spans="1:18">
      <c r="A33" s="11">
        <v>117</v>
      </c>
      <c r="B33" s="11" t="s">
        <v>110</v>
      </c>
      <c r="C33" s="11" t="s">
        <v>50</v>
      </c>
      <c r="D33" s="11">
        <v>4</v>
      </c>
      <c r="E33" s="24">
        <v>3</v>
      </c>
      <c r="F33" s="11" t="s">
        <v>788</v>
      </c>
      <c r="G33" s="11">
        <v>2</v>
      </c>
      <c r="H33" s="11">
        <v>2</v>
      </c>
      <c r="I33" s="11">
        <v>1</v>
      </c>
      <c r="J33" s="11">
        <v>0</v>
      </c>
      <c r="K33" s="11">
        <v>0</v>
      </c>
      <c r="L33" s="11">
        <v>1</v>
      </c>
      <c r="M33" s="11">
        <f t="shared" si="1"/>
        <v>0</v>
      </c>
      <c r="N33" s="11">
        <v>0</v>
      </c>
      <c r="O33" s="11">
        <v>0</v>
      </c>
      <c r="P33" s="11" t="s">
        <v>111</v>
      </c>
      <c r="Q33" s="11">
        <v>296</v>
      </c>
      <c r="R33" s="11">
        <v>0</v>
      </c>
    </row>
    <row r="34" s="10" customFormat="1" spans="1:18">
      <c r="A34" s="11">
        <v>118</v>
      </c>
      <c r="B34" s="11" t="s">
        <v>112</v>
      </c>
      <c r="C34" s="11" t="s">
        <v>50</v>
      </c>
      <c r="D34" s="11">
        <v>4</v>
      </c>
      <c r="E34" s="24">
        <v>3</v>
      </c>
      <c r="F34" s="11" t="s">
        <v>789</v>
      </c>
      <c r="G34" s="11">
        <v>2</v>
      </c>
      <c r="H34" s="11">
        <v>2</v>
      </c>
      <c r="I34" s="11">
        <v>1</v>
      </c>
      <c r="J34" s="11">
        <v>0</v>
      </c>
      <c r="K34" s="11">
        <v>0</v>
      </c>
      <c r="L34" s="11">
        <v>1</v>
      </c>
      <c r="M34" s="11">
        <f t="shared" si="1"/>
        <v>0</v>
      </c>
      <c r="N34" s="11">
        <v>0</v>
      </c>
      <c r="O34" s="11">
        <v>0</v>
      </c>
      <c r="P34" s="11" t="s">
        <v>113</v>
      </c>
      <c r="Q34" s="11">
        <v>296</v>
      </c>
      <c r="R34" s="11">
        <v>0</v>
      </c>
    </row>
    <row r="35" s="10" customFormat="1" spans="1:18">
      <c r="A35" s="11">
        <v>119</v>
      </c>
      <c r="B35" s="11" t="s">
        <v>114</v>
      </c>
      <c r="C35" s="11" t="s">
        <v>50</v>
      </c>
      <c r="D35" s="11">
        <v>4</v>
      </c>
      <c r="E35" s="24">
        <v>3</v>
      </c>
      <c r="F35" s="11" t="s">
        <v>790</v>
      </c>
      <c r="G35" s="11">
        <v>2</v>
      </c>
      <c r="H35" s="11">
        <v>2</v>
      </c>
      <c r="I35" s="11">
        <v>1</v>
      </c>
      <c r="J35" s="11">
        <v>0</v>
      </c>
      <c r="K35" s="11">
        <v>0</v>
      </c>
      <c r="L35" s="11">
        <v>1</v>
      </c>
      <c r="M35" s="11">
        <f t="shared" si="1"/>
        <v>0</v>
      </c>
      <c r="N35" s="11">
        <v>0</v>
      </c>
      <c r="O35" s="11">
        <v>0</v>
      </c>
      <c r="P35" s="11" t="s">
        <v>115</v>
      </c>
      <c r="Q35" s="11">
        <v>296</v>
      </c>
      <c r="R35" s="11">
        <v>0</v>
      </c>
    </row>
    <row r="36" s="10" customFormat="1" spans="1:18">
      <c r="A36" s="11">
        <v>120</v>
      </c>
      <c r="B36" s="11" t="s">
        <v>116</v>
      </c>
      <c r="C36" s="11" t="s">
        <v>50</v>
      </c>
      <c r="D36" s="11">
        <v>4</v>
      </c>
      <c r="E36" s="24">
        <v>3</v>
      </c>
      <c r="F36" s="11" t="s">
        <v>791</v>
      </c>
      <c r="G36" s="11">
        <v>2</v>
      </c>
      <c r="H36" s="11">
        <v>2</v>
      </c>
      <c r="I36" s="11">
        <v>1</v>
      </c>
      <c r="J36" s="11">
        <v>0</v>
      </c>
      <c r="K36" s="11">
        <v>0</v>
      </c>
      <c r="L36" s="11">
        <v>1</v>
      </c>
      <c r="M36" s="11">
        <f t="shared" si="1"/>
        <v>0</v>
      </c>
      <c r="N36" s="11">
        <v>0</v>
      </c>
      <c r="O36" s="11">
        <v>0</v>
      </c>
      <c r="P36" s="11" t="s">
        <v>117</v>
      </c>
      <c r="Q36" s="11">
        <v>296</v>
      </c>
      <c r="R36" s="11">
        <v>0</v>
      </c>
    </row>
    <row r="37" s="10" customFormat="1" spans="1:18">
      <c r="A37" s="11">
        <v>121</v>
      </c>
      <c r="B37" s="11" t="s">
        <v>118</v>
      </c>
      <c r="C37" s="11" t="s">
        <v>50</v>
      </c>
      <c r="D37" s="11">
        <v>4</v>
      </c>
      <c r="E37" s="24">
        <v>3</v>
      </c>
      <c r="F37" s="11" t="s">
        <v>792</v>
      </c>
      <c r="G37" s="11">
        <v>2</v>
      </c>
      <c r="H37" s="11">
        <v>2</v>
      </c>
      <c r="I37" s="11">
        <v>1</v>
      </c>
      <c r="J37" s="11">
        <v>0</v>
      </c>
      <c r="K37" s="11">
        <v>0</v>
      </c>
      <c r="L37" s="11">
        <v>1</v>
      </c>
      <c r="M37" s="11">
        <f t="shared" si="1"/>
        <v>0</v>
      </c>
      <c r="N37" s="11">
        <v>0</v>
      </c>
      <c r="O37" s="11">
        <v>0</v>
      </c>
      <c r="P37" s="11" t="s">
        <v>119</v>
      </c>
      <c r="Q37" s="11">
        <v>296</v>
      </c>
      <c r="R37" s="11">
        <v>0</v>
      </c>
    </row>
    <row r="38" s="10" customFormat="1" spans="1:18">
      <c r="A38" s="11">
        <v>122</v>
      </c>
      <c r="B38" s="11" t="s">
        <v>120</v>
      </c>
      <c r="C38" s="11" t="s">
        <v>50</v>
      </c>
      <c r="D38" s="11">
        <v>4</v>
      </c>
      <c r="E38" s="24">
        <v>3</v>
      </c>
      <c r="F38" s="11" t="s">
        <v>793</v>
      </c>
      <c r="G38" s="11">
        <v>2</v>
      </c>
      <c r="H38" s="11">
        <v>2</v>
      </c>
      <c r="I38" s="11">
        <v>1</v>
      </c>
      <c r="J38" s="11">
        <v>0</v>
      </c>
      <c r="K38" s="11">
        <v>0</v>
      </c>
      <c r="L38" s="11">
        <v>1</v>
      </c>
      <c r="M38" s="11">
        <f t="shared" si="1"/>
        <v>0</v>
      </c>
      <c r="N38" s="11">
        <v>0</v>
      </c>
      <c r="O38" s="11">
        <v>0</v>
      </c>
      <c r="P38" s="11" t="s">
        <v>121</v>
      </c>
      <c r="Q38" s="11">
        <v>296</v>
      </c>
      <c r="R38" s="11">
        <v>0</v>
      </c>
    </row>
    <row r="39" s="10" customFormat="1" spans="1:18">
      <c r="A39" s="11">
        <v>201</v>
      </c>
      <c r="B39" s="11" t="s">
        <v>122</v>
      </c>
      <c r="C39" s="11" t="s">
        <v>50</v>
      </c>
      <c r="D39" s="11">
        <v>1</v>
      </c>
      <c r="E39" s="24">
        <v>1</v>
      </c>
      <c r="F39" s="11" t="s">
        <v>794</v>
      </c>
      <c r="G39" s="11">
        <v>2</v>
      </c>
      <c r="H39" s="11">
        <v>2</v>
      </c>
      <c r="I39" s="11">
        <v>2</v>
      </c>
      <c r="J39" s="11">
        <v>0</v>
      </c>
      <c r="K39" s="11">
        <v>0</v>
      </c>
      <c r="L39" s="11">
        <v>1</v>
      </c>
      <c r="M39" s="11">
        <f t="shared" si="1"/>
        <v>0</v>
      </c>
      <c r="N39" s="11">
        <v>0</v>
      </c>
      <c r="O39" s="11">
        <v>0</v>
      </c>
      <c r="P39" s="11">
        <v>10</v>
      </c>
      <c r="Q39" s="11">
        <v>296</v>
      </c>
      <c r="R39" s="11">
        <v>0</v>
      </c>
    </row>
    <row r="40" s="10" customFormat="1" spans="1:18">
      <c r="A40" s="11">
        <v>202</v>
      </c>
      <c r="B40" s="11" t="s">
        <v>123</v>
      </c>
      <c r="C40" s="11" t="s">
        <v>50</v>
      </c>
      <c r="D40" s="11">
        <v>1</v>
      </c>
      <c r="E40" s="24">
        <v>1</v>
      </c>
      <c r="F40" s="11" t="s">
        <v>795</v>
      </c>
      <c r="G40" s="11">
        <v>2</v>
      </c>
      <c r="H40" s="11">
        <v>2</v>
      </c>
      <c r="I40" s="11">
        <v>2</v>
      </c>
      <c r="J40" s="11">
        <v>0</v>
      </c>
      <c r="K40" s="11">
        <v>0</v>
      </c>
      <c r="L40" s="11">
        <v>1</v>
      </c>
      <c r="M40" s="11">
        <f t="shared" si="1"/>
        <v>0</v>
      </c>
      <c r="N40" s="11">
        <v>0</v>
      </c>
      <c r="O40" s="11">
        <v>0</v>
      </c>
      <c r="P40" s="11">
        <v>4</v>
      </c>
      <c r="Q40" s="11">
        <v>296</v>
      </c>
      <c r="R40" s="11">
        <v>0</v>
      </c>
    </row>
    <row r="41" s="10" customFormat="1" spans="1:18">
      <c r="A41" s="11">
        <v>203</v>
      </c>
      <c r="B41" s="11" t="s">
        <v>124</v>
      </c>
      <c r="C41" s="11" t="s">
        <v>50</v>
      </c>
      <c r="D41" s="11">
        <v>1</v>
      </c>
      <c r="E41" s="24">
        <v>1</v>
      </c>
      <c r="F41" s="11" t="s">
        <v>796</v>
      </c>
      <c r="G41" s="11">
        <v>2</v>
      </c>
      <c r="H41" s="11">
        <v>2</v>
      </c>
      <c r="I41" s="11">
        <v>2</v>
      </c>
      <c r="J41" s="11">
        <v>0</v>
      </c>
      <c r="K41" s="11">
        <v>0</v>
      </c>
      <c r="L41" s="11">
        <v>1</v>
      </c>
      <c r="M41" s="11">
        <f t="shared" si="1"/>
        <v>0</v>
      </c>
      <c r="N41" s="11">
        <v>0</v>
      </c>
      <c r="O41" s="11">
        <v>0</v>
      </c>
      <c r="P41" s="11" t="s">
        <v>125</v>
      </c>
      <c r="Q41" s="11">
        <v>296</v>
      </c>
      <c r="R41" s="11">
        <v>0</v>
      </c>
    </row>
    <row r="42" s="10" customFormat="1" spans="1:18">
      <c r="A42" s="11">
        <v>204</v>
      </c>
      <c r="B42" s="11" t="s">
        <v>126</v>
      </c>
      <c r="C42" s="11" t="s">
        <v>50</v>
      </c>
      <c r="D42" s="11">
        <v>2</v>
      </c>
      <c r="E42" s="24">
        <v>1</v>
      </c>
      <c r="F42" s="11" t="s">
        <v>797</v>
      </c>
      <c r="G42" s="11">
        <v>2</v>
      </c>
      <c r="H42" s="11">
        <v>2</v>
      </c>
      <c r="I42" s="11">
        <v>2</v>
      </c>
      <c r="J42" s="11">
        <v>0</v>
      </c>
      <c r="K42" s="11">
        <v>0</v>
      </c>
      <c r="L42" s="11">
        <v>1</v>
      </c>
      <c r="M42" s="11">
        <f t="shared" si="1"/>
        <v>0</v>
      </c>
      <c r="N42" s="11">
        <v>0</v>
      </c>
      <c r="O42" s="11">
        <v>0</v>
      </c>
      <c r="P42" s="11" t="s">
        <v>127</v>
      </c>
      <c r="Q42" s="11">
        <v>296</v>
      </c>
      <c r="R42" s="11">
        <v>0</v>
      </c>
    </row>
    <row r="43" s="10" customFormat="1" spans="1:18">
      <c r="A43" s="11">
        <v>205</v>
      </c>
      <c r="B43" s="11" t="s">
        <v>128</v>
      </c>
      <c r="C43" s="11" t="s">
        <v>50</v>
      </c>
      <c r="D43" s="11">
        <v>2</v>
      </c>
      <c r="E43" s="24">
        <v>1</v>
      </c>
      <c r="F43" s="11" t="s">
        <v>798</v>
      </c>
      <c r="G43" s="11">
        <v>2</v>
      </c>
      <c r="H43" s="11">
        <v>2</v>
      </c>
      <c r="I43" s="11">
        <v>2</v>
      </c>
      <c r="J43" s="11">
        <v>0</v>
      </c>
      <c r="K43" s="11">
        <v>0</v>
      </c>
      <c r="L43" s="11">
        <v>1</v>
      </c>
      <c r="M43" s="11">
        <f t="shared" si="1"/>
        <v>0</v>
      </c>
      <c r="N43" s="11">
        <v>0</v>
      </c>
      <c r="O43" s="11">
        <v>0</v>
      </c>
      <c r="P43" s="11" t="s">
        <v>129</v>
      </c>
      <c r="Q43" s="11">
        <v>296</v>
      </c>
      <c r="R43" s="11">
        <v>0</v>
      </c>
    </row>
    <row r="44" s="10" customFormat="1" spans="1:18">
      <c r="A44" s="11">
        <v>206</v>
      </c>
      <c r="B44" s="11" t="s">
        <v>130</v>
      </c>
      <c r="C44" s="11" t="s">
        <v>50</v>
      </c>
      <c r="D44" s="11">
        <v>2</v>
      </c>
      <c r="E44" s="24">
        <v>1</v>
      </c>
      <c r="F44" s="11" t="s">
        <v>799</v>
      </c>
      <c r="G44" s="11">
        <v>2</v>
      </c>
      <c r="H44" s="11">
        <v>2</v>
      </c>
      <c r="I44" s="11">
        <v>2</v>
      </c>
      <c r="J44" s="11">
        <v>0</v>
      </c>
      <c r="K44" s="11">
        <v>0</v>
      </c>
      <c r="L44" s="11">
        <v>1</v>
      </c>
      <c r="M44" s="11">
        <f t="shared" si="1"/>
        <v>0</v>
      </c>
      <c r="N44" s="11">
        <v>0</v>
      </c>
      <c r="O44" s="11">
        <v>0</v>
      </c>
      <c r="P44" s="11" t="s">
        <v>131</v>
      </c>
      <c r="Q44" s="11">
        <v>296</v>
      </c>
      <c r="R44" s="11">
        <v>0</v>
      </c>
    </row>
    <row r="45" s="10" customFormat="1" spans="1:18">
      <c r="A45" s="11">
        <v>207</v>
      </c>
      <c r="B45" s="11" t="s">
        <v>132</v>
      </c>
      <c r="C45" s="11" t="s">
        <v>50</v>
      </c>
      <c r="D45" s="11">
        <v>3</v>
      </c>
      <c r="E45" s="24">
        <v>2</v>
      </c>
      <c r="F45" s="11" t="s">
        <v>800</v>
      </c>
      <c r="G45" s="11">
        <v>2</v>
      </c>
      <c r="H45" s="11">
        <v>2</v>
      </c>
      <c r="I45" s="11">
        <v>2</v>
      </c>
      <c r="J45" s="11">
        <v>0</v>
      </c>
      <c r="K45" s="11">
        <v>0</v>
      </c>
      <c r="L45" s="11">
        <v>1</v>
      </c>
      <c r="M45" s="11">
        <f t="shared" si="1"/>
        <v>0</v>
      </c>
      <c r="N45" s="11">
        <v>0</v>
      </c>
      <c r="O45" s="11">
        <v>0</v>
      </c>
      <c r="P45" s="11" t="s">
        <v>133</v>
      </c>
      <c r="Q45" s="11">
        <v>296</v>
      </c>
      <c r="R45" s="11">
        <v>0</v>
      </c>
    </row>
    <row r="46" s="10" customFormat="1" spans="1:18">
      <c r="A46" s="11">
        <v>208</v>
      </c>
      <c r="B46" s="11" t="s">
        <v>134</v>
      </c>
      <c r="C46" s="11" t="s">
        <v>50</v>
      </c>
      <c r="D46" s="11">
        <v>3</v>
      </c>
      <c r="E46" s="24">
        <v>2</v>
      </c>
      <c r="F46" s="11" t="s">
        <v>801</v>
      </c>
      <c r="G46" s="11">
        <v>2</v>
      </c>
      <c r="H46" s="11">
        <v>2</v>
      </c>
      <c r="I46" s="11">
        <v>2</v>
      </c>
      <c r="J46" s="11">
        <v>0</v>
      </c>
      <c r="K46" s="11">
        <v>0</v>
      </c>
      <c r="L46" s="11">
        <v>1</v>
      </c>
      <c r="M46" s="11">
        <f t="shared" si="1"/>
        <v>0</v>
      </c>
      <c r="N46" s="11">
        <v>0</v>
      </c>
      <c r="O46" s="11">
        <v>0</v>
      </c>
      <c r="P46" s="11" t="s">
        <v>135</v>
      </c>
      <c r="Q46" s="11">
        <v>296</v>
      </c>
      <c r="R46" s="11">
        <v>0</v>
      </c>
    </row>
    <row r="47" s="10" customFormat="1" spans="1:18">
      <c r="A47" s="11">
        <v>209</v>
      </c>
      <c r="B47" s="11" t="s">
        <v>136</v>
      </c>
      <c r="C47" s="11" t="s">
        <v>50</v>
      </c>
      <c r="D47" s="11">
        <v>3</v>
      </c>
      <c r="E47" s="24">
        <v>2</v>
      </c>
      <c r="F47" s="11" t="s">
        <v>802</v>
      </c>
      <c r="G47" s="11">
        <v>2</v>
      </c>
      <c r="H47" s="11">
        <v>2</v>
      </c>
      <c r="I47" s="11">
        <v>2</v>
      </c>
      <c r="J47" s="11">
        <v>0</v>
      </c>
      <c r="K47" s="11">
        <v>0</v>
      </c>
      <c r="L47" s="11">
        <v>1</v>
      </c>
      <c r="M47" s="11">
        <f t="shared" si="1"/>
        <v>0</v>
      </c>
      <c r="N47" s="11">
        <v>0</v>
      </c>
      <c r="O47" s="11">
        <v>0</v>
      </c>
      <c r="P47" s="11" t="s">
        <v>137</v>
      </c>
      <c r="Q47" s="11">
        <v>296</v>
      </c>
      <c r="R47" s="11">
        <v>0</v>
      </c>
    </row>
    <row r="48" s="10" customFormat="1" spans="1:18">
      <c r="A48" s="11">
        <v>210</v>
      </c>
      <c r="B48" s="11" t="s">
        <v>138</v>
      </c>
      <c r="C48" s="11" t="s">
        <v>50</v>
      </c>
      <c r="D48" s="11">
        <v>3</v>
      </c>
      <c r="E48" s="24">
        <v>2</v>
      </c>
      <c r="F48" s="11" t="s">
        <v>803</v>
      </c>
      <c r="G48" s="11">
        <v>2</v>
      </c>
      <c r="H48" s="11">
        <v>2</v>
      </c>
      <c r="I48" s="11">
        <v>2</v>
      </c>
      <c r="J48" s="11">
        <v>0</v>
      </c>
      <c r="K48" s="11">
        <v>0</v>
      </c>
      <c r="L48" s="11">
        <v>1</v>
      </c>
      <c r="M48" s="11">
        <f t="shared" si="1"/>
        <v>0</v>
      </c>
      <c r="N48" s="11">
        <v>0</v>
      </c>
      <c r="O48" s="11">
        <v>0</v>
      </c>
      <c r="P48" s="11" t="s">
        <v>139</v>
      </c>
      <c r="Q48" s="11">
        <v>296</v>
      </c>
      <c r="R48" s="11">
        <v>0</v>
      </c>
    </row>
    <row r="49" s="10" customFormat="1" spans="1:18">
      <c r="A49" s="11">
        <v>211</v>
      </c>
      <c r="B49" s="11" t="s">
        <v>140</v>
      </c>
      <c r="C49" s="11" t="s">
        <v>50</v>
      </c>
      <c r="D49" s="11">
        <v>3</v>
      </c>
      <c r="E49" s="24">
        <v>2</v>
      </c>
      <c r="F49" s="11" t="s">
        <v>804</v>
      </c>
      <c r="G49" s="11">
        <v>2</v>
      </c>
      <c r="H49" s="11">
        <v>2</v>
      </c>
      <c r="I49" s="11">
        <v>2</v>
      </c>
      <c r="J49" s="11">
        <v>0</v>
      </c>
      <c r="K49" s="11">
        <v>0</v>
      </c>
      <c r="L49" s="11">
        <v>1</v>
      </c>
      <c r="M49" s="11">
        <f t="shared" si="1"/>
        <v>0</v>
      </c>
      <c r="N49" s="11">
        <v>0</v>
      </c>
      <c r="O49" s="11">
        <v>0</v>
      </c>
      <c r="P49" s="11" t="s">
        <v>141</v>
      </c>
      <c r="Q49" s="11">
        <v>296</v>
      </c>
      <c r="R49" s="11">
        <v>0</v>
      </c>
    </row>
    <row r="50" s="10" customFormat="1" spans="1:18">
      <c r="A50" s="11">
        <v>212</v>
      </c>
      <c r="B50" s="11" t="s">
        <v>142</v>
      </c>
      <c r="C50" s="11" t="s">
        <v>50</v>
      </c>
      <c r="D50" s="11">
        <v>3</v>
      </c>
      <c r="E50" s="24">
        <v>2</v>
      </c>
      <c r="F50" s="11" t="s">
        <v>805</v>
      </c>
      <c r="G50" s="11">
        <v>2</v>
      </c>
      <c r="H50" s="11">
        <v>2</v>
      </c>
      <c r="I50" s="11">
        <v>2</v>
      </c>
      <c r="J50" s="11">
        <v>0</v>
      </c>
      <c r="K50" s="11">
        <v>0</v>
      </c>
      <c r="L50" s="11">
        <v>1</v>
      </c>
      <c r="M50" s="11">
        <f t="shared" si="1"/>
        <v>0</v>
      </c>
      <c r="N50" s="11">
        <v>0</v>
      </c>
      <c r="O50" s="11">
        <v>0</v>
      </c>
      <c r="P50" s="11" t="s">
        <v>143</v>
      </c>
      <c r="Q50" s="11">
        <v>296</v>
      </c>
      <c r="R50" s="11">
        <v>0</v>
      </c>
    </row>
    <row r="51" s="10" customFormat="1" spans="1:18">
      <c r="A51" s="11">
        <v>213</v>
      </c>
      <c r="B51" s="11" t="s">
        <v>144</v>
      </c>
      <c r="C51" s="11" t="s">
        <v>50</v>
      </c>
      <c r="D51" s="11">
        <v>3</v>
      </c>
      <c r="E51" s="24">
        <v>2</v>
      </c>
      <c r="F51" s="11" t="s">
        <v>806</v>
      </c>
      <c r="G51" s="11">
        <v>2</v>
      </c>
      <c r="H51" s="11">
        <v>2</v>
      </c>
      <c r="I51" s="11">
        <v>2</v>
      </c>
      <c r="J51" s="11">
        <v>0</v>
      </c>
      <c r="K51" s="11">
        <v>0</v>
      </c>
      <c r="L51" s="11">
        <v>1</v>
      </c>
      <c r="M51" s="11">
        <f t="shared" si="1"/>
        <v>0</v>
      </c>
      <c r="N51" s="11">
        <v>0</v>
      </c>
      <c r="O51" s="11">
        <v>0</v>
      </c>
      <c r="P51" s="11" t="s">
        <v>139</v>
      </c>
      <c r="Q51" s="11">
        <v>296</v>
      </c>
      <c r="R51" s="11">
        <v>0</v>
      </c>
    </row>
    <row r="52" s="10" customFormat="1" spans="1:18">
      <c r="A52" s="11">
        <v>214</v>
      </c>
      <c r="B52" s="11" t="s">
        <v>145</v>
      </c>
      <c r="C52" s="11" t="s">
        <v>50</v>
      </c>
      <c r="D52" s="11">
        <v>4</v>
      </c>
      <c r="E52" s="24">
        <v>3</v>
      </c>
      <c r="F52" s="11" t="s">
        <v>807</v>
      </c>
      <c r="G52" s="11">
        <v>2</v>
      </c>
      <c r="H52" s="11">
        <v>2</v>
      </c>
      <c r="I52" s="11">
        <v>2</v>
      </c>
      <c r="J52" s="11">
        <v>0</v>
      </c>
      <c r="K52" s="11">
        <v>0</v>
      </c>
      <c r="L52" s="11">
        <v>1</v>
      </c>
      <c r="M52" s="11">
        <f t="shared" si="1"/>
        <v>0</v>
      </c>
      <c r="N52" s="11">
        <v>0</v>
      </c>
      <c r="O52" s="11">
        <v>0</v>
      </c>
      <c r="P52" s="11" t="s">
        <v>146</v>
      </c>
      <c r="Q52" s="11">
        <v>296</v>
      </c>
      <c r="R52" s="11">
        <v>0</v>
      </c>
    </row>
    <row r="53" s="10" customFormat="1" spans="1:18">
      <c r="A53" s="11">
        <v>215</v>
      </c>
      <c r="B53" s="11" t="s">
        <v>147</v>
      </c>
      <c r="C53" s="11" t="s">
        <v>50</v>
      </c>
      <c r="D53" s="11">
        <v>4</v>
      </c>
      <c r="E53" s="24">
        <v>3</v>
      </c>
      <c r="F53" s="11" t="s">
        <v>808</v>
      </c>
      <c r="G53" s="11">
        <v>2</v>
      </c>
      <c r="H53" s="11">
        <v>2</v>
      </c>
      <c r="I53" s="11">
        <v>2</v>
      </c>
      <c r="J53" s="11">
        <v>0</v>
      </c>
      <c r="K53" s="11">
        <v>0</v>
      </c>
      <c r="L53" s="11">
        <v>1</v>
      </c>
      <c r="M53" s="11">
        <f t="shared" si="1"/>
        <v>0</v>
      </c>
      <c r="N53" s="11">
        <v>0</v>
      </c>
      <c r="O53" s="11">
        <v>0</v>
      </c>
      <c r="P53" s="11" t="s">
        <v>148</v>
      </c>
      <c r="Q53" s="11">
        <v>296</v>
      </c>
      <c r="R53" s="11">
        <v>0</v>
      </c>
    </row>
    <row r="54" s="10" customFormat="1" spans="1:18">
      <c r="A54" s="11">
        <v>216</v>
      </c>
      <c r="B54" s="11" t="s">
        <v>149</v>
      </c>
      <c r="C54" s="11" t="s">
        <v>50</v>
      </c>
      <c r="D54" s="11">
        <v>4</v>
      </c>
      <c r="E54" s="24">
        <v>3</v>
      </c>
      <c r="F54" s="11" t="s">
        <v>809</v>
      </c>
      <c r="G54" s="11">
        <v>2</v>
      </c>
      <c r="H54" s="11">
        <v>2</v>
      </c>
      <c r="I54" s="11">
        <v>2</v>
      </c>
      <c r="J54" s="11">
        <v>0</v>
      </c>
      <c r="K54" s="11">
        <v>0</v>
      </c>
      <c r="L54" s="11">
        <v>1</v>
      </c>
      <c r="M54" s="11">
        <f t="shared" si="1"/>
        <v>0</v>
      </c>
      <c r="N54" s="11">
        <v>0</v>
      </c>
      <c r="O54" s="11">
        <v>0</v>
      </c>
      <c r="P54" s="11" t="s">
        <v>150</v>
      </c>
      <c r="Q54" s="11">
        <v>296</v>
      </c>
      <c r="R54" s="11">
        <v>0</v>
      </c>
    </row>
    <row r="55" s="10" customFormat="1" spans="1:18">
      <c r="A55" s="11">
        <v>217</v>
      </c>
      <c r="B55" s="11" t="s">
        <v>151</v>
      </c>
      <c r="C55" s="11" t="s">
        <v>50</v>
      </c>
      <c r="D55" s="11">
        <v>4</v>
      </c>
      <c r="E55" s="24">
        <v>3</v>
      </c>
      <c r="F55" s="11" t="s">
        <v>810</v>
      </c>
      <c r="G55" s="11">
        <v>2</v>
      </c>
      <c r="H55" s="11">
        <v>2</v>
      </c>
      <c r="I55" s="11">
        <v>2</v>
      </c>
      <c r="J55" s="11">
        <v>0</v>
      </c>
      <c r="K55" s="11">
        <v>0</v>
      </c>
      <c r="L55" s="11">
        <v>1</v>
      </c>
      <c r="M55" s="11">
        <f t="shared" si="1"/>
        <v>0</v>
      </c>
      <c r="N55" s="11">
        <v>0</v>
      </c>
      <c r="O55" s="11">
        <v>0</v>
      </c>
      <c r="P55" s="11" t="s">
        <v>152</v>
      </c>
      <c r="Q55" s="11">
        <v>296</v>
      </c>
      <c r="R55" s="11">
        <v>0</v>
      </c>
    </row>
    <row r="56" s="10" customFormat="1" spans="1:18">
      <c r="A56" s="11">
        <v>218</v>
      </c>
      <c r="B56" s="11" t="s">
        <v>153</v>
      </c>
      <c r="C56" s="11" t="s">
        <v>50</v>
      </c>
      <c r="D56" s="11">
        <v>4</v>
      </c>
      <c r="E56" s="24">
        <v>3</v>
      </c>
      <c r="F56" s="11" t="s">
        <v>811</v>
      </c>
      <c r="G56" s="11">
        <v>2</v>
      </c>
      <c r="H56" s="11">
        <v>2</v>
      </c>
      <c r="I56" s="11">
        <v>2</v>
      </c>
      <c r="J56" s="11">
        <v>0</v>
      </c>
      <c r="K56" s="11">
        <v>0</v>
      </c>
      <c r="L56" s="11">
        <v>1</v>
      </c>
      <c r="M56" s="11">
        <f t="shared" si="1"/>
        <v>0</v>
      </c>
      <c r="N56" s="11">
        <v>0</v>
      </c>
      <c r="O56" s="11">
        <v>0</v>
      </c>
      <c r="P56" s="11" t="s">
        <v>154</v>
      </c>
      <c r="Q56" s="11">
        <v>296</v>
      </c>
      <c r="R56" s="11">
        <v>0</v>
      </c>
    </row>
    <row r="57" s="10" customFormat="1" spans="1:18">
      <c r="A57" s="11">
        <v>219</v>
      </c>
      <c r="B57" s="11" t="s">
        <v>155</v>
      </c>
      <c r="C57" s="11" t="s">
        <v>50</v>
      </c>
      <c r="D57" s="11">
        <v>4</v>
      </c>
      <c r="E57" s="24">
        <v>3</v>
      </c>
      <c r="F57" s="11" t="s">
        <v>812</v>
      </c>
      <c r="G57" s="11">
        <v>2</v>
      </c>
      <c r="H57" s="11">
        <v>2</v>
      </c>
      <c r="I57" s="11">
        <v>2</v>
      </c>
      <c r="J57" s="11">
        <v>0</v>
      </c>
      <c r="K57" s="11">
        <v>0</v>
      </c>
      <c r="L57" s="11">
        <v>1</v>
      </c>
      <c r="M57" s="11">
        <f t="shared" si="1"/>
        <v>0</v>
      </c>
      <c r="N57" s="11">
        <v>0</v>
      </c>
      <c r="O57" s="11">
        <v>0</v>
      </c>
      <c r="P57" s="11" t="s">
        <v>156</v>
      </c>
      <c r="Q57" s="11">
        <v>296</v>
      </c>
      <c r="R57" s="11">
        <v>0</v>
      </c>
    </row>
    <row r="58" s="10" customFormat="1" spans="1:18">
      <c r="A58" s="11">
        <v>220</v>
      </c>
      <c r="B58" s="11" t="s">
        <v>157</v>
      </c>
      <c r="C58" s="11" t="s">
        <v>50</v>
      </c>
      <c r="D58" s="11">
        <v>4</v>
      </c>
      <c r="E58" s="24">
        <v>3</v>
      </c>
      <c r="F58" s="11" t="s">
        <v>813</v>
      </c>
      <c r="G58" s="11">
        <v>2</v>
      </c>
      <c r="H58" s="11">
        <v>2</v>
      </c>
      <c r="I58" s="11">
        <v>2</v>
      </c>
      <c r="J58" s="11">
        <v>0</v>
      </c>
      <c r="K58" s="11">
        <v>0</v>
      </c>
      <c r="L58" s="11">
        <v>1</v>
      </c>
      <c r="M58" s="11">
        <f t="shared" si="1"/>
        <v>0</v>
      </c>
      <c r="N58" s="11">
        <v>0</v>
      </c>
      <c r="O58" s="11">
        <v>0</v>
      </c>
      <c r="P58" s="11" t="s">
        <v>158</v>
      </c>
      <c r="Q58" s="11">
        <v>296</v>
      </c>
      <c r="R58" s="11">
        <v>0</v>
      </c>
    </row>
    <row r="59" s="10" customFormat="1" spans="1:18">
      <c r="A59" s="11">
        <v>221</v>
      </c>
      <c r="B59" s="11" t="s">
        <v>159</v>
      </c>
      <c r="C59" s="11" t="s">
        <v>50</v>
      </c>
      <c r="D59" s="11">
        <v>4</v>
      </c>
      <c r="E59" s="24">
        <v>3</v>
      </c>
      <c r="F59" s="11" t="s">
        <v>814</v>
      </c>
      <c r="G59" s="11">
        <v>2</v>
      </c>
      <c r="H59" s="11">
        <v>2</v>
      </c>
      <c r="I59" s="11">
        <v>2</v>
      </c>
      <c r="J59" s="11">
        <v>0</v>
      </c>
      <c r="K59" s="11">
        <v>0</v>
      </c>
      <c r="L59" s="11">
        <v>1</v>
      </c>
      <c r="M59" s="11">
        <f t="shared" si="1"/>
        <v>0</v>
      </c>
      <c r="N59" s="11">
        <v>0</v>
      </c>
      <c r="O59" s="11">
        <v>0</v>
      </c>
      <c r="P59" s="11" t="s">
        <v>160</v>
      </c>
      <c r="Q59" s="11">
        <v>296</v>
      </c>
      <c r="R59" s="11">
        <v>0</v>
      </c>
    </row>
    <row r="60" s="10" customFormat="1" spans="1:18">
      <c r="A60" s="11">
        <v>222</v>
      </c>
      <c r="B60" s="11" t="s">
        <v>161</v>
      </c>
      <c r="C60" s="11" t="s">
        <v>50</v>
      </c>
      <c r="D60" s="11">
        <v>4</v>
      </c>
      <c r="E60" s="24">
        <v>3</v>
      </c>
      <c r="F60" s="11" t="s">
        <v>815</v>
      </c>
      <c r="G60" s="11">
        <v>2</v>
      </c>
      <c r="H60" s="11">
        <v>2</v>
      </c>
      <c r="I60" s="11">
        <v>2</v>
      </c>
      <c r="J60" s="11">
        <v>0</v>
      </c>
      <c r="K60" s="11">
        <v>0</v>
      </c>
      <c r="L60" s="11">
        <v>1</v>
      </c>
      <c r="M60" s="11">
        <f t="shared" si="1"/>
        <v>0</v>
      </c>
      <c r="N60" s="11">
        <v>0</v>
      </c>
      <c r="O60" s="11">
        <v>0</v>
      </c>
      <c r="P60" s="11" t="s">
        <v>158</v>
      </c>
      <c r="Q60" s="11">
        <v>296</v>
      </c>
      <c r="R60" s="11">
        <v>0</v>
      </c>
    </row>
    <row r="61" s="10" customFormat="1" spans="1:18">
      <c r="A61" s="11">
        <v>301</v>
      </c>
      <c r="B61" s="11" t="s">
        <v>162</v>
      </c>
      <c r="C61" s="11" t="s">
        <v>50</v>
      </c>
      <c r="D61" s="11">
        <v>1</v>
      </c>
      <c r="E61" s="24">
        <v>1</v>
      </c>
      <c r="F61" s="11" t="s">
        <v>816</v>
      </c>
      <c r="G61" s="11">
        <v>2</v>
      </c>
      <c r="H61" s="11">
        <v>3</v>
      </c>
      <c r="I61" s="11">
        <v>1</v>
      </c>
      <c r="J61" s="11">
        <v>0</v>
      </c>
      <c r="K61" s="11">
        <v>0</v>
      </c>
      <c r="L61" s="11">
        <v>1</v>
      </c>
      <c r="M61" s="11">
        <f t="shared" si="1"/>
        <v>0</v>
      </c>
      <c r="N61" s="11">
        <v>0</v>
      </c>
      <c r="O61" s="11">
        <v>0</v>
      </c>
      <c r="P61" s="11">
        <v>2</v>
      </c>
      <c r="Q61" s="11">
        <v>296</v>
      </c>
      <c r="R61" s="11">
        <v>0</v>
      </c>
    </row>
    <row r="62" s="10" customFormat="1" spans="1:18">
      <c r="A62" s="11">
        <v>302</v>
      </c>
      <c r="B62" s="11" t="s">
        <v>164</v>
      </c>
      <c r="C62" s="11" t="s">
        <v>50</v>
      </c>
      <c r="D62" s="11">
        <v>1</v>
      </c>
      <c r="E62" s="24">
        <v>1</v>
      </c>
      <c r="F62" s="11" t="s">
        <v>817</v>
      </c>
      <c r="G62" s="11">
        <v>2</v>
      </c>
      <c r="H62" s="11">
        <v>3</v>
      </c>
      <c r="I62" s="11">
        <v>2</v>
      </c>
      <c r="J62" s="11">
        <v>0</v>
      </c>
      <c r="K62" s="11">
        <v>0</v>
      </c>
      <c r="L62" s="11">
        <v>1</v>
      </c>
      <c r="M62" s="11">
        <f t="shared" si="1"/>
        <v>0</v>
      </c>
      <c r="N62" s="11">
        <v>0</v>
      </c>
      <c r="O62" s="11">
        <v>0</v>
      </c>
      <c r="P62" s="11">
        <v>2</v>
      </c>
      <c r="Q62" s="11">
        <v>296</v>
      </c>
      <c r="R62" s="11">
        <v>0</v>
      </c>
    </row>
    <row r="63" s="10" customFormat="1" spans="1:18">
      <c r="A63" s="11">
        <v>303</v>
      </c>
      <c r="B63" s="11" t="s">
        <v>166</v>
      </c>
      <c r="C63" s="11" t="s">
        <v>50</v>
      </c>
      <c r="D63" s="11">
        <v>1</v>
      </c>
      <c r="E63" s="24">
        <v>1</v>
      </c>
      <c r="F63" s="11" t="s">
        <v>818</v>
      </c>
      <c r="G63" s="11">
        <v>2</v>
      </c>
      <c r="H63" s="11">
        <v>3</v>
      </c>
      <c r="I63" s="11">
        <v>2</v>
      </c>
      <c r="J63" s="11">
        <v>0</v>
      </c>
      <c r="K63" s="11">
        <v>0</v>
      </c>
      <c r="L63" s="11">
        <v>1</v>
      </c>
      <c r="M63" s="11">
        <f t="shared" si="1"/>
        <v>0</v>
      </c>
      <c r="N63" s="11">
        <v>0</v>
      </c>
      <c r="O63" s="11">
        <v>0</v>
      </c>
      <c r="P63" s="11" t="s">
        <v>168</v>
      </c>
      <c r="Q63" s="11">
        <v>296</v>
      </c>
      <c r="R63" s="11">
        <v>0</v>
      </c>
    </row>
    <row r="64" s="10" customFormat="1" spans="1:18">
      <c r="A64" s="11">
        <v>304</v>
      </c>
      <c r="B64" s="11" t="s">
        <v>169</v>
      </c>
      <c r="C64" s="11" t="s">
        <v>50</v>
      </c>
      <c r="D64" s="11">
        <v>1</v>
      </c>
      <c r="E64" s="24">
        <v>1</v>
      </c>
      <c r="F64" s="11" t="s">
        <v>819</v>
      </c>
      <c r="G64" s="11">
        <v>2</v>
      </c>
      <c r="H64" s="11">
        <v>3</v>
      </c>
      <c r="I64" s="11">
        <v>2</v>
      </c>
      <c r="J64" s="11">
        <v>0</v>
      </c>
      <c r="K64" s="11">
        <v>0</v>
      </c>
      <c r="L64" s="11">
        <v>1</v>
      </c>
      <c r="M64" s="11">
        <f t="shared" si="1"/>
        <v>0</v>
      </c>
      <c r="N64" s="11">
        <v>0</v>
      </c>
      <c r="O64" s="11">
        <v>0</v>
      </c>
      <c r="P64" s="11" t="s">
        <v>171</v>
      </c>
      <c r="Q64" s="11">
        <v>296</v>
      </c>
      <c r="R64" s="11">
        <v>0</v>
      </c>
    </row>
    <row r="65" s="10" customFormat="1" spans="1:18">
      <c r="A65" s="11">
        <v>305</v>
      </c>
      <c r="B65" s="11" t="s">
        <v>172</v>
      </c>
      <c r="C65" s="11" t="s">
        <v>50</v>
      </c>
      <c r="D65" s="11">
        <v>2</v>
      </c>
      <c r="E65" s="24">
        <v>1</v>
      </c>
      <c r="F65" s="11" t="s">
        <v>820</v>
      </c>
      <c r="G65" s="11">
        <v>2</v>
      </c>
      <c r="H65" s="11">
        <v>3</v>
      </c>
      <c r="I65" s="11">
        <v>2</v>
      </c>
      <c r="J65" s="11">
        <v>0</v>
      </c>
      <c r="K65" s="11">
        <v>0</v>
      </c>
      <c r="L65" s="11">
        <v>1</v>
      </c>
      <c r="M65" s="11">
        <f t="shared" si="1"/>
        <v>0</v>
      </c>
      <c r="N65" s="11">
        <v>0</v>
      </c>
      <c r="O65" s="11">
        <v>0</v>
      </c>
      <c r="P65" s="11" t="s">
        <v>174</v>
      </c>
      <c r="Q65" s="11">
        <v>296</v>
      </c>
      <c r="R65" s="11">
        <v>0</v>
      </c>
    </row>
    <row r="66" s="10" customFormat="1" spans="1:18">
      <c r="A66" s="11">
        <v>306</v>
      </c>
      <c r="B66" s="11" t="s">
        <v>175</v>
      </c>
      <c r="C66" s="11" t="s">
        <v>50</v>
      </c>
      <c r="D66" s="11">
        <v>2</v>
      </c>
      <c r="E66" s="24">
        <v>1</v>
      </c>
      <c r="F66" s="11" t="s">
        <v>821</v>
      </c>
      <c r="G66" s="11">
        <v>2</v>
      </c>
      <c r="H66" s="11">
        <v>3</v>
      </c>
      <c r="I66" s="11">
        <v>1</v>
      </c>
      <c r="J66" s="11">
        <v>0</v>
      </c>
      <c r="K66" s="11">
        <v>0</v>
      </c>
      <c r="L66" s="11">
        <v>1</v>
      </c>
      <c r="M66" s="11">
        <f t="shared" si="1"/>
        <v>0</v>
      </c>
      <c r="N66" s="11">
        <v>0</v>
      </c>
      <c r="O66" s="11">
        <v>0</v>
      </c>
      <c r="P66" s="11" t="s">
        <v>177</v>
      </c>
      <c r="Q66" s="11">
        <v>296</v>
      </c>
      <c r="R66" s="11">
        <v>0</v>
      </c>
    </row>
    <row r="67" s="10" customFormat="1" spans="1:18">
      <c r="A67" s="11">
        <v>307</v>
      </c>
      <c r="B67" s="11" t="s">
        <v>178</v>
      </c>
      <c r="C67" s="11" t="s">
        <v>50</v>
      </c>
      <c r="D67" s="11">
        <v>2</v>
      </c>
      <c r="E67" s="24">
        <v>1</v>
      </c>
      <c r="F67" s="11" t="s">
        <v>822</v>
      </c>
      <c r="G67" s="11">
        <v>2</v>
      </c>
      <c r="H67" s="11">
        <v>3</v>
      </c>
      <c r="I67" s="11">
        <v>1</v>
      </c>
      <c r="J67" s="11">
        <v>0</v>
      </c>
      <c r="K67" s="11">
        <v>0</v>
      </c>
      <c r="L67" s="11">
        <v>1</v>
      </c>
      <c r="M67" s="11">
        <f t="shared" si="1"/>
        <v>0</v>
      </c>
      <c r="N67" s="11">
        <v>0</v>
      </c>
      <c r="O67" s="11">
        <v>0</v>
      </c>
      <c r="P67" s="11" t="s">
        <v>180</v>
      </c>
      <c r="Q67" s="11">
        <v>296</v>
      </c>
      <c r="R67" s="11">
        <v>0</v>
      </c>
    </row>
    <row r="68" s="10" customFormat="1" spans="1:18">
      <c r="A68" s="11">
        <v>308</v>
      </c>
      <c r="B68" s="11" t="s">
        <v>181</v>
      </c>
      <c r="C68" s="11" t="s">
        <v>50</v>
      </c>
      <c r="D68" s="11">
        <v>2</v>
      </c>
      <c r="E68" s="24">
        <v>1</v>
      </c>
      <c r="F68" s="11" t="s">
        <v>823</v>
      </c>
      <c r="G68" s="11">
        <v>2</v>
      </c>
      <c r="H68" s="11">
        <v>3</v>
      </c>
      <c r="I68" s="11">
        <v>1</v>
      </c>
      <c r="J68" s="11">
        <v>0</v>
      </c>
      <c r="K68" s="11">
        <v>0</v>
      </c>
      <c r="L68" s="11">
        <v>1</v>
      </c>
      <c r="M68" s="11">
        <f t="shared" si="1"/>
        <v>0</v>
      </c>
      <c r="N68" s="11">
        <v>0</v>
      </c>
      <c r="O68" s="11">
        <v>0</v>
      </c>
      <c r="P68" s="11" t="s">
        <v>183</v>
      </c>
      <c r="Q68" s="11">
        <v>296</v>
      </c>
      <c r="R68" s="11">
        <v>0</v>
      </c>
    </row>
    <row r="69" s="10" customFormat="1" spans="1:18">
      <c r="A69" s="11">
        <v>309</v>
      </c>
      <c r="B69" s="11" t="s">
        <v>184</v>
      </c>
      <c r="C69" s="11" t="s">
        <v>50</v>
      </c>
      <c r="D69" s="11">
        <v>3</v>
      </c>
      <c r="E69" s="24">
        <v>2</v>
      </c>
      <c r="F69" s="11" t="s">
        <v>824</v>
      </c>
      <c r="G69" s="11">
        <v>2</v>
      </c>
      <c r="H69" s="11">
        <v>3</v>
      </c>
      <c r="I69" s="11">
        <v>1</v>
      </c>
      <c r="J69" s="11">
        <v>0</v>
      </c>
      <c r="K69" s="11">
        <v>0</v>
      </c>
      <c r="L69" s="11">
        <v>1</v>
      </c>
      <c r="M69" s="11">
        <f t="shared" si="1"/>
        <v>0</v>
      </c>
      <c r="N69" s="11">
        <v>0</v>
      </c>
      <c r="O69" s="11">
        <v>0</v>
      </c>
      <c r="P69" s="11" t="s">
        <v>186</v>
      </c>
      <c r="Q69" s="11">
        <v>296</v>
      </c>
      <c r="R69" s="11">
        <v>0</v>
      </c>
    </row>
    <row r="70" s="10" customFormat="1" spans="1:18">
      <c r="A70" s="11">
        <v>310</v>
      </c>
      <c r="B70" s="11" t="s">
        <v>187</v>
      </c>
      <c r="C70" s="11" t="s">
        <v>50</v>
      </c>
      <c r="D70" s="11">
        <v>3</v>
      </c>
      <c r="E70" s="24">
        <v>2</v>
      </c>
      <c r="F70" s="11" t="s">
        <v>825</v>
      </c>
      <c r="G70" s="11">
        <v>2</v>
      </c>
      <c r="H70" s="11">
        <v>3</v>
      </c>
      <c r="I70" s="11">
        <v>1</v>
      </c>
      <c r="J70" s="11">
        <v>0</v>
      </c>
      <c r="K70" s="11">
        <v>0</v>
      </c>
      <c r="L70" s="11">
        <v>1</v>
      </c>
      <c r="M70" s="11">
        <f t="shared" si="1"/>
        <v>0</v>
      </c>
      <c r="N70" s="11">
        <v>0</v>
      </c>
      <c r="O70" s="11">
        <v>0</v>
      </c>
      <c r="P70" s="11" t="s">
        <v>188</v>
      </c>
      <c r="Q70" s="11">
        <v>296</v>
      </c>
      <c r="R70" s="11">
        <v>0</v>
      </c>
    </row>
    <row r="71" s="10" customFormat="1" spans="1:18">
      <c r="A71" s="11">
        <v>311</v>
      </c>
      <c r="B71" s="11" t="s">
        <v>189</v>
      </c>
      <c r="C71" s="11" t="s">
        <v>50</v>
      </c>
      <c r="D71" s="11">
        <v>3</v>
      </c>
      <c r="E71" s="24">
        <v>2</v>
      </c>
      <c r="F71" s="11" t="s">
        <v>826</v>
      </c>
      <c r="G71" s="11">
        <v>2</v>
      </c>
      <c r="H71" s="11">
        <v>3</v>
      </c>
      <c r="I71" s="11">
        <v>1</v>
      </c>
      <c r="J71" s="11">
        <v>0</v>
      </c>
      <c r="K71" s="11">
        <v>0</v>
      </c>
      <c r="L71" s="11">
        <v>1</v>
      </c>
      <c r="M71" s="11">
        <f t="shared" ref="M71:M134" si="2">IF(G71=1,1,0)</f>
        <v>0</v>
      </c>
      <c r="N71" s="11">
        <v>0</v>
      </c>
      <c r="O71" s="11">
        <v>0</v>
      </c>
      <c r="P71" s="11" t="s">
        <v>190</v>
      </c>
      <c r="Q71" s="11">
        <v>296</v>
      </c>
      <c r="R71" s="11">
        <v>0</v>
      </c>
    </row>
    <row r="72" s="10" customFormat="1" spans="1:18">
      <c r="A72" s="11">
        <v>312</v>
      </c>
      <c r="B72" s="11" t="s">
        <v>191</v>
      </c>
      <c r="C72" s="11" t="s">
        <v>50</v>
      </c>
      <c r="D72" s="11">
        <v>3</v>
      </c>
      <c r="E72" s="24">
        <v>2</v>
      </c>
      <c r="F72" s="11" t="s">
        <v>827</v>
      </c>
      <c r="G72" s="11">
        <v>2</v>
      </c>
      <c r="H72" s="11">
        <v>3</v>
      </c>
      <c r="I72" s="11">
        <v>2</v>
      </c>
      <c r="J72" s="11">
        <v>0</v>
      </c>
      <c r="K72" s="11">
        <v>0</v>
      </c>
      <c r="L72" s="11">
        <v>1</v>
      </c>
      <c r="M72" s="11">
        <f t="shared" si="2"/>
        <v>0</v>
      </c>
      <c r="N72" s="11">
        <v>0</v>
      </c>
      <c r="O72" s="11">
        <v>0</v>
      </c>
      <c r="P72" s="11" t="s">
        <v>192</v>
      </c>
      <c r="Q72" s="11">
        <v>296</v>
      </c>
      <c r="R72" s="11">
        <v>0</v>
      </c>
    </row>
    <row r="73" s="10" customFormat="1" spans="1:18">
      <c r="A73" s="11">
        <v>313</v>
      </c>
      <c r="B73" s="11" t="s">
        <v>193</v>
      </c>
      <c r="C73" s="11" t="s">
        <v>50</v>
      </c>
      <c r="D73" s="11">
        <v>3</v>
      </c>
      <c r="E73" s="24">
        <v>2</v>
      </c>
      <c r="F73" s="11" t="s">
        <v>828</v>
      </c>
      <c r="G73" s="11">
        <v>2</v>
      </c>
      <c r="H73" s="11">
        <v>3</v>
      </c>
      <c r="I73" s="11">
        <v>1</v>
      </c>
      <c r="J73" s="11">
        <v>0</v>
      </c>
      <c r="K73" s="11">
        <v>0</v>
      </c>
      <c r="L73" s="11">
        <v>1</v>
      </c>
      <c r="M73" s="11">
        <f t="shared" si="2"/>
        <v>0</v>
      </c>
      <c r="N73" s="11">
        <v>0</v>
      </c>
      <c r="O73" s="11">
        <v>0</v>
      </c>
      <c r="P73" s="11" t="s">
        <v>194</v>
      </c>
      <c r="Q73" s="11">
        <v>296</v>
      </c>
      <c r="R73" s="11">
        <v>0</v>
      </c>
    </row>
    <row r="74" s="10" customFormat="1" spans="1:18">
      <c r="A74" s="11">
        <v>314</v>
      </c>
      <c r="B74" s="11" t="s">
        <v>195</v>
      </c>
      <c r="C74" s="11" t="s">
        <v>50</v>
      </c>
      <c r="D74" s="11">
        <v>3</v>
      </c>
      <c r="E74" s="24">
        <v>2</v>
      </c>
      <c r="F74" s="11" t="s">
        <v>829</v>
      </c>
      <c r="G74" s="11">
        <v>2</v>
      </c>
      <c r="H74" s="11">
        <v>3</v>
      </c>
      <c r="I74" s="11">
        <v>1</v>
      </c>
      <c r="J74" s="11">
        <v>0</v>
      </c>
      <c r="K74" s="11">
        <v>0</v>
      </c>
      <c r="L74" s="11">
        <v>1</v>
      </c>
      <c r="M74" s="11">
        <f t="shared" si="2"/>
        <v>0</v>
      </c>
      <c r="N74" s="11">
        <v>0</v>
      </c>
      <c r="O74" s="11">
        <v>0</v>
      </c>
      <c r="P74" s="11" t="s">
        <v>196</v>
      </c>
      <c r="Q74" s="11">
        <v>296</v>
      </c>
      <c r="R74" s="11">
        <v>0</v>
      </c>
    </row>
    <row r="75" s="10" customFormat="1" spans="1:18">
      <c r="A75" s="11">
        <v>315</v>
      </c>
      <c r="B75" s="11" t="s">
        <v>197</v>
      </c>
      <c r="C75" s="11" t="s">
        <v>50</v>
      </c>
      <c r="D75" s="11">
        <v>3</v>
      </c>
      <c r="E75" s="24">
        <v>2</v>
      </c>
      <c r="F75" s="11" t="s">
        <v>830</v>
      </c>
      <c r="G75" s="11">
        <v>2</v>
      </c>
      <c r="H75" s="11">
        <v>3</v>
      </c>
      <c r="I75" s="11">
        <v>2</v>
      </c>
      <c r="J75" s="11">
        <v>0</v>
      </c>
      <c r="K75" s="11">
        <v>0</v>
      </c>
      <c r="L75" s="11">
        <v>1</v>
      </c>
      <c r="M75" s="11">
        <f t="shared" si="2"/>
        <v>0</v>
      </c>
      <c r="N75" s="11">
        <v>0</v>
      </c>
      <c r="O75" s="11">
        <v>0</v>
      </c>
      <c r="P75" s="11" t="s">
        <v>198</v>
      </c>
      <c r="Q75" s="11">
        <v>296</v>
      </c>
      <c r="R75" s="11">
        <v>0</v>
      </c>
    </row>
    <row r="76" s="10" customFormat="1" spans="1:18">
      <c r="A76" s="11">
        <v>316</v>
      </c>
      <c r="B76" s="11" t="s">
        <v>199</v>
      </c>
      <c r="C76" s="11" t="s">
        <v>50</v>
      </c>
      <c r="D76" s="11">
        <v>3</v>
      </c>
      <c r="E76" s="24">
        <v>2</v>
      </c>
      <c r="F76" s="11" t="s">
        <v>831</v>
      </c>
      <c r="G76" s="11">
        <v>2</v>
      </c>
      <c r="H76" s="11">
        <v>3</v>
      </c>
      <c r="I76" s="11">
        <v>2</v>
      </c>
      <c r="J76" s="11">
        <v>0</v>
      </c>
      <c r="K76" s="11">
        <v>0</v>
      </c>
      <c r="L76" s="11">
        <v>1</v>
      </c>
      <c r="M76" s="11">
        <f t="shared" si="2"/>
        <v>0</v>
      </c>
      <c r="N76" s="11">
        <v>0</v>
      </c>
      <c r="O76" s="11">
        <v>0</v>
      </c>
      <c r="P76" s="11" t="s">
        <v>200</v>
      </c>
      <c r="Q76" s="11">
        <v>296</v>
      </c>
      <c r="R76" s="11">
        <v>0</v>
      </c>
    </row>
    <row r="77" s="10" customFormat="1" spans="1:18">
      <c r="A77" s="11">
        <v>317</v>
      </c>
      <c r="B77" s="11" t="s">
        <v>201</v>
      </c>
      <c r="C77" s="11" t="s">
        <v>50</v>
      </c>
      <c r="D77" s="11">
        <v>3</v>
      </c>
      <c r="E77" s="24">
        <v>2</v>
      </c>
      <c r="F77" s="11" t="s">
        <v>832</v>
      </c>
      <c r="G77" s="11">
        <v>2</v>
      </c>
      <c r="H77" s="11">
        <v>3</v>
      </c>
      <c r="I77" s="11">
        <v>2</v>
      </c>
      <c r="J77" s="11">
        <v>0</v>
      </c>
      <c r="K77" s="11">
        <v>0</v>
      </c>
      <c r="L77" s="11">
        <v>1</v>
      </c>
      <c r="M77" s="11">
        <f t="shared" si="2"/>
        <v>0</v>
      </c>
      <c r="N77" s="11">
        <v>0</v>
      </c>
      <c r="O77" s="11">
        <v>0</v>
      </c>
      <c r="P77" s="11" t="s">
        <v>202</v>
      </c>
      <c r="Q77" s="11">
        <v>296</v>
      </c>
      <c r="R77" s="11">
        <v>0</v>
      </c>
    </row>
    <row r="78" s="10" customFormat="1" spans="1:18">
      <c r="A78" s="11">
        <v>318</v>
      </c>
      <c r="B78" s="11" t="s">
        <v>203</v>
      </c>
      <c r="C78" s="11" t="s">
        <v>50</v>
      </c>
      <c r="D78" s="11">
        <v>3</v>
      </c>
      <c r="E78" s="24">
        <v>2</v>
      </c>
      <c r="F78" s="11" t="s">
        <v>833</v>
      </c>
      <c r="G78" s="11">
        <v>2</v>
      </c>
      <c r="H78" s="11">
        <v>3</v>
      </c>
      <c r="I78" s="11">
        <v>1</v>
      </c>
      <c r="J78" s="11">
        <v>0</v>
      </c>
      <c r="K78" s="11">
        <v>0</v>
      </c>
      <c r="L78" s="11">
        <v>1</v>
      </c>
      <c r="M78" s="11">
        <f t="shared" si="2"/>
        <v>0</v>
      </c>
      <c r="N78" s="11">
        <v>0</v>
      </c>
      <c r="O78" s="11">
        <v>0</v>
      </c>
      <c r="P78" s="11" t="s">
        <v>204</v>
      </c>
      <c r="Q78" s="11">
        <v>296</v>
      </c>
      <c r="R78" s="11">
        <v>0</v>
      </c>
    </row>
    <row r="79" s="10" customFormat="1" spans="1:18">
      <c r="A79" s="11">
        <v>319</v>
      </c>
      <c r="B79" s="11" t="s">
        <v>205</v>
      </c>
      <c r="C79" s="11" t="s">
        <v>50</v>
      </c>
      <c r="D79" s="11">
        <v>3</v>
      </c>
      <c r="E79" s="24">
        <v>2</v>
      </c>
      <c r="F79" s="11" t="s">
        <v>834</v>
      </c>
      <c r="G79" s="11">
        <v>2</v>
      </c>
      <c r="H79" s="11">
        <v>3</v>
      </c>
      <c r="I79" s="11">
        <v>2</v>
      </c>
      <c r="J79" s="11">
        <v>0</v>
      </c>
      <c r="K79" s="11">
        <v>0</v>
      </c>
      <c r="L79" s="11">
        <v>1</v>
      </c>
      <c r="M79" s="11">
        <f t="shared" si="2"/>
        <v>0</v>
      </c>
      <c r="N79" s="11">
        <v>0</v>
      </c>
      <c r="O79" s="11">
        <v>0</v>
      </c>
      <c r="P79" s="11" t="s">
        <v>206</v>
      </c>
      <c r="Q79" s="11">
        <v>296</v>
      </c>
      <c r="R79" s="11">
        <v>0</v>
      </c>
    </row>
    <row r="80" s="10" customFormat="1" spans="1:18">
      <c r="A80" s="11">
        <v>320</v>
      </c>
      <c r="B80" s="11" t="s">
        <v>207</v>
      </c>
      <c r="C80" s="11" t="s">
        <v>50</v>
      </c>
      <c r="D80" s="11">
        <v>3</v>
      </c>
      <c r="E80" s="24">
        <v>2</v>
      </c>
      <c r="F80" s="11" t="s">
        <v>835</v>
      </c>
      <c r="G80" s="11">
        <v>2</v>
      </c>
      <c r="H80" s="11">
        <v>3</v>
      </c>
      <c r="I80" s="11">
        <v>1</v>
      </c>
      <c r="J80" s="11">
        <v>0</v>
      </c>
      <c r="K80" s="11">
        <v>0</v>
      </c>
      <c r="L80" s="11">
        <v>1</v>
      </c>
      <c r="M80" s="11">
        <f t="shared" si="2"/>
        <v>0</v>
      </c>
      <c r="N80" s="11">
        <v>0</v>
      </c>
      <c r="O80" s="11">
        <v>0</v>
      </c>
      <c r="P80" s="11" t="s">
        <v>208</v>
      </c>
      <c r="Q80" s="11">
        <v>296</v>
      </c>
      <c r="R80" s="11">
        <v>0</v>
      </c>
    </row>
    <row r="81" s="10" customFormat="1" spans="1:18">
      <c r="A81" s="11">
        <v>321</v>
      </c>
      <c r="B81" s="11" t="s">
        <v>209</v>
      </c>
      <c r="C81" s="11" t="s">
        <v>50</v>
      </c>
      <c r="D81" s="11">
        <v>3</v>
      </c>
      <c r="E81" s="24">
        <v>2</v>
      </c>
      <c r="F81" s="11" t="s">
        <v>836</v>
      </c>
      <c r="G81" s="11">
        <v>2</v>
      </c>
      <c r="H81" s="11">
        <v>3</v>
      </c>
      <c r="I81" s="11">
        <v>1</v>
      </c>
      <c r="J81" s="11">
        <v>0</v>
      </c>
      <c r="K81" s="11">
        <v>0</v>
      </c>
      <c r="L81" s="11">
        <v>1</v>
      </c>
      <c r="M81" s="11">
        <f t="shared" si="2"/>
        <v>0</v>
      </c>
      <c r="N81" s="11">
        <v>0</v>
      </c>
      <c r="O81" s="11">
        <v>0</v>
      </c>
      <c r="P81" s="11" t="s">
        <v>210</v>
      </c>
      <c r="Q81" s="11">
        <v>296</v>
      </c>
      <c r="R81" s="11">
        <v>0</v>
      </c>
    </row>
    <row r="82" s="10" customFormat="1" spans="1:18">
      <c r="A82" s="11">
        <v>322</v>
      </c>
      <c r="B82" s="11" t="s">
        <v>211</v>
      </c>
      <c r="C82" s="11" t="s">
        <v>50</v>
      </c>
      <c r="D82" s="11">
        <v>3</v>
      </c>
      <c r="E82" s="24">
        <v>2</v>
      </c>
      <c r="F82" s="11" t="s">
        <v>837</v>
      </c>
      <c r="G82" s="11">
        <v>2</v>
      </c>
      <c r="H82" s="11">
        <v>3</v>
      </c>
      <c r="I82" s="11">
        <v>2</v>
      </c>
      <c r="J82" s="11">
        <v>0</v>
      </c>
      <c r="K82" s="11">
        <v>0</v>
      </c>
      <c r="L82" s="11">
        <v>1</v>
      </c>
      <c r="M82" s="11">
        <f t="shared" si="2"/>
        <v>0</v>
      </c>
      <c r="N82" s="11">
        <v>0</v>
      </c>
      <c r="O82" s="11">
        <v>0</v>
      </c>
      <c r="P82" s="11" t="s">
        <v>212</v>
      </c>
      <c r="Q82" s="11">
        <v>296</v>
      </c>
      <c r="R82" s="11">
        <v>0</v>
      </c>
    </row>
    <row r="83" s="10" customFormat="1" spans="1:18">
      <c r="A83" s="11">
        <v>323</v>
      </c>
      <c r="B83" s="11" t="s">
        <v>213</v>
      </c>
      <c r="C83" s="11" t="s">
        <v>50</v>
      </c>
      <c r="D83" s="11">
        <v>3</v>
      </c>
      <c r="E83" s="24">
        <v>2</v>
      </c>
      <c r="F83" s="11" t="s">
        <v>838</v>
      </c>
      <c r="G83" s="11">
        <v>2</v>
      </c>
      <c r="H83" s="11">
        <v>3</v>
      </c>
      <c r="I83" s="11">
        <v>1</v>
      </c>
      <c r="J83" s="11">
        <v>0</v>
      </c>
      <c r="K83" s="11">
        <v>0</v>
      </c>
      <c r="L83" s="11">
        <v>1</v>
      </c>
      <c r="M83" s="11">
        <f t="shared" si="2"/>
        <v>0</v>
      </c>
      <c r="N83" s="11">
        <v>0</v>
      </c>
      <c r="O83" s="11">
        <v>0</v>
      </c>
      <c r="P83" s="11" t="s">
        <v>214</v>
      </c>
      <c r="Q83" s="11">
        <v>296</v>
      </c>
      <c r="R83" s="11">
        <v>0</v>
      </c>
    </row>
    <row r="84" s="10" customFormat="1" spans="1:18">
      <c r="A84" s="11">
        <v>324</v>
      </c>
      <c r="B84" s="11" t="s">
        <v>215</v>
      </c>
      <c r="C84" s="11" t="s">
        <v>50</v>
      </c>
      <c r="D84" s="11">
        <v>3</v>
      </c>
      <c r="E84" s="24">
        <v>2</v>
      </c>
      <c r="F84" s="11" t="s">
        <v>839</v>
      </c>
      <c r="G84" s="11">
        <v>2</v>
      </c>
      <c r="H84" s="11">
        <v>3</v>
      </c>
      <c r="I84" s="11">
        <v>1</v>
      </c>
      <c r="J84" s="11">
        <v>0</v>
      </c>
      <c r="K84" s="11">
        <v>0</v>
      </c>
      <c r="L84" s="11">
        <v>1</v>
      </c>
      <c r="M84" s="11">
        <f t="shared" si="2"/>
        <v>0</v>
      </c>
      <c r="N84" s="11">
        <v>0</v>
      </c>
      <c r="O84" s="11">
        <v>0</v>
      </c>
      <c r="P84" s="11" t="s">
        <v>202</v>
      </c>
      <c r="Q84" s="11">
        <v>296</v>
      </c>
      <c r="R84" s="11">
        <v>0</v>
      </c>
    </row>
    <row r="85" s="10" customFormat="1" spans="1:18">
      <c r="A85" s="11">
        <v>325</v>
      </c>
      <c r="B85" s="11" t="s">
        <v>216</v>
      </c>
      <c r="C85" s="11" t="s">
        <v>50</v>
      </c>
      <c r="D85" s="11">
        <v>3</v>
      </c>
      <c r="E85" s="24">
        <v>2</v>
      </c>
      <c r="F85" s="11" t="s">
        <v>840</v>
      </c>
      <c r="G85" s="11">
        <v>2</v>
      </c>
      <c r="H85" s="11">
        <v>3</v>
      </c>
      <c r="I85" s="11">
        <v>2</v>
      </c>
      <c r="J85" s="11">
        <v>0</v>
      </c>
      <c r="K85" s="11">
        <v>0</v>
      </c>
      <c r="L85" s="11">
        <v>1</v>
      </c>
      <c r="M85" s="11">
        <f t="shared" si="2"/>
        <v>0</v>
      </c>
      <c r="N85" s="11">
        <v>0</v>
      </c>
      <c r="O85" s="11">
        <v>0</v>
      </c>
      <c r="P85" s="11" t="s">
        <v>217</v>
      </c>
      <c r="Q85" s="11">
        <v>296</v>
      </c>
      <c r="R85" s="11">
        <v>0</v>
      </c>
    </row>
    <row r="86" s="10" customFormat="1" spans="1:18">
      <c r="A86" s="11">
        <v>326</v>
      </c>
      <c r="B86" s="11" t="s">
        <v>218</v>
      </c>
      <c r="C86" s="11" t="s">
        <v>50</v>
      </c>
      <c r="D86" s="11">
        <v>3</v>
      </c>
      <c r="E86" s="24">
        <v>2</v>
      </c>
      <c r="F86" s="11" t="s">
        <v>841</v>
      </c>
      <c r="G86" s="11">
        <v>2</v>
      </c>
      <c r="H86" s="11">
        <v>3</v>
      </c>
      <c r="I86" s="11">
        <v>1</v>
      </c>
      <c r="J86" s="11">
        <v>0</v>
      </c>
      <c r="K86" s="11">
        <v>0</v>
      </c>
      <c r="L86" s="11">
        <v>1</v>
      </c>
      <c r="M86" s="11">
        <f t="shared" si="2"/>
        <v>0</v>
      </c>
      <c r="N86" s="11">
        <v>0</v>
      </c>
      <c r="O86" s="11">
        <v>0</v>
      </c>
      <c r="P86" s="11" t="s">
        <v>219</v>
      </c>
      <c r="Q86" s="11">
        <v>296</v>
      </c>
      <c r="R86" s="11">
        <v>0</v>
      </c>
    </row>
    <row r="87" s="10" customFormat="1" spans="1:18">
      <c r="A87" s="11">
        <v>327</v>
      </c>
      <c r="B87" s="11" t="s">
        <v>220</v>
      </c>
      <c r="C87" s="11" t="s">
        <v>50</v>
      </c>
      <c r="D87" s="11">
        <v>4</v>
      </c>
      <c r="E87" s="24">
        <v>3</v>
      </c>
      <c r="F87" s="11" t="s">
        <v>842</v>
      </c>
      <c r="G87" s="11">
        <v>2</v>
      </c>
      <c r="H87" s="11">
        <v>3</v>
      </c>
      <c r="I87" s="11">
        <v>2</v>
      </c>
      <c r="J87" s="11">
        <v>0</v>
      </c>
      <c r="K87" s="11">
        <v>0</v>
      </c>
      <c r="L87" s="11">
        <v>1</v>
      </c>
      <c r="M87" s="11">
        <f t="shared" si="2"/>
        <v>0</v>
      </c>
      <c r="N87" s="11">
        <v>0</v>
      </c>
      <c r="O87" s="11">
        <v>0</v>
      </c>
      <c r="P87" s="11" t="s">
        <v>221</v>
      </c>
      <c r="Q87" s="11">
        <v>296</v>
      </c>
      <c r="R87" s="11">
        <v>0</v>
      </c>
    </row>
    <row r="88" s="10" customFormat="1" spans="1:18">
      <c r="A88" s="11">
        <v>328</v>
      </c>
      <c r="B88" s="11" t="s">
        <v>222</v>
      </c>
      <c r="C88" s="11" t="s">
        <v>50</v>
      </c>
      <c r="D88" s="11">
        <v>4</v>
      </c>
      <c r="E88" s="24">
        <v>3</v>
      </c>
      <c r="F88" s="11" t="s">
        <v>843</v>
      </c>
      <c r="G88" s="11">
        <v>2</v>
      </c>
      <c r="H88" s="11">
        <v>3</v>
      </c>
      <c r="I88" s="11">
        <v>2</v>
      </c>
      <c r="J88" s="11">
        <v>0</v>
      </c>
      <c r="K88" s="11">
        <v>0</v>
      </c>
      <c r="L88" s="11">
        <v>1</v>
      </c>
      <c r="M88" s="11">
        <f t="shared" si="2"/>
        <v>0</v>
      </c>
      <c r="N88" s="11">
        <v>0</v>
      </c>
      <c r="O88" s="11">
        <v>0</v>
      </c>
      <c r="P88" s="11" t="s">
        <v>223</v>
      </c>
      <c r="Q88" s="11">
        <v>296</v>
      </c>
      <c r="R88" s="11">
        <v>0</v>
      </c>
    </row>
    <row r="89" s="10" customFormat="1" spans="1:18">
      <c r="A89" s="11">
        <v>329</v>
      </c>
      <c r="B89" s="11" t="s">
        <v>224</v>
      </c>
      <c r="C89" s="11" t="s">
        <v>50</v>
      </c>
      <c r="D89" s="11">
        <v>4</v>
      </c>
      <c r="E89" s="24">
        <v>3</v>
      </c>
      <c r="F89" s="11" t="s">
        <v>844</v>
      </c>
      <c r="G89" s="11">
        <v>2</v>
      </c>
      <c r="H89" s="11">
        <v>3</v>
      </c>
      <c r="I89" s="11">
        <v>2</v>
      </c>
      <c r="J89" s="11">
        <v>0</v>
      </c>
      <c r="K89" s="11">
        <v>0</v>
      </c>
      <c r="L89" s="11">
        <v>1</v>
      </c>
      <c r="M89" s="11">
        <f t="shared" si="2"/>
        <v>0</v>
      </c>
      <c r="N89" s="11">
        <v>0</v>
      </c>
      <c r="O89" s="11">
        <v>0</v>
      </c>
      <c r="P89" s="11" t="s">
        <v>225</v>
      </c>
      <c r="Q89" s="11">
        <v>296</v>
      </c>
      <c r="R89" s="11">
        <v>0</v>
      </c>
    </row>
    <row r="90" s="10" customFormat="1" spans="1:18">
      <c r="A90" s="11">
        <v>330</v>
      </c>
      <c r="B90" s="11" t="s">
        <v>226</v>
      </c>
      <c r="C90" s="11" t="s">
        <v>50</v>
      </c>
      <c r="D90" s="11">
        <v>4</v>
      </c>
      <c r="E90" s="24">
        <v>3</v>
      </c>
      <c r="F90" s="11" t="s">
        <v>845</v>
      </c>
      <c r="G90" s="11">
        <v>2</v>
      </c>
      <c r="H90" s="11">
        <v>3</v>
      </c>
      <c r="I90" s="11">
        <v>2</v>
      </c>
      <c r="J90" s="11">
        <v>0</v>
      </c>
      <c r="K90" s="11">
        <v>0</v>
      </c>
      <c r="L90" s="11">
        <v>1</v>
      </c>
      <c r="M90" s="11">
        <f t="shared" si="2"/>
        <v>0</v>
      </c>
      <c r="N90" s="11">
        <v>0</v>
      </c>
      <c r="O90" s="11">
        <v>0</v>
      </c>
      <c r="P90" s="11" t="s">
        <v>227</v>
      </c>
      <c r="Q90" s="11">
        <v>296</v>
      </c>
      <c r="R90" s="11">
        <v>0</v>
      </c>
    </row>
    <row r="91" s="10" customFormat="1" spans="1:18">
      <c r="A91" s="11">
        <v>331</v>
      </c>
      <c r="B91" s="11" t="s">
        <v>228</v>
      </c>
      <c r="C91" s="11" t="s">
        <v>50</v>
      </c>
      <c r="D91" s="11">
        <v>4</v>
      </c>
      <c r="E91" s="24">
        <v>3</v>
      </c>
      <c r="F91" s="11" t="s">
        <v>846</v>
      </c>
      <c r="G91" s="11">
        <v>2</v>
      </c>
      <c r="H91" s="11">
        <v>3</v>
      </c>
      <c r="I91" s="11">
        <v>2</v>
      </c>
      <c r="J91" s="11">
        <v>0</v>
      </c>
      <c r="K91" s="11">
        <v>0</v>
      </c>
      <c r="L91" s="11">
        <v>1</v>
      </c>
      <c r="M91" s="11">
        <f t="shared" si="2"/>
        <v>0</v>
      </c>
      <c r="N91" s="11">
        <v>0</v>
      </c>
      <c r="O91" s="11">
        <v>0</v>
      </c>
      <c r="P91" s="11" t="s">
        <v>229</v>
      </c>
      <c r="Q91" s="11">
        <v>296</v>
      </c>
      <c r="R91" s="11">
        <v>0</v>
      </c>
    </row>
    <row r="92" s="10" customFormat="1" spans="1:18">
      <c r="A92" s="11">
        <v>332</v>
      </c>
      <c r="B92" s="11" t="s">
        <v>230</v>
      </c>
      <c r="C92" s="11" t="s">
        <v>50</v>
      </c>
      <c r="D92" s="11">
        <v>4</v>
      </c>
      <c r="E92" s="24">
        <v>3</v>
      </c>
      <c r="F92" s="11" t="s">
        <v>847</v>
      </c>
      <c r="G92" s="11">
        <v>2</v>
      </c>
      <c r="H92" s="11">
        <v>3</v>
      </c>
      <c r="I92" s="11">
        <v>1</v>
      </c>
      <c r="J92" s="11">
        <v>0</v>
      </c>
      <c r="K92" s="11">
        <v>0</v>
      </c>
      <c r="L92" s="11">
        <v>1</v>
      </c>
      <c r="M92" s="11">
        <f t="shared" si="2"/>
        <v>0</v>
      </c>
      <c r="N92" s="11">
        <v>0</v>
      </c>
      <c r="O92" s="11">
        <v>0</v>
      </c>
      <c r="P92" s="11" t="s">
        <v>231</v>
      </c>
      <c r="Q92" s="11">
        <v>296</v>
      </c>
      <c r="R92" s="11">
        <v>0</v>
      </c>
    </row>
    <row r="93" s="10" customFormat="1" spans="1:18">
      <c r="A93" s="11">
        <v>333</v>
      </c>
      <c r="B93" s="11" t="s">
        <v>232</v>
      </c>
      <c r="C93" s="11" t="s">
        <v>50</v>
      </c>
      <c r="D93" s="11">
        <v>4</v>
      </c>
      <c r="E93" s="24">
        <v>3</v>
      </c>
      <c r="F93" s="11" t="s">
        <v>848</v>
      </c>
      <c r="G93" s="11">
        <v>2</v>
      </c>
      <c r="H93" s="11">
        <v>3</v>
      </c>
      <c r="I93" s="11">
        <v>1</v>
      </c>
      <c r="J93" s="11">
        <v>0</v>
      </c>
      <c r="K93" s="11">
        <v>0</v>
      </c>
      <c r="L93" s="11">
        <v>1</v>
      </c>
      <c r="M93" s="11">
        <f t="shared" si="2"/>
        <v>0</v>
      </c>
      <c r="N93" s="11">
        <v>0</v>
      </c>
      <c r="O93" s="11">
        <v>0</v>
      </c>
      <c r="P93" s="11" t="s">
        <v>221</v>
      </c>
      <c r="Q93" s="11">
        <v>296</v>
      </c>
      <c r="R93" s="11">
        <v>0</v>
      </c>
    </row>
    <row r="94" s="10" customFormat="1" spans="1:18">
      <c r="A94" s="11">
        <v>334</v>
      </c>
      <c r="B94" s="11" t="s">
        <v>233</v>
      </c>
      <c r="C94" s="11" t="s">
        <v>50</v>
      </c>
      <c r="D94" s="11">
        <v>4</v>
      </c>
      <c r="E94" s="24">
        <v>3</v>
      </c>
      <c r="F94" s="11" t="s">
        <v>849</v>
      </c>
      <c r="G94" s="11">
        <v>2</v>
      </c>
      <c r="H94" s="11">
        <v>3</v>
      </c>
      <c r="I94" s="11">
        <v>2</v>
      </c>
      <c r="J94" s="11">
        <v>0</v>
      </c>
      <c r="K94" s="11">
        <v>0</v>
      </c>
      <c r="L94" s="11">
        <v>1</v>
      </c>
      <c r="M94" s="11">
        <f t="shared" si="2"/>
        <v>0</v>
      </c>
      <c r="N94" s="11">
        <v>0</v>
      </c>
      <c r="O94" s="11">
        <v>0</v>
      </c>
      <c r="P94" s="11" t="s">
        <v>231</v>
      </c>
      <c r="Q94" s="11">
        <v>296</v>
      </c>
      <c r="R94" s="11">
        <v>0</v>
      </c>
    </row>
    <row r="95" s="10" customFormat="1" spans="1:18">
      <c r="A95" s="11">
        <v>335</v>
      </c>
      <c r="B95" s="11" t="s">
        <v>234</v>
      </c>
      <c r="C95" s="11" t="s">
        <v>50</v>
      </c>
      <c r="D95" s="11">
        <v>4</v>
      </c>
      <c r="E95" s="24">
        <v>3</v>
      </c>
      <c r="F95" s="11" t="s">
        <v>850</v>
      </c>
      <c r="G95" s="11">
        <v>2</v>
      </c>
      <c r="H95" s="11">
        <v>3</v>
      </c>
      <c r="I95" s="11">
        <v>2</v>
      </c>
      <c r="J95" s="11">
        <v>0</v>
      </c>
      <c r="K95" s="11">
        <v>0</v>
      </c>
      <c r="L95" s="11">
        <v>1</v>
      </c>
      <c r="M95" s="11">
        <f t="shared" si="2"/>
        <v>0</v>
      </c>
      <c r="N95" s="11">
        <v>0</v>
      </c>
      <c r="O95" s="11">
        <v>0</v>
      </c>
      <c r="P95" s="11" t="s">
        <v>221</v>
      </c>
      <c r="Q95" s="11">
        <v>296</v>
      </c>
      <c r="R95" s="11">
        <v>0</v>
      </c>
    </row>
    <row r="96" s="10" customFormat="1" spans="1:18">
      <c r="A96" s="11">
        <v>336</v>
      </c>
      <c r="B96" s="11" t="s">
        <v>235</v>
      </c>
      <c r="C96" s="11" t="s">
        <v>50</v>
      </c>
      <c r="D96" s="11">
        <v>4</v>
      </c>
      <c r="E96" s="24">
        <v>3</v>
      </c>
      <c r="F96" s="11" t="s">
        <v>851</v>
      </c>
      <c r="G96" s="11">
        <v>2</v>
      </c>
      <c r="H96" s="11">
        <v>3</v>
      </c>
      <c r="I96" s="11">
        <v>1</v>
      </c>
      <c r="J96" s="11">
        <v>0</v>
      </c>
      <c r="K96" s="11">
        <v>0</v>
      </c>
      <c r="L96" s="11">
        <v>1</v>
      </c>
      <c r="M96" s="11">
        <f t="shared" si="2"/>
        <v>0</v>
      </c>
      <c r="N96" s="11">
        <v>0</v>
      </c>
      <c r="O96" s="11">
        <v>0</v>
      </c>
      <c r="P96" s="11" t="s">
        <v>231</v>
      </c>
      <c r="Q96" s="11">
        <v>296</v>
      </c>
      <c r="R96" s="11">
        <v>0</v>
      </c>
    </row>
    <row r="97" s="10" customFormat="1" spans="1:18">
      <c r="A97" s="11">
        <v>337</v>
      </c>
      <c r="B97" s="11" t="s">
        <v>236</v>
      </c>
      <c r="C97" s="11" t="s">
        <v>50</v>
      </c>
      <c r="D97" s="11">
        <v>4</v>
      </c>
      <c r="E97" s="24">
        <v>3</v>
      </c>
      <c r="F97" s="11" t="s">
        <v>852</v>
      </c>
      <c r="G97" s="11">
        <v>2</v>
      </c>
      <c r="H97" s="11">
        <v>3</v>
      </c>
      <c r="I97" s="11">
        <v>1</v>
      </c>
      <c r="J97" s="11">
        <v>0</v>
      </c>
      <c r="K97" s="11">
        <v>0</v>
      </c>
      <c r="L97" s="11">
        <v>1</v>
      </c>
      <c r="M97" s="11">
        <f t="shared" si="2"/>
        <v>0</v>
      </c>
      <c r="N97" s="11">
        <v>0</v>
      </c>
      <c r="O97" s="11">
        <v>0</v>
      </c>
      <c r="P97" s="11" t="s">
        <v>221</v>
      </c>
      <c r="Q97" s="11">
        <v>296</v>
      </c>
      <c r="R97" s="11">
        <v>0</v>
      </c>
    </row>
    <row r="98" s="10" customFormat="1" spans="1:18">
      <c r="A98" s="11">
        <v>338</v>
      </c>
      <c r="B98" s="11" t="s">
        <v>237</v>
      </c>
      <c r="C98" s="11" t="s">
        <v>50</v>
      </c>
      <c r="D98" s="11">
        <v>4</v>
      </c>
      <c r="E98" s="24">
        <v>3</v>
      </c>
      <c r="F98" s="11" t="s">
        <v>853</v>
      </c>
      <c r="G98" s="11">
        <v>2</v>
      </c>
      <c r="H98" s="11">
        <v>3</v>
      </c>
      <c r="I98" s="11">
        <v>2</v>
      </c>
      <c r="J98" s="11">
        <v>0</v>
      </c>
      <c r="K98" s="11">
        <v>0</v>
      </c>
      <c r="L98" s="11">
        <v>1</v>
      </c>
      <c r="M98" s="11">
        <f t="shared" si="2"/>
        <v>0</v>
      </c>
      <c r="N98" s="11">
        <v>0</v>
      </c>
      <c r="O98" s="11">
        <v>0</v>
      </c>
      <c r="P98" s="11" t="s">
        <v>231</v>
      </c>
      <c r="Q98" s="11">
        <v>296</v>
      </c>
      <c r="R98" s="11">
        <v>0</v>
      </c>
    </row>
    <row r="99" s="10" customFormat="1" spans="1:18">
      <c r="A99" s="11">
        <v>339</v>
      </c>
      <c r="B99" s="11" t="s">
        <v>238</v>
      </c>
      <c r="C99" s="11" t="s">
        <v>50</v>
      </c>
      <c r="D99" s="11">
        <v>4</v>
      </c>
      <c r="E99" s="24">
        <v>3</v>
      </c>
      <c r="F99" s="11" t="s">
        <v>854</v>
      </c>
      <c r="G99" s="11">
        <v>2</v>
      </c>
      <c r="H99" s="11">
        <v>3</v>
      </c>
      <c r="I99" s="11">
        <v>1</v>
      </c>
      <c r="J99" s="11">
        <v>0</v>
      </c>
      <c r="K99" s="11">
        <v>0</v>
      </c>
      <c r="L99" s="11">
        <v>1</v>
      </c>
      <c r="M99" s="11">
        <f t="shared" si="2"/>
        <v>0</v>
      </c>
      <c r="N99" s="11">
        <v>0</v>
      </c>
      <c r="O99" s="11">
        <v>0</v>
      </c>
      <c r="P99" s="11" t="s">
        <v>239</v>
      </c>
      <c r="Q99" s="11">
        <v>296</v>
      </c>
      <c r="R99" s="11">
        <v>0</v>
      </c>
    </row>
    <row r="100" s="10" customFormat="1" spans="1:18">
      <c r="A100" s="11">
        <v>340</v>
      </c>
      <c r="B100" s="11" t="s">
        <v>240</v>
      </c>
      <c r="C100" s="11" t="s">
        <v>50</v>
      </c>
      <c r="D100" s="11">
        <v>4</v>
      </c>
      <c r="E100" s="24">
        <v>3</v>
      </c>
      <c r="F100" s="11" t="s">
        <v>855</v>
      </c>
      <c r="G100" s="11">
        <v>2</v>
      </c>
      <c r="H100" s="11">
        <v>3</v>
      </c>
      <c r="I100" s="11">
        <v>2</v>
      </c>
      <c r="J100" s="11">
        <v>0</v>
      </c>
      <c r="K100" s="11">
        <v>0</v>
      </c>
      <c r="L100" s="11">
        <v>1</v>
      </c>
      <c r="M100" s="11">
        <f t="shared" si="2"/>
        <v>0</v>
      </c>
      <c r="N100" s="11">
        <v>0</v>
      </c>
      <c r="O100" s="11">
        <v>0</v>
      </c>
      <c r="P100" s="11" t="s">
        <v>239</v>
      </c>
      <c r="Q100" s="11">
        <v>296</v>
      </c>
      <c r="R100" s="11">
        <v>0</v>
      </c>
    </row>
    <row r="101" s="10" customFormat="1" spans="1:18">
      <c r="A101" s="11">
        <v>341</v>
      </c>
      <c r="B101" s="11" t="s">
        <v>241</v>
      </c>
      <c r="C101" s="11" t="s">
        <v>50</v>
      </c>
      <c r="D101" s="11">
        <v>4</v>
      </c>
      <c r="E101" s="24">
        <v>3</v>
      </c>
      <c r="F101" s="11" t="s">
        <v>856</v>
      </c>
      <c r="G101" s="11">
        <v>2</v>
      </c>
      <c r="H101" s="11">
        <v>3</v>
      </c>
      <c r="I101" s="11">
        <v>2</v>
      </c>
      <c r="J101" s="11">
        <v>0</v>
      </c>
      <c r="K101" s="11">
        <v>0</v>
      </c>
      <c r="L101" s="11">
        <v>1</v>
      </c>
      <c r="M101" s="11">
        <f t="shared" si="2"/>
        <v>0</v>
      </c>
      <c r="N101" s="11">
        <v>0</v>
      </c>
      <c r="O101" s="11">
        <v>0</v>
      </c>
      <c r="P101" s="11" t="s">
        <v>239</v>
      </c>
      <c r="Q101" s="11">
        <v>296</v>
      </c>
      <c r="R101" s="11">
        <v>0</v>
      </c>
    </row>
    <row r="102" s="10" customFormat="1" spans="1:18">
      <c r="A102" s="11">
        <v>342</v>
      </c>
      <c r="B102" s="11" t="s">
        <v>242</v>
      </c>
      <c r="C102" s="11" t="s">
        <v>50</v>
      </c>
      <c r="D102" s="11">
        <v>4</v>
      </c>
      <c r="E102" s="24">
        <v>3</v>
      </c>
      <c r="F102" s="11" t="s">
        <v>857</v>
      </c>
      <c r="G102" s="11">
        <v>2</v>
      </c>
      <c r="H102" s="11">
        <v>3</v>
      </c>
      <c r="I102" s="11">
        <v>1</v>
      </c>
      <c r="J102" s="11">
        <v>0</v>
      </c>
      <c r="K102" s="11">
        <v>0</v>
      </c>
      <c r="L102" s="11">
        <v>1</v>
      </c>
      <c r="M102" s="11">
        <f t="shared" si="2"/>
        <v>0</v>
      </c>
      <c r="N102" s="11">
        <v>0</v>
      </c>
      <c r="O102" s="11">
        <v>0</v>
      </c>
      <c r="P102" s="11" t="s">
        <v>239</v>
      </c>
      <c r="Q102" s="11">
        <v>296</v>
      </c>
      <c r="R102" s="11">
        <v>0</v>
      </c>
    </row>
    <row r="103" s="10" customFormat="1" spans="1:18">
      <c r="A103" s="11">
        <v>343</v>
      </c>
      <c r="B103" s="11" t="s">
        <v>243</v>
      </c>
      <c r="C103" s="11" t="s">
        <v>50</v>
      </c>
      <c r="D103" s="11">
        <v>4</v>
      </c>
      <c r="E103" s="24">
        <v>3</v>
      </c>
      <c r="F103" s="11" t="s">
        <v>858</v>
      </c>
      <c r="G103" s="11">
        <v>2</v>
      </c>
      <c r="H103" s="11">
        <v>3</v>
      </c>
      <c r="I103" s="11">
        <v>1</v>
      </c>
      <c r="J103" s="11">
        <v>0</v>
      </c>
      <c r="K103" s="11">
        <v>0</v>
      </c>
      <c r="L103" s="11">
        <v>1</v>
      </c>
      <c r="M103" s="11">
        <f t="shared" si="2"/>
        <v>0</v>
      </c>
      <c r="N103" s="11">
        <v>0</v>
      </c>
      <c r="O103" s="11">
        <v>0</v>
      </c>
      <c r="P103" s="11" t="s">
        <v>239</v>
      </c>
      <c r="Q103" s="11">
        <v>296</v>
      </c>
      <c r="R103" s="11">
        <v>0</v>
      </c>
    </row>
    <row r="104" s="10" customFormat="1" spans="1:18">
      <c r="A104" s="11">
        <v>344</v>
      </c>
      <c r="B104" s="11" t="s">
        <v>244</v>
      </c>
      <c r="C104" s="11" t="s">
        <v>50</v>
      </c>
      <c r="D104" s="11">
        <v>4</v>
      </c>
      <c r="E104" s="24">
        <v>3</v>
      </c>
      <c r="F104" s="11" t="s">
        <v>859</v>
      </c>
      <c r="G104" s="11">
        <v>2</v>
      </c>
      <c r="H104" s="11">
        <v>3</v>
      </c>
      <c r="I104" s="11">
        <v>2</v>
      </c>
      <c r="J104" s="11">
        <v>0</v>
      </c>
      <c r="K104" s="11">
        <v>0</v>
      </c>
      <c r="L104" s="11">
        <v>1</v>
      </c>
      <c r="M104" s="11">
        <f t="shared" si="2"/>
        <v>0</v>
      </c>
      <c r="N104" s="11">
        <v>0</v>
      </c>
      <c r="O104" s="11">
        <v>0</v>
      </c>
      <c r="P104" s="11" t="s">
        <v>239</v>
      </c>
      <c r="Q104" s="11">
        <v>296</v>
      </c>
      <c r="R104" s="11">
        <v>0</v>
      </c>
    </row>
    <row r="105" s="10" customFormat="1" spans="1:18">
      <c r="A105" s="11">
        <v>345</v>
      </c>
      <c r="B105" s="11" t="s">
        <v>245</v>
      </c>
      <c r="C105" s="11" t="s">
        <v>50</v>
      </c>
      <c r="D105" s="11">
        <v>4</v>
      </c>
      <c r="E105" s="24">
        <v>3</v>
      </c>
      <c r="F105" s="11" t="s">
        <v>860</v>
      </c>
      <c r="G105" s="11">
        <v>2</v>
      </c>
      <c r="H105" s="11">
        <v>3</v>
      </c>
      <c r="I105" s="11">
        <v>1</v>
      </c>
      <c r="J105" s="11">
        <v>0</v>
      </c>
      <c r="K105" s="11">
        <v>0</v>
      </c>
      <c r="L105" s="11">
        <v>1</v>
      </c>
      <c r="M105" s="11">
        <f t="shared" si="2"/>
        <v>0</v>
      </c>
      <c r="N105" s="11">
        <v>0</v>
      </c>
      <c r="O105" s="11">
        <v>0</v>
      </c>
      <c r="P105" s="11" t="s">
        <v>239</v>
      </c>
      <c r="Q105" s="11">
        <v>296</v>
      </c>
      <c r="R105" s="11">
        <v>0</v>
      </c>
    </row>
    <row r="106" s="10" customFormat="1" spans="1:18">
      <c r="A106" s="11">
        <v>346</v>
      </c>
      <c r="B106" s="11" t="s">
        <v>246</v>
      </c>
      <c r="C106" s="11" t="s">
        <v>50</v>
      </c>
      <c r="D106" s="11">
        <v>4</v>
      </c>
      <c r="E106" s="24">
        <v>3</v>
      </c>
      <c r="F106" s="11" t="s">
        <v>861</v>
      </c>
      <c r="G106" s="11">
        <v>2</v>
      </c>
      <c r="H106" s="11">
        <v>3</v>
      </c>
      <c r="I106" s="11">
        <v>1</v>
      </c>
      <c r="J106" s="11">
        <v>0</v>
      </c>
      <c r="K106" s="11">
        <v>0</v>
      </c>
      <c r="L106" s="11">
        <v>1</v>
      </c>
      <c r="M106" s="11">
        <f t="shared" si="2"/>
        <v>0</v>
      </c>
      <c r="N106" s="11">
        <v>0</v>
      </c>
      <c r="O106" s="11">
        <v>0</v>
      </c>
      <c r="P106" s="11" t="s">
        <v>239</v>
      </c>
      <c r="Q106" s="11">
        <v>296</v>
      </c>
      <c r="R106" s="11">
        <v>0</v>
      </c>
    </row>
    <row r="107" s="10" customFormat="1" spans="1:18">
      <c r="A107" s="11">
        <v>347</v>
      </c>
      <c r="B107" s="11" t="s">
        <v>247</v>
      </c>
      <c r="C107" s="11" t="s">
        <v>50</v>
      </c>
      <c r="D107" s="11">
        <v>4</v>
      </c>
      <c r="E107" s="24">
        <v>3</v>
      </c>
      <c r="F107" s="11" t="s">
        <v>862</v>
      </c>
      <c r="G107" s="11">
        <v>2</v>
      </c>
      <c r="H107" s="11">
        <v>3</v>
      </c>
      <c r="I107" s="11">
        <v>1</v>
      </c>
      <c r="J107" s="11">
        <v>0</v>
      </c>
      <c r="K107" s="11">
        <v>0</v>
      </c>
      <c r="L107" s="11">
        <v>1</v>
      </c>
      <c r="M107" s="11">
        <f t="shared" si="2"/>
        <v>0</v>
      </c>
      <c r="N107" s="11">
        <v>0</v>
      </c>
      <c r="O107" s="11">
        <v>0</v>
      </c>
      <c r="P107" s="11" t="s">
        <v>239</v>
      </c>
      <c r="Q107" s="11">
        <v>296</v>
      </c>
      <c r="R107" s="11">
        <v>0</v>
      </c>
    </row>
    <row r="108" s="10" customFormat="1" spans="1:18">
      <c r="A108" s="11">
        <v>348</v>
      </c>
      <c r="B108" s="11" t="s">
        <v>248</v>
      </c>
      <c r="C108" s="11" t="s">
        <v>50</v>
      </c>
      <c r="D108" s="11">
        <v>4</v>
      </c>
      <c r="E108" s="24">
        <v>3</v>
      </c>
      <c r="F108" s="11" t="s">
        <v>863</v>
      </c>
      <c r="G108" s="11">
        <v>2</v>
      </c>
      <c r="H108" s="11">
        <v>3</v>
      </c>
      <c r="I108" s="11">
        <v>1</v>
      </c>
      <c r="J108" s="11">
        <v>0</v>
      </c>
      <c r="K108" s="11">
        <v>0</v>
      </c>
      <c r="L108" s="11">
        <v>1</v>
      </c>
      <c r="M108" s="11">
        <f t="shared" si="2"/>
        <v>0</v>
      </c>
      <c r="N108" s="11">
        <v>0</v>
      </c>
      <c r="O108" s="11">
        <v>0</v>
      </c>
      <c r="P108" s="11" t="s">
        <v>239</v>
      </c>
      <c r="Q108" s="11">
        <v>296</v>
      </c>
      <c r="R108" s="11">
        <v>0</v>
      </c>
    </row>
    <row r="109" s="10" customFormat="1" spans="1:18">
      <c r="A109" s="11">
        <v>349</v>
      </c>
      <c r="B109" s="11" t="s">
        <v>249</v>
      </c>
      <c r="C109" s="11" t="s">
        <v>50</v>
      </c>
      <c r="D109" s="11">
        <v>4</v>
      </c>
      <c r="E109" s="24">
        <v>3</v>
      </c>
      <c r="F109" s="11" t="s">
        <v>864</v>
      </c>
      <c r="G109" s="11">
        <v>2</v>
      </c>
      <c r="H109" s="11">
        <v>3</v>
      </c>
      <c r="I109" s="11">
        <v>1</v>
      </c>
      <c r="J109" s="11">
        <v>0</v>
      </c>
      <c r="K109" s="11">
        <v>0</v>
      </c>
      <c r="L109" s="11">
        <v>1</v>
      </c>
      <c r="M109" s="11">
        <f t="shared" si="2"/>
        <v>0</v>
      </c>
      <c r="N109" s="11">
        <v>0</v>
      </c>
      <c r="O109" s="11">
        <v>0</v>
      </c>
      <c r="P109" s="11" t="s">
        <v>239</v>
      </c>
      <c r="Q109" s="11">
        <v>296</v>
      </c>
      <c r="R109" s="11">
        <v>0</v>
      </c>
    </row>
    <row r="110" s="10" customFormat="1" spans="1:18">
      <c r="A110" s="11">
        <v>350</v>
      </c>
      <c r="B110" s="11" t="s">
        <v>250</v>
      </c>
      <c r="C110" s="11" t="s">
        <v>50</v>
      </c>
      <c r="D110" s="11">
        <v>4</v>
      </c>
      <c r="E110" s="24">
        <v>3</v>
      </c>
      <c r="F110" s="11" t="s">
        <v>865</v>
      </c>
      <c r="G110" s="11">
        <v>2</v>
      </c>
      <c r="H110" s="11">
        <v>3</v>
      </c>
      <c r="I110" s="11">
        <v>2</v>
      </c>
      <c r="J110" s="11">
        <v>0</v>
      </c>
      <c r="K110" s="11">
        <v>0</v>
      </c>
      <c r="L110" s="11">
        <v>1</v>
      </c>
      <c r="M110" s="11">
        <f t="shared" si="2"/>
        <v>0</v>
      </c>
      <c r="N110" s="11">
        <v>0</v>
      </c>
      <c r="O110" s="11">
        <v>0</v>
      </c>
      <c r="P110" s="11" t="s">
        <v>239</v>
      </c>
      <c r="Q110" s="11">
        <v>296</v>
      </c>
      <c r="R110" s="11">
        <v>0</v>
      </c>
    </row>
    <row r="111" s="10" customFormat="1" spans="1:18">
      <c r="A111" s="11">
        <v>351</v>
      </c>
      <c r="B111" s="11" t="s">
        <v>251</v>
      </c>
      <c r="C111" s="11" t="s">
        <v>50</v>
      </c>
      <c r="D111" s="11">
        <v>4</v>
      </c>
      <c r="E111" s="24">
        <v>3</v>
      </c>
      <c r="F111" s="11" t="s">
        <v>866</v>
      </c>
      <c r="G111" s="11">
        <v>2</v>
      </c>
      <c r="H111" s="11">
        <v>3</v>
      </c>
      <c r="I111" s="11">
        <v>2</v>
      </c>
      <c r="J111" s="11">
        <v>0</v>
      </c>
      <c r="K111" s="11">
        <v>0</v>
      </c>
      <c r="L111" s="11">
        <v>1</v>
      </c>
      <c r="M111" s="11">
        <f t="shared" si="2"/>
        <v>0</v>
      </c>
      <c r="N111" s="11">
        <v>0</v>
      </c>
      <c r="O111" s="11">
        <v>0</v>
      </c>
      <c r="P111" s="11" t="s">
        <v>239</v>
      </c>
      <c r="Q111" s="11">
        <v>296</v>
      </c>
      <c r="R111" s="11">
        <v>0</v>
      </c>
    </row>
    <row r="112" s="10" customFormat="1" spans="1:18">
      <c r="A112" s="11">
        <v>352</v>
      </c>
      <c r="B112" s="11" t="s">
        <v>252</v>
      </c>
      <c r="C112" s="11" t="s">
        <v>50</v>
      </c>
      <c r="D112" s="11">
        <v>4</v>
      </c>
      <c r="E112" s="24">
        <v>3</v>
      </c>
      <c r="F112" s="11" t="s">
        <v>867</v>
      </c>
      <c r="G112" s="11">
        <v>2</v>
      </c>
      <c r="H112" s="11">
        <v>3</v>
      </c>
      <c r="I112" s="11">
        <v>2</v>
      </c>
      <c r="J112" s="11">
        <v>0</v>
      </c>
      <c r="K112" s="11">
        <v>0</v>
      </c>
      <c r="L112" s="11">
        <v>1</v>
      </c>
      <c r="M112" s="11">
        <f t="shared" si="2"/>
        <v>0</v>
      </c>
      <c r="N112" s="11">
        <v>0</v>
      </c>
      <c r="O112" s="11">
        <v>0</v>
      </c>
      <c r="P112" s="11" t="s">
        <v>239</v>
      </c>
      <c r="Q112" s="11">
        <v>296</v>
      </c>
      <c r="R112" s="11">
        <v>0</v>
      </c>
    </row>
    <row r="113" s="10" customFormat="1" spans="1:18">
      <c r="A113" s="11">
        <v>353</v>
      </c>
      <c r="B113" s="11" t="s">
        <v>253</v>
      </c>
      <c r="C113" s="11" t="s">
        <v>50</v>
      </c>
      <c r="D113" s="11">
        <v>4</v>
      </c>
      <c r="E113" s="24">
        <v>3</v>
      </c>
      <c r="F113" s="11" t="s">
        <v>868</v>
      </c>
      <c r="G113" s="11">
        <v>2</v>
      </c>
      <c r="H113" s="11">
        <v>3</v>
      </c>
      <c r="I113" s="11">
        <v>2</v>
      </c>
      <c r="J113" s="11">
        <v>0</v>
      </c>
      <c r="K113" s="11">
        <v>0</v>
      </c>
      <c r="L113" s="11">
        <v>1</v>
      </c>
      <c r="M113" s="11">
        <f t="shared" si="2"/>
        <v>0</v>
      </c>
      <c r="N113" s="11">
        <v>0</v>
      </c>
      <c r="O113" s="11">
        <v>0</v>
      </c>
      <c r="P113" s="11" t="s">
        <v>239</v>
      </c>
      <c r="Q113" s="11">
        <v>296</v>
      </c>
      <c r="R113" s="11">
        <v>0</v>
      </c>
    </row>
    <row r="114" s="10" customFormat="1" spans="1:18">
      <c r="A114" s="11">
        <v>401</v>
      </c>
      <c r="B114" s="11" t="s">
        <v>254</v>
      </c>
      <c r="C114" s="11" t="s">
        <v>50</v>
      </c>
      <c r="D114" s="11">
        <v>1</v>
      </c>
      <c r="E114" s="24">
        <v>1</v>
      </c>
      <c r="F114" s="11" t="s">
        <v>869</v>
      </c>
      <c r="G114" s="11">
        <v>2</v>
      </c>
      <c r="H114" s="11">
        <v>4</v>
      </c>
      <c r="I114" s="11">
        <v>1</v>
      </c>
      <c r="J114" s="11">
        <v>0</v>
      </c>
      <c r="K114" s="11">
        <v>0</v>
      </c>
      <c r="L114" s="11">
        <v>1</v>
      </c>
      <c r="M114" s="11">
        <f t="shared" si="2"/>
        <v>0</v>
      </c>
      <c r="N114" s="11">
        <v>0</v>
      </c>
      <c r="O114" s="11">
        <v>0</v>
      </c>
      <c r="P114" s="11">
        <v>1</v>
      </c>
      <c r="Q114" s="11">
        <v>350</v>
      </c>
      <c r="R114" s="11">
        <v>0</v>
      </c>
    </row>
    <row r="115" s="10" customFormat="1" spans="1:18">
      <c r="A115" s="11">
        <v>402</v>
      </c>
      <c r="B115" s="11" t="s">
        <v>256</v>
      </c>
      <c r="C115" s="11" t="s">
        <v>50</v>
      </c>
      <c r="D115" s="11">
        <v>1</v>
      </c>
      <c r="E115" s="24">
        <v>1</v>
      </c>
      <c r="F115" s="11" t="s">
        <v>870</v>
      </c>
      <c r="G115" s="11">
        <v>2</v>
      </c>
      <c r="H115" s="11">
        <v>4</v>
      </c>
      <c r="I115" s="11">
        <v>2</v>
      </c>
      <c r="J115" s="11">
        <v>0</v>
      </c>
      <c r="K115" s="11">
        <v>0</v>
      </c>
      <c r="L115" s="11">
        <v>1</v>
      </c>
      <c r="M115" s="11">
        <f t="shared" si="2"/>
        <v>0</v>
      </c>
      <c r="N115" s="11">
        <v>0</v>
      </c>
      <c r="O115" s="11">
        <v>0</v>
      </c>
      <c r="P115" s="11">
        <v>3</v>
      </c>
      <c r="Q115" s="11">
        <v>350</v>
      </c>
      <c r="R115" s="11">
        <v>0</v>
      </c>
    </row>
    <row r="116" s="10" customFormat="1" spans="1:18">
      <c r="A116" s="11">
        <v>403</v>
      </c>
      <c r="B116" s="11" t="s">
        <v>258</v>
      </c>
      <c r="C116" s="11" t="s">
        <v>50</v>
      </c>
      <c r="D116" s="11">
        <v>1</v>
      </c>
      <c r="E116" s="24">
        <v>1</v>
      </c>
      <c r="F116" s="11" t="s">
        <v>871</v>
      </c>
      <c r="G116" s="11">
        <v>2</v>
      </c>
      <c r="H116" s="11">
        <v>4</v>
      </c>
      <c r="I116" s="11">
        <v>1</v>
      </c>
      <c r="J116" s="11">
        <v>0</v>
      </c>
      <c r="K116" s="11">
        <v>0</v>
      </c>
      <c r="L116" s="11">
        <v>1</v>
      </c>
      <c r="M116" s="11">
        <f t="shared" si="2"/>
        <v>0</v>
      </c>
      <c r="N116" s="11">
        <v>0</v>
      </c>
      <c r="O116" s="11">
        <v>0</v>
      </c>
      <c r="P116" s="11" t="s">
        <v>260</v>
      </c>
      <c r="Q116" s="11">
        <v>350</v>
      </c>
      <c r="R116" s="11">
        <v>0</v>
      </c>
    </row>
    <row r="117" s="10" customFormat="1" spans="1:18">
      <c r="A117" s="11">
        <v>404</v>
      </c>
      <c r="B117" s="11" t="s">
        <v>261</v>
      </c>
      <c r="C117" s="11" t="s">
        <v>50</v>
      </c>
      <c r="D117" s="11">
        <v>2</v>
      </c>
      <c r="E117" s="24">
        <v>1</v>
      </c>
      <c r="F117" s="11" t="s">
        <v>872</v>
      </c>
      <c r="G117" s="11">
        <v>2</v>
      </c>
      <c r="H117" s="11">
        <v>4</v>
      </c>
      <c r="I117" s="11">
        <v>1</v>
      </c>
      <c r="J117" s="11">
        <v>0</v>
      </c>
      <c r="K117" s="11">
        <v>0</v>
      </c>
      <c r="L117" s="11">
        <v>1</v>
      </c>
      <c r="M117" s="11">
        <f t="shared" si="2"/>
        <v>0</v>
      </c>
      <c r="N117" s="11">
        <v>0</v>
      </c>
      <c r="O117" s="11">
        <v>0</v>
      </c>
      <c r="P117" s="11" t="s">
        <v>260</v>
      </c>
      <c r="Q117" s="11">
        <v>350</v>
      </c>
      <c r="R117" s="11">
        <v>0</v>
      </c>
    </row>
    <row r="118" s="10" customFormat="1" spans="1:18">
      <c r="A118" s="11">
        <v>405</v>
      </c>
      <c r="B118" s="11" t="s">
        <v>263</v>
      </c>
      <c r="C118" s="11" t="s">
        <v>50</v>
      </c>
      <c r="D118" s="11">
        <v>2</v>
      </c>
      <c r="E118" s="24">
        <v>1</v>
      </c>
      <c r="F118" s="11" t="s">
        <v>873</v>
      </c>
      <c r="G118" s="11">
        <v>2</v>
      </c>
      <c r="H118" s="11">
        <v>4</v>
      </c>
      <c r="I118" s="11">
        <v>2</v>
      </c>
      <c r="J118" s="11">
        <v>0</v>
      </c>
      <c r="K118" s="11">
        <v>0</v>
      </c>
      <c r="L118" s="11">
        <v>1</v>
      </c>
      <c r="M118" s="11">
        <f t="shared" si="2"/>
        <v>0</v>
      </c>
      <c r="N118" s="11">
        <v>0</v>
      </c>
      <c r="O118" s="11">
        <v>0</v>
      </c>
      <c r="P118" s="11" t="s">
        <v>265</v>
      </c>
      <c r="Q118" s="11">
        <v>350</v>
      </c>
      <c r="R118" s="11">
        <v>0</v>
      </c>
    </row>
    <row r="119" s="10" customFormat="1" spans="1:18">
      <c r="A119" s="11">
        <v>406</v>
      </c>
      <c r="B119" s="11" t="s">
        <v>266</v>
      </c>
      <c r="C119" s="11" t="s">
        <v>50</v>
      </c>
      <c r="D119" s="11">
        <v>2</v>
      </c>
      <c r="E119" s="24">
        <v>1</v>
      </c>
      <c r="F119" s="11" t="s">
        <v>874</v>
      </c>
      <c r="G119" s="11">
        <v>2</v>
      </c>
      <c r="H119" s="11">
        <v>4</v>
      </c>
      <c r="I119" s="11">
        <v>2</v>
      </c>
      <c r="J119" s="11">
        <v>0</v>
      </c>
      <c r="K119" s="11">
        <v>0</v>
      </c>
      <c r="L119" s="11">
        <v>1</v>
      </c>
      <c r="M119" s="11">
        <f t="shared" si="2"/>
        <v>0</v>
      </c>
      <c r="N119" s="11">
        <v>0</v>
      </c>
      <c r="O119" s="11">
        <v>0</v>
      </c>
      <c r="P119" s="11" t="s">
        <v>268</v>
      </c>
      <c r="Q119" s="11">
        <v>350</v>
      </c>
      <c r="R119" s="11">
        <v>0</v>
      </c>
    </row>
    <row r="120" s="10" customFormat="1" spans="1:18">
      <c r="A120" s="11">
        <v>407</v>
      </c>
      <c r="B120" s="11" t="s">
        <v>269</v>
      </c>
      <c r="C120" s="11" t="s">
        <v>50</v>
      </c>
      <c r="D120" s="11">
        <v>2</v>
      </c>
      <c r="E120" s="24">
        <v>1</v>
      </c>
      <c r="F120" s="11" t="s">
        <v>875</v>
      </c>
      <c r="G120" s="11">
        <v>2</v>
      </c>
      <c r="H120" s="11">
        <v>4</v>
      </c>
      <c r="I120" s="11">
        <v>1</v>
      </c>
      <c r="J120" s="11">
        <v>0</v>
      </c>
      <c r="K120" s="11">
        <v>0</v>
      </c>
      <c r="L120" s="11">
        <v>1</v>
      </c>
      <c r="M120" s="11">
        <f t="shared" si="2"/>
        <v>0</v>
      </c>
      <c r="N120" s="11">
        <v>0</v>
      </c>
      <c r="O120" s="11">
        <v>0</v>
      </c>
      <c r="P120" s="11" t="s">
        <v>271</v>
      </c>
      <c r="Q120" s="11">
        <v>350</v>
      </c>
      <c r="R120" s="11">
        <v>0</v>
      </c>
    </row>
    <row r="121" s="10" customFormat="1" spans="1:18">
      <c r="A121" s="11">
        <v>408</v>
      </c>
      <c r="B121" s="11" t="s">
        <v>272</v>
      </c>
      <c r="C121" s="11" t="s">
        <v>50</v>
      </c>
      <c r="D121" s="11">
        <v>3</v>
      </c>
      <c r="E121" s="24">
        <v>2</v>
      </c>
      <c r="F121" s="11" t="s">
        <v>876</v>
      </c>
      <c r="G121" s="11">
        <v>2</v>
      </c>
      <c r="H121" s="11">
        <v>4</v>
      </c>
      <c r="I121" s="11">
        <v>1</v>
      </c>
      <c r="J121" s="11">
        <v>0</v>
      </c>
      <c r="K121" s="11">
        <v>0</v>
      </c>
      <c r="L121" s="11">
        <v>1</v>
      </c>
      <c r="M121" s="11">
        <f t="shared" si="2"/>
        <v>0</v>
      </c>
      <c r="N121" s="11">
        <v>0</v>
      </c>
      <c r="O121" s="11">
        <v>0</v>
      </c>
      <c r="P121" s="11" t="s">
        <v>274</v>
      </c>
      <c r="Q121" s="11">
        <v>350</v>
      </c>
      <c r="R121" s="11">
        <v>0</v>
      </c>
    </row>
    <row r="122" s="10" customFormat="1" spans="1:18">
      <c r="A122" s="11">
        <v>409</v>
      </c>
      <c r="B122" s="11" t="s">
        <v>275</v>
      </c>
      <c r="C122" s="11" t="s">
        <v>50</v>
      </c>
      <c r="D122" s="11">
        <v>3</v>
      </c>
      <c r="E122" s="24">
        <v>2</v>
      </c>
      <c r="F122" s="11" t="s">
        <v>877</v>
      </c>
      <c r="G122" s="11">
        <v>2</v>
      </c>
      <c r="H122" s="11">
        <v>4</v>
      </c>
      <c r="I122" s="11">
        <v>1</v>
      </c>
      <c r="J122" s="11">
        <v>0</v>
      </c>
      <c r="K122" s="11">
        <v>0</v>
      </c>
      <c r="L122" s="11">
        <v>1</v>
      </c>
      <c r="M122" s="11">
        <f t="shared" si="2"/>
        <v>0</v>
      </c>
      <c r="N122" s="11">
        <v>0</v>
      </c>
      <c r="O122" s="11">
        <v>0</v>
      </c>
      <c r="P122" s="11" t="s">
        <v>277</v>
      </c>
      <c r="Q122" s="11">
        <v>350</v>
      </c>
      <c r="R122" s="11">
        <v>0</v>
      </c>
    </row>
    <row r="123" s="10" customFormat="1" spans="1:18">
      <c r="A123" s="11">
        <v>410</v>
      </c>
      <c r="B123" s="11" t="s">
        <v>278</v>
      </c>
      <c r="C123" s="11" t="s">
        <v>50</v>
      </c>
      <c r="D123" s="11">
        <v>3</v>
      </c>
      <c r="E123" s="24">
        <v>2</v>
      </c>
      <c r="F123" s="11" t="s">
        <v>878</v>
      </c>
      <c r="G123" s="11">
        <v>2</v>
      </c>
      <c r="H123" s="11">
        <v>4</v>
      </c>
      <c r="I123" s="11">
        <v>1</v>
      </c>
      <c r="J123" s="11">
        <v>0</v>
      </c>
      <c r="K123" s="11">
        <v>0</v>
      </c>
      <c r="L123" s="11">
        <v>1</v>
      </c>
      <c r="M123" s="11">
        <f t="shared" si="2"/>
        <v>0</v>
      </c>
      <c r="N123" s="11">
        <v>0</v>
      </c>
      <c r="O123" s="11">
        <v>0</v>
      </c>
      <c r="P123" s="11" t="s">
        <v>279</v>
      </c>
      <c r="Q123" s="11">
        <v>350</v>
      </c>
      <c r="R123" s="11">
        <v>0</v>
      </c>
    </row>
    <row r="124" s="10" customFormat="1" spans="1:18">
      <c r="A124" s="11">
        <v>411</v>
      </c>
      <c r="B124" s="11" t="s">
        <v>280</v>
      </c>
      <c r="C124" s="11" t="s">
        <v>50</v>
      </c>
      <c r="D124" s="11">
        <v>3</v>
      </c>
      <c r="E124" s="24">
        <v>2</v>
      </c>
      <c r="F124" s="11" t="s">
        <v>879</v>
      </c>
      <c r="G124" s="11">
        <v>2</v>
      </c>
      <c r="H124" s="11">
        <v>4</v>
      </c>
      <c r="I124" s="11">
        <v>1</v>
      </c>
      <c r="J124" s="11">
        <v>0</v>
      </c>
      <c r="K124" s="11">
        <v>0</v>
      </c>
      <c r="L124" s="11">
        <v>1</v>
      </c>
      <c r="M124" s="11">
        <f t="shared" si="2"/>
        <v>0</v>
      </c>
      <c r="N124" s="11">
        <v>0</v>
      </c>
      <c r="O124" s="11">
        <v>0</v>
      </c>
      <c r="P124" s="11" t="s">
        <v>281</v>
      </c>
      <c r="Q124" s="11">
        <v>350</v>
      </c>
      <c r="R124" s="11">
        <v>0</v>
      </c>
    </row>
    <row r="125" s="10" customFormat="1" spans="1:18">
      <c r="A125" s="11">
        <v>412</v>
      </c>
      <c r="B125" s="11" t="s">
        <v>282</v>
      </c>
      <c r="C125" s="11" t="s">
        <v>50</v>
      </c>
      <c r="D125" s="11">
        <v>3</v>
      </c>
      <c r="E125" s="24">
        <v>2</v>
      </c>
      <c r="F125" s="11" t="s">
        <v>880</v>
      </c>
      <c r="G125" s="11">
        <v>2</v>
      </c>
      <c r="H125" s="11">
        <v>4</v>
      </c>
      <c r="I125" s="11">
        <v>1</v>
      </c>
      <c r="J125" s="11">
        <v>0</v>
      </c>
      <c r="K125" s="11">
        <v>0</v>
      </c>
      <c r="L125" s="11">
        <v>1</v>
      </c>
      <c r="M125" s="11">
        <f t="shared" si="2"/>
        <v>0</v>
      </c>
      <c r="N125" s="11">
        <v>0</v>
      </c>
      <c r="O125" s="11">
        <v>0</v>
      </c>
      <c r="P125" s="11" t="s">
        <v>283</v>
      </c>
      <c r="Q125" s="11">
        <v>350</v>
      </c>
      <c r="R125" s="11">
        <v>0</v>
      </c>
    </row>
    <row r="126" s="10" customFormat="1" spans="1:18">
      <c r="A126" s="11">
        <v>413</v>
      </c>
      <c r="B126" s="11" t="s">
        <v>284</v>
      </c>
      <c r="C126" s="11" t="s">
        <v>50</v>
      </c>
      <c r="D126" s="11">
        <v>3</v>
      </c>
      <c r="E126" s="24">
        <v>2</v>
      </c>
      <c r="F126" s="11" t="s">
        <v>881</v>
      </c>
      <c r="G126" s="11">
        <v>2</v>
      </c>
      <c r="H126" s="11">
        <v>4</v>
      </c>
      <c r="I126" s="11">
        <v>1</v>
      </c>
      <c r="J126" s="11">
        <v>0</v>
      </c>
      <c r="K126" s="11">
        <v>0</v>
      </c>
      <c r="L126" s="11">
        <v>1</v>
      </c>
      <c r="M126" s="11">
        <f t="shared" si="2"/>
        <v>0</v>
      </c>
      <c r="N126" s="11">
        <v>0</v>
      </c>
      <c r="O126" s="11">
        <v>0</v>
      </c>
      <c r="P126" s="11" t="s">
        <v>285</v>
      </c>
      <c r="Q126" s="11">
        <v>350</v>
      </c>
      <c r="R126" s="11">
        <v>0</v>
      </c>
    </row>
    <row r="127" s="10" customFormat="1" spans="1:18">
      <c r="A127" s="11">
        <v>414</v>
      </c>
      <c r="B127" s="11" t="s">
        <v>286</v>
      </c>
      <c r="C127" s="11" t="s">
        <v>50</v>
      </c>
      <c r="D127" s="11">
        <v>3</v>
      </c>
      <c r="E127" s="24">
        <v>2</v>
      </c>
      <c r="F127" s="11" t="s">
        <v>882</v>
      </c>
      <c r="G127" s="11">
        <v>2</v>
      </c>
      <c r="H127" s="11">
        <v>4</v>
      </c>
      <c r="I127" s="11">
        <v>1</v>
      </c>
      <c r="J127" s="11">
        <v>0</v>
      </c>
      <c r="K127" s="11">
        <v>0</v>
      </c>
      <c r="L127" s="11">
        <v>1</v>
      </c>
      <c r="M127" s="11">
        <f t="shared" si="2"/>
        <v>0</v>
      </c>
      <c r="N127" s="11">
        <v>0</v>
      </c>
      <c r="O127" s="11">
        <v>0</v>
      </c>
      <c r="P127" s="11" t="s">
        <v>287</v>
      </c>
      <c r="Q127" s="11">
        <v>350</v>
      </c>
      <c r="R127" s="11">
        <v>0</v>
      </c>
    </row>
    <row r="128" s="10" customFormat="1" spans="1:18">
      <c r="A128" s="11">
        <v>415</v>
      </c>
      <c r="B128" s="11" t="s">
        <v>288</v>
      </c>
      <c r="C128" s="11" t="s">
        <v>50</v>
      </c>
      <c r="D128" s="11">
        <v>3</v>
      </c>
      <c r="E128" s="24">
        <v>2</v>
      </c>
      <c r="F128" s="11" t="s">
        <v>883</v>
      </c>
      <c r="G128" s="11">
        <v>2</v>
      </c>
      <c r="H128" s="11">
        <v>4</v>
      </c>
      <c r="I128" s="11">
        <v>1</v>
      </c>
      <c r="J128" s="11">
        <v>0</v>
      </c>
      <c r="K128" s="11">
        <v>0</v>
      </c>
      <c r="L128" s="11">
        <v>1</v>
      </c>
      <c r="M128" s="11">
        <f t="shared" si="2"/>
        <v>0</v>
      </c>
      <c r="N128" s="11">
        <v>0</v>
      </c>
      <c r="O128" s="11">
        <v>0</v>
      </c>
      <c r="P128" s="11" t="s">
        <v>289</v>
      </c>
      <c r="Q128" s="11">
        <v>350</v>
      </c>
      <c r="R128" s="11">
        <v>0</v>
      </c>
    </row>
    <row r="129" s="10" customFormat="1" spans="1:18">
      <c r="A129" s="11">
        <v>416</v>
      </c>
      <c r="B129" s="11" t="s">
        <v>290</v>
      </c>
      <c r="C129" s="11" t="s">
        <v>50</v>
      </c>
      <c r="D129" s="11">
        <v>3</v>
      </c>
      <c r="E129" s="24">
        <v>2</v>
      </c>
      <c r="F129" s="11" t="s">
        <v>884</v>
      </c>
      <c r="G129" s="11">
        <v>2</v>
      </c>
      <c r="H129" s="11">
        <v>4</v>
      </c>
      <c r="I129" s="11">
        <v>1</v>
      </c>
      <c r="J129" s="11">
        <v>0</v>
      </c>
      <c r="K129" s="11">
        <v>0</v>
      </c>
      <c r="L129" s="11">
        <v>1</v>
      </c>
      <c r="M129" s="11">
        <f t="shared" si="2"/>
        <v>0</v>
      </c>
      <c r="N129" s="11">
        <v>0</v>
      </c>
      <c r="O129" s="11">
        <v>0</v>
      </c>
      <c r="P129" s="11" t="s">
        <v>291</v>
      </c>
      <c r="Q129" s="11">
        <v>350</v>
      </c>
      <c r="R129" s="11">
        <v>0</v>
      </c>
    </row>
    <row r="130" s="10" customFormat="1" spans="1:18">
      <c r="A130" s="11">
        <v>417</v>
      </c>
      <c r="B130" s="11" t="s">
        <v>292</v>
      </c>
      <c r="C130" s="11" t="s">
        <v>50</v>
      </c>
      <c r="D130" s="11">
        <v>3</v>
      </c>
      <c r="E130" s="24">
        <v>2</v>
      </c>
      <c r="F130" s="11" t="s">
        <v>885</v>
      </c>
      <c r="G130" s="11">
        <v>2</v>
      </c>
      <c r="H130" s="11">
        <v>4</v>
      </c>
      <c r="I130" s="11">
        <v>1</v>
      </c>
      <c r="J130" s="11">
        <v>0</v>
      </c>
      <c r="K130" s="11">
        <v>0</v>
      </c>
      <c r="L130" s="11">
        <v>1</v>
      </c>
      <c r="M130" s="11">
        <f t="shared" si="2"/>
        <v>0</v>
      </c>
      <c r="N130" s="11">
        <v>0</v>
      </c>
      <c r="O130" s="11">
        <v>0</v>
      </c>
      <c r="P130" s="11" t="s">
        <v>293</v>
      </c>
      <c r="Q130" s="11">
        <v>350</v>
      </c>
      <c r="R130" s="11">
        <v>0</v>
      </c>
    </row>
    <row r="131" s="10" customFormat="1" spans="1:18">
      <c r="A131" s="11">
        <v>418</v>
      </c>
      <c r="B131" s="11" t="s">
        <v>294</v>
      </c>
      <c r="C131" s="11" t="s">
        <v>50</v>
      </c>
      <c r="D131" s="11">
        <v>3</v>
      </c>
      <c r="E131" s="24">
        <v>2</v>
      </c>
      <c r="F131" s="11" t="s">
        <v>886</v>
      </c>
      <c r="G131" s="11">
        <v>2</v>
      </c>
      <c r="H131" s="11">
        <v>4</v>
      </c>
      <c r="I131" s="11">
        <v>1</v>
      </c>
      <c r="J131" s="11">
        <v>0</v>
      </c>
      <c r="K131" s="11">
        <v>0</v>
      </c>
      <c r="L131" s="11">
        <v>1</v>
      </c>
      <c r="M131" s="11">
        <f t="shared" si="2"/>
        <v>0</v>
      </c>
      <c r="N131" s="11">
        <v>0</v>
      </c>
      <c r="O131" s="11">
        <v>0</v>
      </c>
      <c r="P131" s="11" t="s">
        <v>295</v>
      </c>
      <c r="Q131" s="11">
        <v>350</v>
      </c>
      <c r="R131" s="11">
        <v>0</v>
      </c>
    </row>
    <row r="132" s="10" customFormat="1" spans="1:18">
      <c r="A132" s="11">
        <v>419</v>
      </c>
      <c r="B132" s="11" t="s">
        <v>296</v>
      </c>
      <c r="C132" s="11" t="s">
        <v>50</v>
      </c>
      <c r="D132" s="11">
        <v>4</v>
      </c>
      <c r="E132" s="24">
        <v>3</v>
      </c>
      <c r="F132" s="11" t="s">
        <v>887</v>
      </c>
      <c r="G132" s="11">
        <v>2</v>
      </c>
      <c r="H132" s="11">
        <v>4</v>
      </c>
      <c r="I132" s="11">
        <v>1</v>
      </c>
      <c r="J132" s="11">
        <v>0</v>
      </c>
      <c r="K132" s="11">
        <v>0</v>
      </c>
      <c r="L132" s="11">
        <v>1</v>
      </c>
      <c r="M132" s="11">
        <f t="shared" si="2"/>
        <v>0</v>
      </c>
      <c r="N132" s="11">
        <v>0</v>
      </c>
      <c r="O132" s="11">
        <v>0</v>
      </c>
      <c r="P132" s="11" t="s">
        <v>297</v>
      </c>
      <c r="Q132" s="11">
        <v>350</v>
      </c>
      <c r="R132" s="11">
        <v>0</v>
      </c>
    </row>
    <row r="133" s="10" customFormat="1" spans="1:18">
      <c r="A133" s="11">
        <v>420</v>
      </c>
      <c r="B133" s="11" t="s">
        <v>298</v>
      </c>
      <c r="C133" s="11" t="s">
        <v>50</v>
      </c>
      <c r="D133" s="11">
        <v>4</v>
      </c>
      <c r="E133" s="24">
        <v>3</v>
      </c>
      <c r="F133" s="11" t="s">
        <v>888</v>
      </c>
      <c r="G133" s="11">
        <v>2</v>
      </c>
      <c r="H133" s="11">
        <v>4</v>
      </c>
      <c r="I133" s="11">
        <v>2</v>
      </c>
      <c r="J133" s="11">
        <v>0</v>
      </c>
      <c r="K133" s="11">
        <v>0</v>
      </c>
      <c r="L133" s="11">
        <v>1</v>
      </c>
      <c r="M133" s="11">
        <f t="shared" si="2"/>
        <v>0</v>
      </c>
      <c r="N133" s="11">
        <v>0</v>
      </c>
      <c r="O133" s="11">
        <v>0</v>
      </c>
      <c r="P133" s="11" t="s">
        <v>299</v>
      </c>
      <c r="Q133" s="11">
        <v>350</v>
      </c>
      <c r="R133" s="11">
        <v>0</v>
      </c>
    </row>
    <row r="134" s="10" customFormat="1" spans="1:18">
      <c r="A134" s="11">
        <v>421</v>
      </c>
      <c r="B134" s="11" t="s">
        <v>300</v>
      </c>
      <c r="C134" s="11" t="s">
        <v>50</v>
      </c>
      <c r="D134" s="11">
        <v>4</v>
      </c>
      <c r="E134" s="24">
        <v>3</v>
      </c>
      <c r="F134" s="11" t="s">
        <v>889</v>
      </c>
      <c r="G134" s="11">
        <v>2</v>
      </c>
      <c r="H134" s="11">
        <v>4</v>
      </c>
      <c r="I134" s="11">
        <v>1</v>
      </c>
      <c r="J134" s="11">
        <v>0</v>
      </c>
      <c r="K134" s="11">
        <v>0</v>
      </c>
      <c r="L134" s="11">
        <v>1</v>
      </c>
      <c r="M134" s="11">
        <f t="shared" si="2"/>
        <v>0</v>
      </c>
      <c r="N134" s="11">
        <v>0</v>
      </c>
      <c r="O134" s="11">
        <v>0</v>
      </c>
      <c r="P134" s="11" t="s">
        <v>301</v>
      </c>
      <c r="Q134" s="11">
        <v>350</v>
      </c>
      <c r="R134" s="11">
        <v>0</v>
      </c>
    </row>
    <row r="135" s="10" customFormat="1" spans="1:18">
      <c r="A135" s="11">
        <v>422</v>
      </c>
      <c r="B135" s="11" t="s">
        <v>302</v>
      </c>
      <c r="C135" s="11" t="s">
        <v>50</v>
      </c>
      <c r="D135" s="11">
        <v>4</v>
      </c>
      <c r="E135" s="24">
        <v>3</v>
      </c>
      <c r="F135" s="11" t="s">
        <v>890</v>
      </c>
      <c r="G135" s="11">
        <v>2</v>
      </c>
      <c r="H135" s="11">
        <v>4</v>
      </c>
      <c r="I135" s="11">
        <v>1</v>
      </c>
      <c r="J135" s="11">
        <v>0</v>
      </c>
      <c r="K135" s="11">
        <v>0</v>
      </c>
      <c r="L135" s="11">
        <v>1</v>
      </c>
      <c r="M135" s="11">
        <f t="shared" ref="M135:M185" si="3">IF(G135=1,1,0)</f>
        <v>0</v>
      </c>
      <c r="N135" s="11">
        <v>0</v>
      </c>
      <c r="O135" s="11">
        <v>0</v>
      </c>
      <c r="P135" s="11" t="s">
        <v>295</v>
      </c>
      <c r="Q135" s="11">
        <v>350</v>
      </c>
      <c r="R135" s="11">
        <v>0</v>
      </c>
    </row>
    <row r="136" s="10" customFormat="1" spans="1:18">
      <c r="A136" s="11">
        <v>423</v>
      </c>
      <c r="B136" s="11" t="s">
        <v>303</v>
      </c>
      <c r="C136" s="11" t="s">
        <v>50</v>
      </c>
      <c r="D136" s="11">
        <v>4</v>
      </c>
      <c r="E136" s="24">
        <v>3</v>
      </c>
      <c r="F136" s="11" t="s">
        <v>891</v>
      </c>
      <c r="G136" s="11">
        <v>2</v>
      </c>
      <c r="H136" s="11">
        <v>4</v>
      </c>
      <c r="I136" s="11">
        <v>2</v>
      </c>
      <c r="J136" s="11">
        <v>0</v>
      </c>
      <c r="K136" s="11">
        <v>0</v>
      </c>
      <c r="L136" s="11">
        <v>1</v>
      </c>
      <c r="M136" s="11">
        <f t="shared" si="3"/>
        <v>0</v>
      </c>
      <c r="N136" s="11">
        <v>0</v>
      </c>
      <c r="O136" s="11">
        <v>0</v>
      </c>
      <c r="P136" s="11" t="s">
        <v>304</v>
      </c>
      <c r="Q136" s="11">
        <v>350</v>
      </c>
      <c r="R136" s="11">
        <v>0</v>
      </c>
    </row>
    <row r="137" s="10" customFormat="1" spans="1:18">
      <c r="A137" s="11">
        <v>424</v>
      </c>
      <c r="B137" s="11" t="s">
        <v>305</v>
      </c>
      <c r="C137" s="11" t="s">
        <v>50</v>
      </c>
      <c r="D137" s="11">
        <v>4</v>
      </c>
      <c r="E137" s="24">
        <v>3</v>
      </c>
      <c r="F137" s="11" t="s">
        <v>892</v>
      </c>
      <c r="G137" s="11">
        <v>2</v>
      </c>
      <c r="H137" s="11">
        <v>4</v>
      </c>
      <c r="I137" s="11">
        <v>1</v>
      </c>
      <c r="J137" s="11">
        <v>0</v>
      </c>
      <c r="K137" s="11">
        <v>0</v>
      </c>
      <c r="L137" s="11">
        <v>1</v>
      </c>
      <c r="M137" s="11">
        <f t="shared" si="3"/>
        <v>0</v>
      </c>
      <c r="N137" s="11">
        <v>0</v>
      </c>
      <c r="O137" s="11">
        <v>0</v>
      </c>
      <c r="P137" s="11" t="s">
        <v>299</v>
      </c>
      <c r="Q137" s="11">
        <v>350</v>
      </c>
      <c r="R137" s="11">
        <v>0</v>
      </c>
    </row>
    <row r="138" s="10" customFormat="1" spans="1:18">
      <c r="A138" s="11">
        <v>425</v>
      </c>
      <c r="B138" s="11" t="s">
        <v>306</v>
      </c>
      <c r="C138" s="11" t="s">
        <v>50</v>
      </c>
      <c r="D138" s="11">
        <v>4</v>
      </c>
      <c r="E138" s="24">
        <v>3</v>
      </c>
      <c r="F138" s="11" t="s">
        <v>893</v>
      </c>
      <c r="G138" s="11">
        <v>2</v>
      </c>
      <c r="H138" s="11">
        <v>4</v>
      </c>
      <c r="I138" s="11">
        <v>1</v>
      </c>
      <c r="J138" s="11">
        <v>0</v>
      </c>
      <c r="K138" s="11">
        <v>0</v>
      </c>
      <c r="L138" s="11">
        <v>1</v>
      </c>
      <c r="M138" s="11">
        <f t="shared" si="3"/>
        <v>0</v>
      </c>
      <c r="N138" s="11">
        <v>0</v>
      </c>
      <c r="O138" s="11">
        <v>0</v>
      </c>
      <c r="P138" s="11" t="s">
        <v>293</v>
      </c>
      <c r="Q138" s="11">
        <v>350</v>
      </c>
      <c r="R138" s="11">
        <v>0</v>
      </c>
    </row>
    <row r="139" s="10" customFormat="1" spans="1:18">
      <c r="A139" s="11">
        <v>426</v>
      </c>
      <c r="B139" s="11" t="s">
        <v>307</v>
      </c>
      <c r="C139" s="11" t="s">
        <v>50</v>
      </c>
      <c r="D139" s="11">
        <v>4</v>
      </c>
      <c r="E139" s="24">
        <v>3</v>
      </c>
      <c r="F139" s="11" t="s">
        <v>894</v>
      </c>
      <c r="G139" s="11">
        <v>2</v>
      </c>
      <c r="H139" s="11">
        <v>4</v>
      </c>
      <c r="I139" s="11">
        <v>1</v>
      </c>
      <c r="J139" s="11">
        <v>0</v>
      </c>
      <c r="K139" s="11">
        <v>0</v>
      </c>
      <c r="L139" s="11">
        <v>1</v>
      </c>
      <c r="M139" s="11">
        <f t="shared" si="3"/>
        <v>0</v>
      </c>
      <c r="N139" s="11">
        <v>0</v>
      </c>
      <c r="O139" s="11">
        <v>0</v>
      </c>
      <c r="P139" s="11" t="s">
        <v>301</v>
      </c>
      <c r="Q139" s="11">
        <v>350</v>
      </c>
      <c r="R139" s="11">
        <v>0</v>
      </c>
    </row>
    <row r="140" s="10" customFormat="1" spans="1:18">
      <c r="A140" s="11">
        <v>427</v>
      </c>
      <c r="B140" s="11" t="s">
        <v>308</v>
      </c>
      <c r="C140" s="11" t="s">
        <v>50</v>
      </c>
      <c r="D140" s="11">
        <v>4</v>
      </c>
      <c r="E140" s="24">
        <v>3</v>
      </c>
      <c r="F140" s="11" t="s">
        <v>895</v>
      </c>
      <c r="G140" s="11">
        <v>2</v>
      </c>
      <c r="H140" s="11">
        <v>4</v>
      </c>
      <c r="I140" s="11">
        <v>1</v>
      </c>
      <c r="J140" s="11">
        <v>0</v>
      </c>
      <c r="K140" s="11">
        <v>0</v>
      </c>
      <c r="L140" s="11">
        <v>1</v>
      </c>
      <c r="M140" s="11">
        <f t="shared" si="3"/>
        <v>0</v>
      </c>
      <c r="N140" s="11">
        <v>0</v>
      </c>
      <c r="O140" s="11">
        <v>0</v>
      </c>
      <c r="P140" s="11" t="s">
        <v>309</v>
      </c>
      <c r="Q140" s="11">
        <v>350</v>
      </c>
      <c r="R140" s="11">
        <v>0</v>
      </c>
    </row>
    <row r="141" s="10" customFormat="1" spans="1:18">
      <c r="A141" s="11">
        <v>428</v>
      </c>
      <c r="B141" s="11" t="s">
        <v>310</v>
      </c>
      <c r="C141" s="11" t="s">
        <v>50</v>
      </c>
      <c r="D141" s="11">
        <v>4</v>
      </c>
      <c r="E141" s="24">
        <v>3</v>
      </c>
      <c r="F141" s="11" t="s">
        <v>896</v>
      </c>
      <c r="G141" s="11">
        <v>2</v>
      </c>
      <c r="H141" s="11">
        <v>4</v>
      </c>
      <c r="I141" s="11">
        <v>1</v>
      </c>
      <c r="J141" s="11">
        <v>0</v>
      </c>
      <c r="K141" s="11">
        <v>0</v>
      </c>
      <c r="L141" s="11">
        <v>1</v>
      </c>
      <c r="M141" s="11">
        <f t="shared" si="3"/>
        <v>0</v>
      </c>
      <c r="N141" s="11">
        <v>0</v>
      </c>
      <c r="O141" s="11">
        <v>0</v>
      </c>
      <c r="P141" s="11" t="s">
        <v>293</v>
      </c>
      <c r="Q141" s="11">
        <v>350</v>
      </c>
      <c r="R141" s="11">
        <v>0</v>
      </c>
    </row>
    <row r="142" s="10" customFormat="1" spans="1:18">
      <c r="A142" s="11">
        <v>429</v>
      </c>
      <c r="B142" s="11" t="s">
        <v>311</v>
      </c>
      <c r="C142" s="11" t="s">
        <v>50</v>
      </c>
      <c r="D142" s="11">
        <v>4</v>
      </c>
      <c r="E142" s="24">
        <v>3</v>
      </c>
      <c r="F142" s="11" t="s">
        <v>897</v>
      </c>
      <c r="G142" s="11">
        <v>2</v>
      </c>
      <c r="H142" s="11">
        <v>4</v>
      </c>
      <c r="I142" s="11">
        <v>1</v>
      </c>
      <c r="J142" s="11">
        <v>0</v>
      </c>
      <c r="K142" s="11">
        <v>0</v>
      </c>
      <c r="L142" s="11">
        <v>1</v>
      </c>
      <c r="M142" s="11">
        <f t="shared" si="3"/>
        <v>0</v>
      </c>
      <c r="N142" s="11">
        <v>0</v>
      </c>
      <c r="O142" s="11">
        <v>0</v>
      </c>
      <c r="P142" s="11" t="s">
        <v>309</v>
      </c>
      <c r="Q142" s="11">
        <v>350</v>
      </c>
      <c r="R142" s="11">
        <v>0</v>
      </c>
    </row>
    <row r="143" s="10" customFormat="1" spans="1:18">
      <c r="A143" s="11">
        <v>430</v>
      </c>
      <c r="B143" s="11" t="s">
        <v>312</v>
      </c>
      <c r="C143" s="11" t="s">
        <v>50</v>
      </c>
      <c r="D143" s="11">
        <v>4</v>
      </c>
      <c r="E143" s="24">
        <v>3</v>
      </c>
      <c r="F143" s="11" t="s">
        <v>898</v>
      </c>
      <c r="G143" s="11">
        <v>2</v>
      </c>
      <c r="H143" s="11">
        <v>4</v>
      </c>
      <c r="I143" s="11">
        <v>1</v>
      </c>
      <c r="J143" s="11">
        <v>0</v>
      </c>
      <c r="K143" s="11">
        <v>0</v>
      </c>
      <c r="L143" s="11">
        <v>1</v>
      </c>
      <c r="M143" s="11">
        <f t="shared" si="3"/>
        <v>0</v>
      </c>
      <c r="N143" s="11">
        <v>0</v>
      </c>
      <c r="O143" s="11">
        <v>0</v>
      </c>
      <c r="P143" s="11" t="s">
        <v>295</v>
      </c>
      <c r="Q143" s="11">
        <v>350</v>
      </c>
      <c r="R143" s="11">
        <v>0</v>
      </c>
    </row>
    <row r="144" s="10" customFormat="1" spans="1:18">
      <c r="A144" s="11">
        <v>431</v>
      </c>
      <c r="B144" s="11" t="s">
        <v>313</v>
      </c>
      <c r="C144" s="11" t="s">
        <v>50</v>
      </c>
      <c r="D144" s="11">
        <v>4</v>
      </c>
      <c r="E144" s="24">
        <v>3</v>
      </c>
      <c r="F144" s="11" t="s">
        <v>899</v>
      </c>
      <c r="G144" s="11">
        <v>2</v>
      </c>
      <c r="H144" s="11">
        <v>4</v>
      </c>
      <c r="I144" s="11">
        <v>2</v>
      </c>
      <c r="J144" s="11">
        <v>0</v>
      </c>
      <c r="K144" s="11">
        <v>0</v>
      </c>
      <c r="L144" s="11">
        <v>1</v>
      </c>
      <c r="M144" s="11">
        <f t="shared" si="3"/>
        <v>0</v>
      </c>
      <c r="N144" s="11">
        <v>0</v>
      </c>
      <c r="O144" s="11">
        <v>0</v>
      </c>
      <c r="P144" s="11" t="s">
        <v>304</v>
      </c>
      <c r="Q144" s="11">
        <v>350</v>
      </c>
      <c r="R144" s="11">
        <v>0</v>
      </c>
    </row>
    <row r="145" s="10" customFormat="1" spans="1:18">
      <c r="A145" s="11">
        <v>432</v>
      </c>
      <c r="B145" s="11" t="s">
        <v>314</v>
      </c>
      <c r="C145" s="11" t="s">
        <v>50</v>
      </c>
      <c r="D145" s="11">
        <v>4</v>
      </c>
      <c r="E145" s="24">
        <v>3</v>
      </c>
      <c r="F145" s="11" t="s">
        <v>900</v>
      </c>
      <c r="G145" s="11">
        <v>2</v>
      </c>
      <c r="H145" s="11">
        <v>4</v>
      </c>
      <c r="I145" s="11">
        <v>1</v>
      </c>
      <c r="J145" s="11">
        <v>0</v>
      </c>
      <c r="K145" s="11">
        <v>0</v>
      </c>
      <c r="L145" s="11">
        <v>1</v>
      </c>
      <c r="M145" s="11">
        <f t="shared" si="3"/>
        <v>0</v>
      </c>
      <c r="N145" s="11">
        <v>0</v>
      </c>
      <c r="O145" s="11">
        <v>0</v>
      </c>
      <c r="P145" s="11" t="s">
        <v>315</v>
      </c>
      <c r="Q145" s="11">
        <v>350</v>
      </c>
      <c r="R145" s="11">
        <v>0</v>
      </c>
    </row>
    <row r="146" s="10" customFormat="1" spans="1:18">
      <c r="A146" s="11">
        <v>433</v>
      </c>
      <c r="B146" s="11" t="s">
        <v>316</v>
      </c>
      <c r="C146" s="11" t="s">
        <v>50</v>
      </c>
      <c r="D146" s="11">
        <v>4</v>
      </c>
      <c r="E146" s="24">
        <v>3</v>
      </c>
      <c r="F146" s="11" t="s">
        <v>901</v>
      </c>
      <c r="G146" s="11">
        <v>2</v>
      </c>
      <c r="H146" s="11">
        <v>4</v>
      </c>
      <c r="I146" s="11">
        <v>2</v>
      </c>
      <c r="J146" s="11">
        <v>0</v>
      </c>
      <c r="K146" s="11">
        <v>0</v>
      </c>
      <c r="L146" s="11">
        <v>1</v>
      </c>
      <c r="M146" s="11">
        <f t="shared" si="3"/>
        <v>0</v>
      </c>
      <c r="N146" s="11">
        <v>0</v>
      </c>
      <c r="O146" s="11">
        <v>0</v>
      </c>
      <c r="P146" s="11" t="s">
        <v>315</v>
      </c>
      <c r="Q146" s="11">
        <v>350</v>
      </c>
      <c r="R146" s="11">
        <v>0</v>
      </c>
    </row>
    <row r="147" s="10" customFormat="1" spans="1:18">
      <c r="A147" s="11">
        <v>434</v>
      </c>
      <c r="B147" s="11" t="s">
        <v>317</v>
      </c>
      <c r="C147" s="11" t="s">
        <v>50</v>
      </c>
      <c r="D147" s="11">
        <v>4</v>
      </c>
      <c r="E147" s="24">
        <v>3</v>
      </c>
      <c r="F147" s="11" t="s">
        <v>902</v>
      </c>
      <c r="G147" s="11">
        <v>2</v>
      </c>
      <c r="H147" s="11">
        <v>4</v>
      </c>
      <c r="I147" s="11">
        <v>1</v>
      </c>
      <c r="J147" s="11">
        <v>0</v>
      </c>
      <c r="K147" s="11">
        <v>0</v>
      </c>
      <c r="L147" s="11">
        <v>1</v>
      </c>
      <c r="M147" s="11">
        <f t="shared" si="3"/>
        <v>0</v>
      </c>
      <c r="N147" s="11">
        <v>0</v>
      </c>
      <c r="O147" s="11">
        <v>0</v>
      </c>
      <c r="P147" s="11" t="s">
        <v>315</v>
      </c>
      <c r="Q147" s="11">
        <v>350</v>
      </c>
      <c r="R147" s="11">
        <v>0</v>
      </c>
    </row>
    <row r="148" s="10" customFormat="1" spans="1:18">
      <c r="A148" s="11">
        <v>435</v>
      </c>
      <c r="B148" s="11" t="s">
        <v>318</v>
      </c>
      <c r="C148" s="11" t="s">
        <v>50</v>
      </c>
      <c r="D148" s="11">
        <v>4</v>
      </c>
      <c r="E148" s="24">
        <v>3</v>
      </c>
      <c r="F148" s="11" t="s">
        <v>903</v>
      </c>
      <c r="G148" s="11">
        <v>2</v>
      </c>
      <c r="H148" s="11">
        <v>4</v>
      </c>
      <c r="I148" s="11">
        <v>2</v>
      </c>
      <c r="J148" s="11">
        <v>0</v>
      </c>
      <c r="K148" s="11">
        <v>0</v>
      </c>
      <c r="L148" s="11">
        <v>1</v>
      </c>
      <c r="M148" s="11">
        <f t="shared" si="3"/>
        <v>0</v>
      </c>
      <c r="N148" s="11">
        <v>0</v>
      </c>
      <c r="O148" s="11">
        <v>0</v>
      </c>
      <c r="P148" s="11" t="s">
        <v>315</v>
      </c>
      <c r="Q148" s="11">
        <v>350</v>
      </c>
      <c r="R148" s="11">
        <v>0</v>
      </c>
    </row>
    <row r="149" s="10" customFormat="1" spans="1:18">
      <c r="A149" s="11">
        <v>501</v>
      </c>
      <c r="B149" s="11" t="s">
        <v>319</v>
      </c>
      <c r="C149" s="11" t="s">
        <v>50</v>
      </c>
      <c r="D149" s="11">
        <v>1</v>
      </c>
      <c r="E149" s="24">
        <v>1</v>
      </c>
      <c r="F149" s="11" t="s">
        <v>904</v>
      </c>
      <c r="G149" s="11">
        <v>2</v>
      </c>
      <c r="H149" s="11">
        <v>5</v>
      </c>
      <c r="I149" s="11">
        <v>1</v>
      </c>
      <c r="J149" s="11">
        <v>0</v>
      </c>
      <c r="K149" s="11">
        <v>0</v>
      </c>
      <c r="L149" s="11">
        <v>1</v>
      </c>
      <c r="M149" s="11">
        <f t="shared" si="3"/>
        <v>0</v>
      </c>
      <c r="N149" s="11">
        <v>0</v>
      </c>
      <c r="O149" s="11">
        <v>0</v>
      </c>
      <c r="P149" s="11">
        <v>1</v>
      </c>
      <c r="Q149" s="11">
        <v>315</v>
      </c>
      <c r="R149" s="11">
        <v>0</v>
      </c>
    </row>
    <row r="150" s="10" customFormat="1" spans="1:18">
      <c r="A150" s="11">
        <v>502</v>
      </c>
      <c r="B150" s="11" t="s">
        <v>321</v>
      </c>
      <c r="C150" s="11" t="s">
        <v>50</v>
      </c>
      <c r="D150" s="11">
        <v>1</v>
      </c>
      <c r="E150" s="24">
        <v>1</v>
      </c>
      <c r="F150" s="11" t="s">
        <v>905</v>
      </c>
      <c r="G150" s="11">
        <v>2</v>
      </c>
      <c r="H150" s="11">
        <v>5</v>
      </c>
      <c r="I150" s="11">
        <v>2</v>
      </c>
      <c r="J150" s="11">
        <v>0</v>
      </c>
      <c r="K150" s="11">
        <v>0</v>
      </c>
      <c r="L150" s="11">
        <v>1</v>
      </c>
      <c r="M150" s="11">
        <f t="shared" si="3"/>
        <v>0</v>
      </c>
      <c r="N150" s="11">
        <v>0</v>
      </c>
      <c r="O150" s="11">
        <v>0</v>
      </c>
      <c r="P150" s="11">
        <v>3</v>
      </c>
      <c r="Q150" s="11">
        <v>315</v>
      </c>
      <c r="R150" s="11">
        <v>0</v>
      </c>
    </row>
    <row r="151" s="10" customFormat="1" spans="1:18">
      <c r="A151" s="11">
        <v>503</v>
      </c>
      <c r="B151" s="11" t="s">
        <v>323</v>
      </c>
      <c r="C151" s="11" t="s">
        <v>50</v>
      </c>
      <c r="D151" s="11">
        <v>1</v>
      </c>
      <c r="E151" s="24">
        <v>1</v>
      </c>
      <c r="F151" s="11" t="s">
        <v>906</v>
      </c>
      <c r="G151" s="11">
        <v>2</v>
      </c>
      <c r="H151" s="11">
        <v>5</v>
      </c>
      <c r="I151" s="11">
        <v>2</v>
      </c>
      <c r="J151" s="11">
        <v>0</v>
      </c>
      <c r="K151" s="11">
        <v>0</v>
      </c>
      <c r="L151" s="11">
        <v>1</v>
      </c>
      <c r="M151" s="11">
        <f t="shared" si="3"/>
        <v>0</v>
      </c>
      <c r="N151" s="11">
        <v>0</v>
      </c>
      <c r="O151" s="11">
        <v>0</v>
      </c>
      <c r="P151" s="11" t="s">
        <v>260</v>
      </c>
      <c r="Q151" s="11">
        <v>315</v>
      </c>
      <c r="R151" s="11">
        <v>0</v>
      </c>
    </row>
    <row r="152" s="10" customFormat="1" spans="1:18">
      <c r="A152" s="11">
        <v>504</v>
      </c>
      <c r="B152" s="11" t="s">
        <v>325</v>
      </c>
      <c r="C152" s="11" t="s">
        <v>50</v>
      </c>
      <c r="D152" s="11">
        <v>2</v>
      </c>
      <c r="E152" s="24">
        <v>1</v>
      </c>
      <c r="F152" s="11" t="s">
        <v>907</v>
      </c>
      <c r="G152" s="11">
        <v>2</v>
      </c>
      <c r="H152" s="11">
        <v>5</v>
      </c>
      <c r="I152" s="11">
        <v>1</v>
      </c>
      <c r="J152" s="11">
        <v>0</v>
      </c>
      <c r="K152" s="11">
        <v>0</v>
      </c>
      <c r="L152" s="11">
        <v>1</v>
      </c>
      <c r="M152" s="11">
        <f t="shared" si="3"/>
        <v>0</v>
      </c>
      <c r="N152" s="11">
        <v>0</v>
      </c>
      <c r="O152" s="11">
        <v>0</v>
      </c>
      <c r="P152" s="11" t="s">
        <v>260</v>
      </c>
      <c r="Q152" s="11">
        <v>315</v>
      </c>
      <c r="R152" s="11">
        <v>0</v>
      </c>
    </row>
    <row r="153" s="10" customFormat="1" spans="1:18">
      <c r="A153" s="11">
        <v>505</v>
      </c>
      <c r="B153" s="11" t="s">
        <v>327</v>
      </c>
      <c r="C153" s="11" t="s">
        <v>50</v>
      </c>
      <c r="D153" s="11">
        <v>2</v>
      </c>
      <c r="E153" s="24">
        <v>1</v>
      </c>
      <c r="F153" s="11" t="s">
        <v>908</v>
      </c>
      <c r="G153" s="11">
        <v>2</v>
      </c>
      <c r="H153" s="11">
        <v>5</v>
      </c>
      <c r="I153" s="11">
        <v>1</v>
      </c>
      <c r="J153" s="11">
        <v>0</v>
      </c>
      <c r="K153" s="11">
        <v>0</v>
      </c>
      <c r="L153" s="11">
        <v>1</v>
      </c>
      <c r="M153" s="11">
        <f t="shared" si="3"/>
        <v>0</v>
      </c>
      <c r="N153" s="11">
        <v>0</v>
      </c>
      <c r="O153" s="11">
        <v>0</v>
      </c>
      <c r="P153" s="11" t="s">
        <v>268</v>
      </c>
      <c r="Q153" s="11">
        <v>315</v>
      </c>
      <c r="R153" s="11">
        <v>0</v>
      </c>
    </row>
    <row r="154" s="10" customFormat="1" spans="1:18">
      <c r="A154" s="11">
        <v>506</v>
      </c>
      <c r="B154" s="11" t="s">
        <v>329</v>
      </c>
      <c r="C154" s="11" t="s">
        <v>50</v>
      </c>
      <c r="D154" s="11">
        <v>2</v>
      </c>
      <c r="E154" s="24">
        <v>1</v>
      </c>
      <c r="F154" s="11" t="s">
        <v>909</v>
      </c>
      <c r="G154" s="11">
        <v>2</v>
      </c>
      <c r="H154" s="11">
        <v>5</v>
      </c>
      <c r="I154" s="11">
        <v>1</v>
      </c>
      <c r="J154" s="11">
        <v>0</v>
      </c>
      <c r="K154" s="11">
        <v>0</v>
      </c>
      <c r="L154" s="11">
        <v>1</v>
      </c>
      <c r="M154" s="11">
        <f t="shared" si="3"/>
        <v>0</v>
      </c>
      <c r="N154" s="11">
        <v>0</v>
      </c>
      <c r="O154" s="11">
        <v>0</v>
      </c>
      <c r="P154" s="11" t="s">
        <v>265</v>
      </c>
      <c r="Q154" s="11">
        <v>315</v>
      </c>
      <c r="R154" s="11">
        <v>0</v>
      </c>
    </row>
    <row r="155" s="10" customFormat="1" spans="1:18">
      <c r="A155" s="11">
        <v>507</v>
      </c>
      <c r="B155" s="11" t="s">
        <v>331</v>
      </c>
      <c r="C155" s="11" t="s">
        <v>50</v>
      </c>
      <c r="D155" s="11">
        <v>3</v>
      </c>
      <c r="E155" s="24">
        <v>2</v>
      </c>
      <c r="F155" s="11" t="s">
        <v>910</v>
      </c>
      <c r="G155" s="11">
        <v>2</v>
      </c>
      <c r="H155" s="11">
        <v>5</v>
      </c>
      <c r="I155" s="11">
        <v>1</v>
      </c>
      <c r="J155" s="11">
        <v>0</v>
      </c>
      <c r="K155" s="11">
        <v>0</v>
      </c>
      <c r="L155" s="11">
        <v>1</v>
      </c>
      <c r="M155" s="11">
        <f t="shared" si="3"/>
        <v>0</v>
      </c>
      <c r="N155" s="11">
        <v>0</v>
      </c>
      <c r="O155" s="11">
        <v>0</v>
      </c>
      <c r="P155" s="11" t="s">
        <v>333</v>
      </c>
      <c r="Q155" s="11">
        <v>315</v>
      </c>
      <c r="R155" s="11">
        <v>0</v>
      </c>
    </row>
    <row r="156" s="10" customFormat="1" spans="1:18">
      <c r="A156" s="11">
        <v>508</v>
      </c>
      <c r="B156" s="11" t="s">
        <v>334</v>
      </c>
      <c r="C156" s="11" t="s">
        <v>50</v>
      </c>
      <c r="D156" s="11">
        <v>3</v>
      </c>
      <c r="E156" s="24">
        <v>2</v>
      </c>
      <c r="F156" s="11" t="s">
        <v>911</v>
      </c>
      <c r="G156" s="11">
        <v>2</v>
      </c>
      <c r="H156" s="11">
        <v>5</v>
      </c>
      <c r="I156" s="11">
        <v>2</v>
      </c>
      <c r="J156" s="11">
        <v>0</v>
      </c>
      <c r="K156" s="11">
        <v>0</v>
      </c>
      <c r="L156" s="11">
        <v>1</v>
      </c>
      <c r="M156" s="11">
        <f t="shared" si="3"/>
        <v>0</v>
      </c>
      <c r="N156" s="11">
        <v>0</v>
      </c>
      <c r="O156" s="11">
        <v>0</v>
      </c>
      <c r="P156" s="11" t="s">
        <v>335</v>
      </c>
      <c r="Q156" s="11">
        <v>315</v>
      </c>
      <c r="R156" s="11">
        <v>0</v>
      </c>
    </row>
    <row r="157" s="10" customFormat="1" spans="1:18">
      <c r="A157" s="11">
        <v>509</v>
      </c>
      <c r="B157" s="11" t="s">
        <v>336</v>
      </c>
      <c r="C157" s="11" t="s">
        <v>50</v>
      </c>
      <c r="D157" s="11">
        <v>3</v>
      </c>
      <c r="E157" s="24">
        <v>2</v>
      </c>
      <c r="F157" s="11" t="s">
        <v>912</v>
      </c>
      <c r="G157" s="11">
        <v>2</v>
      </c>
      <c r="H157" s="11">
        <v>5</v>
      </c>
      <c r="I157" s="11">
        <v>2</v>
      </c>
      <c r="J157" s="11">
        <v>0</v>
      </c>
      <c r="K157" s="11">
        <v>0</v>
      </c>
      <c r="L157" s="11">
        <v>1</v>
      </c>
      <c r="M157" s="11">
        <f t="shared" si="3"/>
        <v>0</v>
      </c>
      <c r="N157" s="11">
        <v>0</v>
      </c>
      <c r="O157" s="11">
        <v>0</v>
      </c>
      <c r="P157" s="11" t="s">
        <v>337</v>
      </c>
      <c r="Q157" s="11">
        <v>315</v>
      </c>
      <c r="R157" s="11">
        <v>0</v>
      </c>
    </row>
    <row r="158" s="10" customFormat="1" spans="1:18">
      <c r="A158" s="11">
        <v>510</v>
      </c>
      <c r="B158" s="11" t="s">
        <v>338</v>
      </c>
      <c r="C158" s="11" t="s">
        <v>50</v>
      </c>
      <c r="D158" s="11">
        <v>3</v>
      </c>
      <c r="E158" s="24">
        <v>2</v>
      </c>
      <c r="F158" s="11" t="s">
        <v>913</v>
      </c>
      <c r="G158" s="11">
        <v>2</v>
      </c>
      <c r="H158" s="11">
        <v>5</v>
      </c>
      <c r="I158" s="11">
        <v>2</v>
      </c>
      <c r="J158" s="11">
        <v>0</v>
      </c>
      <c r="K158" s="11">
        <v>0</v>
      </c>
      <c r="L158" s="11">
        <v>1</v>
      </c>
      <c r="M158" s="11">
        <f t="shared" si="3"/>
        <v>0</v>
      </c>
      <c r="N158" s="11">
        <v>0</v>
      </c>
      <c r="O158" s="11">
        <v>0</v>
      </c>
      <c r="P158" s="11" t="s">
        <v>339</v>
      </c>
      <c r="Q158" s="11">
        <v>315</v>
      </c>
      <c r="R158" s="11">
        <v>0</v>
      </c>
    </row>
    <row r="159" s="10" customFormat="1" spans="1:18">
      <c r="A159" s="11">
        <v>511</v>
      </c>
      <c r="B159" s="11" t="s">
        <v>340</v>
      </c>
      <c r="C159" s="11" t="s">
        <v>50</v>
      </c>
      <c r="D159" s="11">
        <v>3</v>
      </c>
      <c r="E159" s="24">
        <v>2</v>
      </c>
      <c r="F159" s="11" t="s">
        <v>914</v>
      </c>
      <c r="G159" s="11">
        <v>2</v>
      </c>
      <c r="H159" s="11">
        <v>5</v>
      </c>
      <c r="I159" s="11">
        <v>1</v>
      </c>
      <c r="J159" s="11">
        <v>0</v>
      </c>
      <c r="K159" s="11">
        <v>0</v>
      </c>
      <c r="L159" s="11">
        <v>1</v>
      </c>
      <c r="M159" s="11">
        <f t="shared" si="3"/>
        <v>0</v>
      </c>
      <c r="N159" s="11">
        <v>0</v>
      </c>
      <c r="O159" s="11">
        <v>0</v>
      </c>
      <c r="P159" s="11" t="s">
        <v>341</v>
      </c>
      <c r="Q159" s="11">
        <v>315</v>
      </c>
      <c r="R159" s="11">
        <v>0</v>
      </c>
    </row>
    <row r="160" s="10" customFormat="1" spans="1:18">
      <c r="A160" s="11">
        <v>512</v>
      </c>
      <c r="B160" s="11" t="s">
        <v>342</v>
      </c>
      <c r="C160" s="11" t="s">
        <v>50</v>
      </c>
      <c r="D160" s="11">
        <v>3</v>
      </c>
      <c r="E160" s="24">
        <v>2</v>
      </c>
      <c r="F160" s="11" t="s">
        <v>915</v>
      </c>
      <c r="G160" s="11">
        <v>2</v>
      </c>
      <c r="H160" s="11">
        <v>5</v>
      </c>
      <c r="I160" s="11">
        <v>2</v>
      </c>
      <c r="J160" s="11">
        <v>0</v>
      </c>
      <c r="K160" s="11">
        <v>0</v>
      </c>
      <c r="L160" s="11">
        <v>1</v>
      </c>
      <c r="M160" s="11">
        <f t="shared" si="3"/>
        <v>0</v>
      </c>
      <c r="N160" s="11">
        <v>0</v>
      </c>
      <c r="O160" s="11">
        <v>0</v>
      </c>
      <c r="P160" s="11" t="s">
        <v>343</v>
      </c>
      <c r="Q160" s="11">
        <v>315</v>
      </c>
      <c r="R160" s="11">
        <v>0</v>
      </c>
    </row>
    <row r="161" s="10" customFormat="1" spans="1:18">
      <c r="A161" s="11">
        <v>513</v>
      </c>
      <c r="B161" s="11" t="s">
        <v>344</v>
      </c>
      <c r="C161" s="11" t="s">
        <v>50</v>
      </c>
      <c r="D161" s="11">
        <v>3</v>
      </c>
      <c r="E161" s="24">
        <v>2</v>
      </c>
      <c r="F161" s="11" t="s">
        <v>916</v>
      </c>
      <c r="G161" s="11">
        <v>2</v>
      </c>
      <c r="H161" s="11">
        <v>5</v>
      </c>
      <c r="I161" s="11">
        <v>1</v>
      </c>
      <c r="J161" s="11">
        <v>0</v>
      </c>
      <c r="K161" s="11">
        <v>0</v>
      </c>
      <c r="L161" s="11">
        <v>1</v>
      </c>
      <c r="M161" s="11">
        <f t="shared" si="3"/>
        <v>0</v>
      </c>
      <c r="N161" s="11">
        <v>0</v>
      </c>
      <c r="O161" s="11">
        <v>0</v>
      </c>
      <c r="P161" s="11" t="s">
        <v>345</v>
      </c>
      <c r="Q161" s="11">
        <v>315</v>
      </c>
      <c r="R161" s="11">
        <v>0</v>
      </c>
    </row>
    <row r="162" s="10" customFormat="1" spans="1:18">
      <c r="A162" s="11">
        <v>514</v>
      </c>
      <c r="B162" s="11" t="s">
        <v>346</v>
      </c>
      <c r="C162" s="11" t="s">
        <v>50</v>
      </c>
      <c r="D162" s="11">
        <v>3</v>
      </c>
      <c r="E162" s="24">
        <v>2</v>
      </c>
      <c r="F162" s="11" t="s">
        <v>917</v>
      </c>
      <c r="G162" s="11">
        <v>2</v>
      </c>
      <c r="H162" s="11">
        <v>5</v>
      </c>
      <c r="I162" s="11">
        <v>1</v>
      </c>
      <c r="J162" s="11">
        <v>0</v>
      </c>
      <c r="K162" s="11">
        <v>0</v>
      </c>
      <c r="L162" s="11">
        <v>1</v>
      </c>
      <c r="M162" s="11">
        <f t="shared" si="3"/>
        <v>0</v>
      </c>
      <c r="N162" s="11">
        <v>0</v>
      </c>
      <c r="O162" s="11">
        <v>0</v>
      </c>
      <c r="P162" s="11" t="s">
        <v>347</v>
      </c>
      <c r="Q162" s="11">
        <v>315</v>
      </c>
      <c r="R162" s="11">
        <v>0</v>
      </c>
    </row>
    <row r="163" s="10" customFormat="1" spans="1:18">
      <c r="A163" s="11">
        <v>515</v>
      </c>
      <c r="B163" s="11" t="s">
        <v>348</v>
      </c>
      <c r="C163" s="11" t="s">
        <v>50</v>
      </c>
      <c r="D163" s="11">
        <v>4</v>
      </c>
      <c r="E163" s="24">
        <v>3</v>
      </c>
      <c r="F163" s="11" t="s">
        <v>918</v>
      </c>
      <c r="G163" s="11">
        <v>2</v>
      </c>
      <c r="H163" s="11">
        <v>5</v>
      </c>
      <c r="I163" s="11">
        <v>2</v>
      </c>
      <c r="J163" s="11">
        <v>0</v>
      </c>
      <c r="K163" s="11">
        <v>0</v>
      </c>
      <c r="L163" s="11">
        <v>1</v>
      </c>
      <c r="M163" s="11">
        <f t="shared" si="3"/>
        <v>0</v>
      </c>
      <c r="N163" s="11">
        <v>0</v>
      </c>
      <c r="O163" s="11">
        <v>0</v>
      </c>
      <c r="P163" s="11" t="s">
        <v>349</v>
      </c>
      <c r="Q163" s="11">
        <v>315</v>
      </c>
      <c r="R163" s="11">
        <v>0</v>
      </c>
    </row>
    <row r="164" s="10" customFormat="1" spans="1:18">
      <c r="A164" s="11">
        <v>516</v>
      </c>
      <c r="B164" s="11" t="s">
        <v>350</v>
      </c>
      <c r="C164" s="11" t="s">
        <v>50</v>
      </c>
      <c r="D164" s="11">
        <v>4</v>
      </c>
      <c r="E164" s="24">
        <v>3</v>
      </c>
      <c r="F164" s="11" t="s">
        <v>919</v>
      </c>
      <c r="G164" s="11">
        <v>2</v>
      </c>
      <c r="H164" s="11">
        <v>5</v>
      </c>
      <c r="I164" s="11">
        <v>1</v>
      </c>
      <c r="J164" s="11">
        <v>0</v>
      </c>
      <c r="K164" s="11">
        <v>0</v>
      </c>
      <c r="L164" s="11">
        <v>1</v>
      </c>
      <c r="M164" s="11">
        <f t="shared" si="3"/>
        <v>0</v>
      </c>
      <c r="N164" s="11">
        <v>0</v>
      </c>
      <c r="O164" s="11">
        <v>0</v>
      </c>
      <c r="P164" s="11" t="s">
        <v>351</v>
      </c>
      <c r="Q164" s="11">
        <v>315</v>
      </c>
      <c r="R164" s="11">
        <v>0</v>
      </c>
    </row>
    <row r="165" s="10" customFormat="1" spans="1:18">
      <c r="A165" s="11">
        <v>517</v>
      </c>
      <c r="B165" s="11" t="s">
        <v>352</v>
      </c>
      <c r="C165" s="11" t="s">
        <v>50</v>
      </c>
      <c r="D165" s="11">
        <v>4</v>
      </c>
      <c r="E165" s="24">
        <v>3</v>
      </c>
      <c r="F165" s="11" t="s">
        <v>920</v>
      </c>
      <c r="G165" s="11">
        <v>2</v>
      </c>
      <c r="H165" s="11">
        <v>5</v>
      </c>
      <c r="I165" s="11">
        <v>1</v>
      </c>
      <c r="J165" s="11">
        <v>0</v>
      </c>
      <c r="K165" s="11">
        <v>0</v>
      </c>
      <c r="L165" s="11">
        <v>1</v>
      </c>
      <c r="M165" s="11">
        <f t="shared" si="3"/>
        <v>0</v>
      </c>
      <c r="N165" s="11">
        <v>0</v>
      </c>
      <c r="O165" s="11">
        <v>0</v>
      </c>
      <c r="P165" s="11" t="s">
        <v>353</v>
      </c>
      <c r="Q165" s="11">
        <v>315</v>
      </c>
      <c r="R165" s="11">
        <v>0</v>
      </c>
    </row>
    <row r="166" s="10" customFormat="1" spans="1:18">
      <c r="A166" s="11">
        <v>518</v>
      </c>
      <c r="B166" s="11" t="s">
        <v>354</v>
      </c>
      <c r="C166" s="11" t="s">
        <v>50</v>
      </c>
      <c r="D166" s="11">
        <v>4</v>
      </c>
      <c r="E166" s="24">
        <v>3</v>
      </c>
      <c r="F166" s="11" t="s">
        <v>921</v>
      </c>
      <c r="G166" s="11">
        <v>2</v>
      </c>
      <c r="H166" s="11">
        <v>5</v>
      </c>
      <c r="I166" s="11">
        <v>2</v>
      </c>
      <c r="J166" s="11">
        <v>0</v>
      </c>
      <c r="K166" s="11">
        <v>0</v>
      </c>
      <c r="L166" s="11">
        <v>1</v>
      </c>
      <c r="M166" s="11">
        <f t="shared" si="3"/>
        <v>0</v>
      </c>
      <c r="N166" s="11">
        <v>0</v>
      </c>
      <c r="O166" s="11">
        <v>0</v>
      </c>
      <c r="P166" s="11" t="s">
        <v>355</v>
      </c>
      <c r="Q166" s="11">
        <v>315</v>
      </c>
      <c r="R166" s="11">
        <v>0</v>
      </c>
    </row>
    <row r="167" s="10" customFormat="1" spans="1:18">
      <c r="A167" s="11">
        <v>519</v>
      </c>
      <c r="B167" s="11" t="s">
        <v>356</v>
      </c>
      <c r="C167" s="11" t="s">
        <v>50</v>
      </c>
      <c r="D167" s="11">
        <v>4</v>
      </c>
      <c r="E167" s="24">
        <v>3</v>
      </c>
      <c r="F167" s="11" t="s">
        <v>922</v>
      </c>
      <c r="G167" s="11">
        <v>2</v>
      </c>
      <c r="H167" s="11">
        <v>5</v>
      </c>
      <c r="I167" s="11">
        <v>2</v>
      </c>
      <c r="J167" s="11">
        <v>0</v>
      </c>
      <c r="K167" s="11">
        <v>0</v>
      </c>
      <c r="L167" s="11">
        <v>1</v>
      </c>
      <c r="M167" s="11">
        <f t="shared" si="3"/>
        <v>0</v>
      </c>
      <c r="N167" s="11">
        <v>0</v>
      </c>
      <c r="O167" s="11">
        <v>0</v>
      </c>
      <c r="P167" s="11" t="s">
        <v>357</v>
      </c>
      <c r="Q167" s="11">
        <v>315</v>
      </c>
      <c r="R167" s="11">
        <v>0</v>
      </c>
    </row>
    <row r="168" s="10" customFormat="1" spans="1:18">
      <c r="A168" s="11">
        <v>520</v>
      </c>
      <c r="B168" s="11" t="s">
        <v>358</v>
      </c>
      <c r="C168" s="11" t="s">
        <v>50</v>
      </c>
      <c r="D168" s="11">
        <v>4</v>
      </c>
      <c r="E168" s="24">
        <v>3</v>
      </c>
      <c r="F168" s="11" t="s">
        <v>923</v>
      </c>
      <c r="G168" s="11">
        <v>2</v>
      </c>
      <c r="H168" s="11">
        <v>5</v>
      </c>
      <c r="I168" s="11">
        <v>2</v>
      </c>
      <c r="J168" s="11">
        <v>0</v>
      </c>
      <c r="K168" s="11">
        <v>0</v>
      </c>
      <c r="L168" s="11">
        <v>1</v>
      </c>
      <c r="M168" s="11">
        <f t="shared" si="3"/>
        <v>0</v>
      </c>
      <c r="N168" s="11">
        <v>0</v>
      </c>
      <c r="O168" s="11">
        <v>0</v>
      </c>
      <c r="P168" s="11" t="s">
        <v>359</v>
      </c>
      <c r="Q168" s="11">
        <v>315</v>
      </c>
      <c r="R168" s="11">
        <v>0</v>
      </c>
    </row>
    <row r="169" s="10" customFormat="1" spans="1:18">
      <c r="A169" s="11">
        <v>521</v>
      </c>
      <c r="B169" s="11" t="s">
        <v>360</v>
      </c>
      <c r="C169" s="11" t="s">
        <v>50</v>
      </c>
      <c r="D169" s="11">
        <v>4</v>
      </c>
      <c r="E169" s="24">
        <v>3</v>
      </c>
      <c r="F169" s="11" t="s">
        <v>924</v>
      </c>
      <c r="G169" s="11">
        <v>2</v>
      </c>
      <c r="H169" s="11">
        <v>5</v>
      </c>
      <c r="I169" s="11">
        <v>1</v>
      </c>
      <c r="J169" s="11">
        <v>0</v>
      </c>
      <c r="K169" s="11">
        <v>0</v>
      </c>
      <c r="L169" s="11">
        <v>1</v>
      </c>
      <c r="M169" s="11">
        <f t="shared" si="3"/>
        <v>0</v>
      </c>
      <c r="N169" s="11">
        <v>0</v>
      </c>
      <c r="O169" s="11">
        <v>0</v>
      </c>
      <c r="P169" s="11" t="s">
        <v>355</v>
      </c>
      <c r="Q169" s="11">
        <v>315</v>
      </c>
      <c r="R169" s="11">
        <v>0</v>
      </c>
    </row>
    <row r="170" s="10" customFormat="1" spans="1:18">
      <c r="A170" s="11">
        <v>522</v>
      </c>
      <c r="B170" s="11" t="s">
        <v>361</v>
      </c>
      <c r="C170" s="11" t="s">
        <v>50</v>
      </c>
      <c r="D170" s="11">
        <v>4</v>
      </c>
      <c r="E170" s="24">
        <v>3</v>
      </c>
      <c r="F170" s="11" t="s">
        <v>925</v>
      </c>
      <c r="G170" s="11">
        <v>2</v>
      </c>
      <c r="H170" s="11">
        <v>5</v>
      </c>
      <c r="I170" s="11">
        <v>2</v>
      </c>
      <c r="J170" s="11">
        <v>0</v>
      </c>
      <c r="K170" s="11">
        <v>0</v>
      </c>
      <c r="L170" s="11">
        <v>1</v>
      </c>
      <c r="M170" s="11">
        <f t="shared" si="3"/>
        <v>0</v>
      </c>
      <c r="N170" s="11">
        <v>0</v>
      </c>
      <c r="O170" s="11">
        <v>0</v>
      </c>
      <c r="P170" s="11" t="s">
        <v>362</v>
      </c>
      <c r="Q170" s="11">
        <v>315</v>
      </c>
      <c r="R170" s="11">
        <v>0</v>
      </c>
    </row>
    <row r="171" s="10" customFormat="1" spans="1:18">
      <c r="A171" s="11">
        <v>523</v>
      </c>
      <c r="B171" s="11" t="s">
        <v>363</v>
      </c>
      <c r="C171" s="11" t="s">
        <v>50</v>
      </c>
      <c r="D171" s="11">
        <v>4</v>
      </c>
      <c r="E171" s="24">
        <v>3</v>
      </c>
      <c r="F171" s="11" t="s">
        <v>926</v>
      </c>
      <c r="G171" s="11">
        <v>2</v>
      </c>
      <c r="H171" s="11">
        <v>5</v>
      </c>
      <c r="I171" s="11">
        <v>2</v>
      </c>
      <c r="J171" s="11">
        <v>0</v>
      </c>
      <c r="K171" s="11">
        <v>0</v>
      </c>
      <c r="L171" s="11">
        <v>1</v>
      </c>
      <c r="M171" s="11">
        <f t="shared" si="3"/>
        <v>0</v>
      </c>
      <c r="N171" s="11">
        <v>0</v>
      </c>
      <c r="O171" s="11">
        <v>0</v>
      </c>
      <c r="P171" s="11" t="s">
        <v>362</v>
      </c>
      <c r="Q171" s="11">
        <v>315</v>
      </c>
      <c r="R171" s="11">
        <v>0</v>
      </c>
    </row>
    <row r="172" s="10" customFormat="1" spans="1:18">
      <c r="A172" s="11">
        <v>524</v>
      </c>
      <c r="B172" s="11" t="s">
        <v>364</v>
      </c>
      <c r="C172" s="11" t="s">
        <v>50</v>
      </c>
      <c r="D172" s="11">
        <v>4</v>
      </c>
      <c r="E172" s="24">
        <v>3</v>
      </c>
      <c r="F172" s="11" t="s">
        <v>927</v>
      </c>
      <c r="G172" s="11">
        <v>2</v>
      </c>
      <c r="H172" s="11">
        <v>5</v>
      </c>
      <c r="I172" s="11">
        <v>2</v>
      </c>
      <c r="J172" s="11">
        <v>0</v>
      </c>
      <c r="K172" s="11">
        <v>0</v>
      </c>
      <c r="L172" s="11">
        <v>1</v>
      </c>
      <c r="M172" s="11">
        <f t="shared" si="3"/>
        <v>0</v>
      </c>
      <c r="N172" s="11">
        <v>0</v>
      </c>
      <c r="O172" s="11">
        <v>0</v>
      </c>
      <c r="P172" s="11" t="s">
        <v>365</v>
      </c>
      <c r="Q172" s="11">
        <v>315</v>
      </c>
      <c r="R172" s="11">
        <v>0</v>
      </c>
    </row>
    <row r="173" s="10" customFormat="1" spans="1:18">
      <c r="A173" s="11">
        <v>525</v>
      </c>
      <c r="B173" s="11" t="s">
        <v>366</v>
      </c>
      <c r="C173" s="11" t="s">
        <v>50</v>
      </c>
      <c r="D173" s="11">
        <v>4</v>
      </c>
      <c r="E173" s="24">
        <v>3</v>
      </c>
      <c r="F173" s="11" t="s">
        <v>928</v>
      </c>
      <c r="G173" s="11">
        <v>2</v>
      </c>
      <c r="H173" s="11">
        <v>5</v>
      </c>
      <c r="I173" s="11">
        <v>2</v>
      </c>
      <c r="J173" s="11">
        <v>0</v>
      </c>
      <c r="K173" s="11">
        <v>0</v>
      </c>
      <c r="L173" s="11">
        <v>1</v>
      </c>
      <c r="M173" s="11">
        <f t="shared" si="3"/>
        <v>0</v>
      </c>
      <c r="N173" s="11">
        <v>0</v>
      </c>
      <c r="O173" s="11">
        <v>0</v>
      </c>
      <c r="P173" s="11" t="s">
        <v>365</v>
      </c>
      <c r="Q173" s="11">
        <v>315</v>
      </c>
      <c r="R173" s="11">
        <v>0</v>
      </c>
    </row>
    <row r="174" s="10" customFormat="1" spans="1:18">
      <c r="A174" s="11">
        <v>526</v>
      </c>
      <c r="B174" s="11" t="s">
        <v>367</v>
      </c>
      <c r="C174" s="11" t="s">
        <v>50</v>
      </c>
      <c r="D174" s="11">
        <v>4</v>
      </c>
      <c r="E174" s="24">
        <v>3</v>
      </c>
      <c r="F174" s="11" t="s">
        <v>929</v>
      </c>
      <c r="G174" s="11">
        <v>2</v>
      </c>
      <c r="H174" s="11">
        <v>5</v>
      </c>
      <c r="I174" s="11">
        <v>1</v>
      </c>
      <c r="J174" s="11">
        <v>0</v>
      </c>
      <c r="K174" s="11">
        <v>0</v>
      </c>
      <c r="L174" s="11">
        <v>1</v>
      </c>
      <c r="M174" s="11">
        <f t="shared" si="3"/>
        <v>0</v>
      </c>
      <c r="N174" s="11">
        <v>0</v>
      </c>
      <c r="O174" s="11">
        <v>0</v>
      </c>
      <c r="P174" s="11" t="s">
        <v>365</v>
      </c>
      <c r="Q174" s="11">
        <v>315</v>
      </c>
      <c r="R174" s="11">
        <v>0</v>
      </c>
    </row>
    <row r="175" s="10" customFormat="1" spans="1:18">
      <c r="A175" s="11">
        <v>527</v>
      </c>
      <c r="B175" s="11" t="s">
        <v>368</v>
      </c>
      <c r="C175" s="11" t="s">
        <v>50</v>
      </c>
      <c r="D175" s="11">
        <v>4</v>
      </c>
      <c r="E175" s="24">
        <v>3</v>
      </c>
      <c r="F175" s="11" t="s">
        <v>930</v>
      </c>
      <c r="G175" s="11">
        <v>2</v>
      </c>
      <c r="H175" s="11">
        <v>5</v>
      </c>
      <c r="I175" s="11">
        <v>1</v>
      </c>
      <c r="J175" s="11">
        <v>0</v>
      </c>
      <c r="K175" s="11">
        <v>0</v>
      </c>
      <c r="L175" s="11">
        <v>1</v>
      </c>
      <c r="M175" s="11">
        <f t="shared" si="3"/>
        <v>0</v>
      </c>
      <c r="N175" s="11">
        <v>0</v>
      </c>
      <c r="O175" s="11">
        <v>0</v>
      </c>
      <c r="P175" s="11" t="s">
        <v>365</v>
      </c>
      <c r="Q175" s="11">
        <v>315</v>
      </c>
      <c r="R175" s="11">
        <v>0</v>
      </c>
    </row>
    <row r="176" s="10" customFormat="1" spans="1:18">
      <c r="A176" s="11">
        <v>10001</v>
      </c>
      <c r="B176" s="11" t="s">
        <v>931</v>
      </c>
      <c r="C176" s="11" t="s">
        <v>50</v>
      </c>
      <c r="D176" s="11">
        <v>3</v>
      </c>
      <c r="E176" s="24">
        <v>2</v>
      </c>
      <c r="F176" s="11" t="s">
        <v>807</v>
      </c>
      <c r="G176" s="11">
        <v>1</v>
      </c>
      <c r="H176" s="11">
        <v>2</v>
      </c>
      <c r="I176" s="11">
        <v>0</v>
      </c>
      <c r="J176" s="11">
        <v>0</v>
      </c>
      <c r="K176" s="11">
        <v>0</v>
      </c>
      <c r="L176" s="11">
        <v>1</v>
      </c>
      <c r="M176" s="11">
        <f t="shared" si="3"/>
        <v>1</v>
      </c>
      <c r="N176" s="11">
        <v>0</v>
      </c>
      <c r="O176" s="11">
        <v>0</v>
      </c>
      <c r="P176" s="11">
        <v>0</v>
      </c>
      <c r="Q176" s="11">
        <v>298</v>
      </c>
      <c r="R176" s="11">
        <v>0</v>
      </c>
    </row>
    <row r="177" s="10" customFormat="1" spans="1:18">
      <c r="A177" s="11">
        <v>10002</v>
      </c>
      <c r="B177" s="11" t="s">
        <v>932</v>
      </c>
      <c r="C177" s="11" t="s">
        <v>50</v>
      </c>
      <c r="D177" s="11">
        <v>4</v>
      </c>
      <c r="E177" s="24">
        <v>3</v>
      </c>
      <c r="F177" s="11" t="s">
        <v>807</v>
      </c>
      <c r="G177" s="11">
        <v>1</v>
      </c>
      <c r="H177" s="11">
        <v>2</v>
      </c>
      <c r="I177" s="11">
        <v>0</v>
      </c>
      <c r="J177" s="11">
        <v>0</v>
      </c>
      <c r="K177" s="11">
        <v>0</v>
      </c>
      <c r="L177" s="11">
        <v>1</v>
      </c>
      <c r="M177" s="11">
        <f t="shared" si="3"/>
        <v>1</v>
      </c>
      <c r="N177" s="11">
        <v>0</v>
      </c>
      <c r="O177" s="11">
        <v>0</v>
      </c>
      <c r="P177" s="11">
        <v>0</v>
      </c>
      <c r="Q177" s="11">
        <v>298</v>
      </c>
      <c r="R177" s="11">
        <v>0</v>
      </c>
    </row>
    <row r="178" s="10" customFormat="1" spans="1:18">
      <c r="A178" s="11">
        <v>10010</v>
      </c>
      <c r="B178" s="11" t="s">
        <v>933</v>
      </c>
      <c r="C178" s="11" t="s">
        <v>50</v>
      </c>
      <c r="D178" s="11">
        <v>1</v>
      </c>
      <c r="E178" s="24">
        <v>1</v>
      </c>
      <c r="F178" s="11" t="s">
        <v>927</v>
      </c>
      <c r="G178" s="11">
        <v>1</v>
      </c>
      <c r="H178" s="11">
        <v>2</v>
      </c>
      <c r="I178" s="11">
        <v>0</v>
      </c>
      <c r="J178" s="11">
        <v>0</v>
      </c>
      <c r="K178" s="11">
        <v>0</v>
      </c>
      <c r="L178" s="11">
        <v>1</v>
      </c>
      <c r="M178" s="11">
        <f t="shared" si="3"/>
        <v>1</v>
      </c>
      <c r="N178" s="11">
        <v>0</v>
      </c>
      <c r="O178" s="11">
        <v>0</v>
      </c>
      <c r="P178" s="11">
        <v>0</v>
      </c>
      <c r="Q178" s="11">
        <v>298</v>
      </c>
      <c r="R178" s="11">
        <v>0</v>
      </c>
    </row>
    <row r="179" s="10" customFormat="1" spans="1:18">
      <c r="A179" s="11">
        <v>10011</v>
      </c>
      <c r="B179" s="11" t="s">
        <v>934</v>
      </c>
      <c r="C179" s="11" t="s">
        <v>50</v>
      </c>
      <c r="D179" s="11">
        <v>1</v>
      </c>
      <c r="E179" s="24">
        <v>1</v>
      </c>
      <c r="F179" s="11" t="s">
        <v>927</v>
      </c>
      <c r="G179" s="11">
        <v>1</v>
      </c>
      <c r="H179" s="11">
        <v>2</v>
      </c>
      <c r="I179" s="11">
        <v>0</v>
      </c>
      <c r="J179" s="11">
        <v>0</v>
      </c>
      <c r="K179" s="11">
        <v>0</v>
      </c>
      <c r="L179" s="11">
        <v>1</v>
      </c>
      <c r="M179" s="11">
        <f t="shared" si="3"/>
        <v>1</v>
      </c>
      <c r="N179" s="11">
        <v>0</v>
      </c>
      <c r="O179" s="11">
        <v>0</v>
      </c>
      <c r="P179" s="11">
        <v>0</v>
      </c>
      <c r="Q179" s="11">
        <v>298</v>
      </c>
      <c r="R179" s="11">
        <v>0</v>
      </c>
    </row>
    <row r="180" s="10" customFormat="1" spans="1:18">
      <c r="A180" s="11">
        <v>10012</v>
      </c>
      <c r="B180" s="11" t="s">
        <v>935</v>
      </c>
      <c r="C180" s="11" t="s">
        <v>50</v>
      </c>
      <c r="D180" s="11">
        <v>2</v>
      </c>
      <c r="E180" s="24">
        <v>1</v>
      </c>
      <c r="F180" s="11" t="s">
        <v>927</v>
      </c>
      <c r="G180" s="11">
        <v>1</v>
      </c>
      <c r="H180" s="11">
        <v>2</v>
      </c>
      <c r="I180" s="11">
        <v>0</v>
      </c>
      <c r="J180" s="11">
        <v>0</v>
      </c>
      <c r="K180" s="11">
        <v>0</v>
      </c>
      <c r="L180" s="11">
        <v>1</v>
      </c>
      <c r="M180" s="11">
        <f t="shared" si="3"/>
        <v>1</v>
      </c>
      <c r="N180" s="11">
        <v>0</v>
      </c>
      <c r="O180" s="11">
        <v>0</v>
      </c>
      <c r="P180" s="11">
        <v>0</v>
      </c>
      <c r="Q180" s="11">
        <v>298</v>
      </c>
      <c r="R180" s="11">
        <v>0</v>
      </c>
    </row>
    <row r="181" s="10" customFormat="1" spans="1:18">
      <c r="A181" s="11">
        <v>10013</v>
      </c>
      <c r="B181" s="11" t="s">
        <v>936</v>
      </c>
      <c r="C181" s="11" t="s">
        <v>50</v>
      </c>
      <c r="D181" s="11">
        <v>2</v>
      </c>
      <c r="E181" s="24">
        <v>1</v>
      </c>
      <c r="F181" s="11" t="s">
        <v>927</v>
      </c>
      <c r="G181" s="11">
        <v>1</v>
      </c>
      <c r="H181" s="11">
        <v>2</v>
      </c>
      <c r="I181" s="11">
        <v>0</v>
      </c>
      <c r="J181" s="11">
        <v>0</v>
      </c>
      <c r="K181" s="11">
        <v>0</v>
      </c>
      <c r="L181" s="11">
        <v>1</v>
      </c>
      <c r="M181" s="11">
        <f t="shared" si="3"/>
        <v>1</v>
      </c>
      <c r="N181" s="11">
        <v>0</v>
      </c>
      <c r="O181" s="11">
        <v>0</v>
      </c>
      <c r="P181" s="11">
        <v>0</v>
      </c>
      <c r="Q181" s="11">
        <v>298</v>
      </c>
      <c r="R181" s="11">
        <v>0</v>
      </c>
    </row>
    <row r="182" s="10" customFormat="1" spans="1:18">
      <c r="A182" s="11">
        <v>10014</v>
      </c>
      <c r="B182" s="11" t="s">
        <v>937</v>
      </c>
      <c r="C182" s="11" t="s">
        <v>50</v>
      </c>
      <c r="D182" s="11">
        <v>3</v>
      </c>
      <c r="E182" s="24">
        <v>2</v>
      </c>
      <c r="F182" s="11" t="s">
        <v>927</v>
      </c>
      <c r="G182" s="11">
        <v>1</v>
      </c>
      <c r="H182" s="11">
        <v>2</v>
      </c>
      <c r="I182" s="11">
        <v>0</v>
      </c>
      <c r="J182" s="11">
        <v>0</v>
      </c>
      <c r="K182" s="11">
        <v>0</v>
      </c>
      <c r="L182" s="11">
        <v>1</v>
      </c>
      <c r="M182" s="11">
        <f t="shared" si="3"/>
        <v>1</v>
      </c>
      <c r="N182" s="11">
        <v>0</v>
      </c>
      <c r="O182" s="11">
        <v>0</v>
      </c>
      <c r="P182" s="11">
        <v>0</v>
      </c>
      <c r="Q182" s="11">
        <v>298</v>
      </c>
      <c r="R182" s="11">
        <v>0</v>
      </c>
    </row>
    <row r="183" s="10" customFormat="1" spans="1:18">
      <c r="A183" s="11">
        <v>10015</v>
      </c>
      <c r="B183" s="11" t="s">
        <v>938</v>
      </c>
      <c r="C183" s="11" t="s">
        <v>50</v>
      </c>
      <c r="D183" s="11">
        <v>3</v>
      </c>
      <c r="E183" s="24">
        <v>2</v>
      </c>
      <c r="F183" s="11" t="s">
        <v>927</v>
      </c>
      <c r="G183" s="11">
        <v>1</v>
      </c>
      <c r="H183" s="11">
        <v>2</v>
      </c>
      <c r="I183" s="11">
        <v>0</v>
      </c>
      <c r="J183" s="11">
        <v>0</v>
      </c>
      <c r="K183" s="11">
        <v>0</v>
      </c>
      <c r="L183" s="11">
        <v>1</v>
      </c>
      <c r="M183" s="11">
        <f t="shared" si="3"/>
        <v>1</v>
      </c>
      <c r="N183" s="11">
        <v>0</v>
      </c>
      <c r="O183" s="11">
        <v>0</v>
      </c>
      <c r="P183" s="11">
        <v>0</v>
      </c>
      <c r="Q183" s="11">
        <v>298</v>
      </c>
      <c r="R183" s="11">
        <v>0</v>
      </c>
    </row>
    <row r="184" s="10" customFormat="1" spans="1:18">
      <c r="A184" s="11">
        <v>10016</v>
      </c>
      <c r="B184" s="11" t="s">
        <v>939</v>
      </c>
      <c r="C184" s="11" t="s">
        <v>50</v>
      </c>
      <c r="D184" s="11">
        <v>4</v>
      </c>
      <c r="E184" s="24">
        <v>3</v>
      </c>
      <c r="F184" s="11" t="s">
        <v>927</v>
      </c>
      <c r="G184" s="11">
        <v>1</v>
      </c>
      <c r="H184" s="11">
        <v>2</v>
      </c>
      <c r="I184" s="11">
        <v>0</v>
      </c>
      <c r="J184" s="11">
        <v>0</v>
      </c>
      <c r="K184" s="11">
        <v>0</v>
      </c>
      <c r="L184" s="11">
        <v>1</v>
      </c>
      <c r="M184" s="11">
        <f t="shared" si="3"/>
        <v>1</v>
      </c>
      <c r="N184" s="11">
        <v>0</v>
      </c>
      <c r="O184" s="11">
        <v>0</v>
      </c>
      <c r="P184" s="11">
        <v>0</v>
      </c>
      <c r="Q184" s="11">
        <v>298</v>
      </c>
      <c r="R184" s="11">
        <v>0</v>
      </c>
    </row>
    <row r="185" s="10" customFormat="1" spans="1:18">
      <c r="A185" s="11">
        <v>10017</v>
      </c>
      <c r="B185" s="11" t="s">
        <v>940</v>
      </c>
      <c r="C185" s="11" t="s">
        <v>50</v>
      </c>
      <c r="D185" s="11">
        <v>4</v>
      </c>
      <c r="E185" s="24">
        <v>3</v>
      </c>
      <c r="F185" s="11" t="s">
        <v>927</v>
      </c>
      <c r="G185" s="11">
        <v>1</v>
      </c>
      <c r="H185" s="11">
        <v>2</v>
      </c>
      <c r="I185" s="11">
        <v>0</v>
      </c>
      <c r="J185" s="11">
        <v>0</v>
      </c>
      <c r="K185" s="11">
        <v>0</v>
      </c>
      <c r="L185" s="11">
        <v>1</v>
      </c>
      <c r="M185" s="11">
        <f t="shared" si="3"/>
        <v>1</v>
      </c>
      <c r="N185" s="11">
        <v>0</v>
      </c>
      <c r="O185" s="11">
        <v>0</v>
      </c>
      <c r="P185" s="11">
        <v>0</v>
      </c>
      <c r="Q185" s="11">
        <v>298</v>
      </c>
      <c r="R185" s="11">
        <v>0</v>
      </c>
    </row>
    <row r="186" s="10" customFormat="1" spans="1:18">
      <c r="A186" s="11">
        <v>10101</v>
      </c>
      <c r="B186" s="11" t="s">
        <v>399</v>
      </c>
      <c r="C186" s="11" t="s">
        <v>50</v>
      </c>
      <c r="D186" s="11">
        <v>2</v>
      </c>
      <c r="E186" s="24">
        <v>0</v>
      </c>
      <c r="F186" s="11" t="s">
        <v>914</v>
      </c>
      <c r="G186" s="11">
        <v>1</v>
      </c>
      <c r="H186" s="11">
        <v>4</v>
      </c>
      <c r="I186" s="11">
        <v>0</v>
      </c>
      <c r="J186" s="11">
        <v>0</v>
      </c>
      <c r="K186" s="11">
        <v>0</v>
      </c>
      <c r="L186" s="11">
        <v>1</v>
      </c>
      <c r="M186" s="11">
        <v>1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</row>
    <row r="187" s="10" customFormat="1" spans="1:18">
      <c r="A187" s="11">
        <v>10102</v>
      </c>
      <c r="B187" s="11" t="s">
        <v>402</v>
      </c>
      <c r="C187" s="11" t="s">
        <v>50</v>
      </c>
      <c r="D187" s="11">
        <v>2</v>
      </c>
      <c r="E187" s="24">
        <v>0</v>
      </c>
      <c r="F187" s="11" t="s">
        <v>915</v>
      </c>
      <c r="G187" s="11">
        <v>1</v>
      </c>
      <c r="H187" s="11">
        <v>4</v>
      </c>
      <c r="I187" s="11">
        <v>0</v>
      </c>
      <c r="J187" s="11">
        <v>0</v>
      </c>
      <c r="K187" s="11">
        <v>0</v>
      </c>
      <c r="L187" s="11">
        <v>1</v>
      </c>
      <c r="M187" s="11">
        <v>1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</row>
    <row r="188" s="10" customFormat="1" spans="1:18">
      <c r="A188" s="11">
        <v>10103</v>
      </c>
      <c r="B188" s="11" t="s">
        <v>405</v>
      </c>
      <c r="C188" s="11" t="s">
        <v>50</v>
      </c>
      <c r="D188" s="11">
        <v>2</v>
      </c>
      <c r="E188" s="24">
        <v>0</v>
      </c>
      <c r="F188" s="11" t="s">
        <v>916</v>
      </c>
      <c r="G188" s="11">
        <v>1</v>
      </c>
      <c r="H188" s="11">
        <v>4</v>
      </c>
      <c r="I188" s="11">
        <v>0</v>
      </c>
      <c r="J188" s="11">
        <v>0</v>
      </c>
      <c r="K188" s="11">
        <v>0</v>
      </c>
      <c r="L188" s="11">
        <v>1</v>
      </c>
      <c r="M188" s="11">
        <v>1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</row>
    <row r="189" s="10" customFormat="1" spans="1:18">
      <c r="A189" s="11">
        <v>10104</v>
      </c>
      <c r="B189" s="11" t="s">
        <v>408</v>
      </c>
      <c r="C189" s="11" t="s">
        <v>50</v>
      </c>
      <c r="D189" s="11">
        <v>2</v>
      </c>
      <c r="E189" s="24">
        <v>0</v>
      </c>
      <c r="F189" s="11" t="s">
        <v>917</v>
      </c>
      <c r="G189" s="11">
        <v>1</v>
      </c>
      <c r="H189" s="11">
        <v>4</v>
      </c>
      <c r="I189" s="11">
        <v>0</v>
      </c>
      <c r="J189" s="11">
        <v>0</v>
      </c>
      <c r="K189" s="11">
        <v>0</v>
      </c>
      <c r="L189" s="11">
        <v>1</v>
      </c>
      <c r="M189" s="11">
        <v>1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</row>
    <row r="190" s="10" customFormat="1" spans="1:18">
      <c r="A190" s="11">
        <v>10105</v>
      </c>
      <c r="B190" s="11" t="s">
        <v>411</v>
      </c>
      <c r="C190" s="11" t="s">
        <v>50</v>
      </c>
      <c r="D190" s="11">
        <v>2</v>
      </c>
      <c r="E190" s="24">
        <v>0</v>
      </c>
      <c r="F190" s="11" t="s">
        <v>918</v>
      </c>
      <c r="G190" s="11">
        <v>1</v>
      </c>
      <c r="H190" s="11">
        <v>4</v>
      </c>
      <c r="I190" s="11">
        <v>0</v>
      </c>
      <c r="J190" s="11">
        <v>0</v>
      </c>
      <c r="K190" s="11">
        <v>0</v>
      </c>
      <c r="L190" s="11">
        <v>1</v>
      </c>
      <c r="M190" s="11">
        <v>1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</row>
    <row r="191" s="10" customFormat="1" spans="1:18">
      <c r="A191" s="11">
        <v>10106</v>
      </c>
      <c r="B191" s="11" t="s">
        <v>414</v>
      </c>
      <c r="C191" s="11" t="s">
        <v>50</v>
      </c>
      <c r="D191" s="11">
        <v>2</v>
      </c>
      <c r="E191" s="24">
        <v>0</v>
      </c>
      <c r="F191" s="11" t="s">
        <v>919</v>
      </c>
      <c r="G191" s="11">
        <v>1</v>
      </c>
      <c r="H191" s="11">
        <v>4</v>
      </c>
      <c r="I191" s="11">
        <v>0</v>
      </c>
      <c r="J191" s="11">
        <v>0</v>
      </c>
      <c r="K191" s="11">
        <v>0</v>
      </c>
      <c r="L191" s="11">
        <v>1</v>
      </c>
      <c r="M191" s="11">
        <v>1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</row>
    <row r="192" s="10" customFormat="1" spans="1:18">
      <c r="A192" s="11">
        <v>10107</v>
      </c>
      <c r="B192" s="11" t="s">
        <v>429</v>
      </c>
      <c r="C192" s="11" t="s">
        <v>50</v>
      </c>
      <c r="D192" s="11">
        <v>3</v>
      </c>
      <c r="E192" s="24">
        <v>0</v>
      </c>
      <c r="F192" s="11" t="s">
        <v>920</v>
      </c>
      <c r="G192" s="11">
        <v>1</v>
      </c>
      <c r="H192" s="11">
        <v>4</v>
      </c>
      <c r="I192" s="11">
        <v>0</v>
      </c>
      <c r="J192" s="11">
        <v>0</v>
      </c>
      <c r="K192" s="11">
        <v>0</v>
      </c>
      <c r="L192" s="11">
        <v>1</v>
      </c>
      <c r="M192" s="11">
        <v>1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</row>
    <row r="193" s="10" customFormat="1" spans="1:18">
      <c r="A193" s="11">
        <v>10108</v>
      </c>
      <c r="B193" s="11" t="s">
        <v>431</v>
      </c>
      <c r="C193" s="11" t="s">
        <v>50</v>
      </c>
      <c r="D193" s="11">
        <v>3</v>
      </c>
      <c r="E193" s="24">
        <v>0</v>
      </c>
      <c r="F193" s="11" t="s">
        <v>921</v>
      </c>
      <c r="G193" s="11">
        <v>1</v>
      </c>
      <c r="H193" s="11">
        <v>4</v>
      </c>
      <c r="I193" s="11">
        <v>0</v>
      </c>
      <c r="J193" s="11">
        <v>0</v>
      </c>
      <c r="K193" s="11">
        <v>0</v>
      </c>
      <c r="L193" s="11">
        <v>1</v>
      </c>
      <c r="M193" s="11">
        <v>1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</row>
    <row r="194" s="10" customFormat="1" spans="1:18">
      <c r="A194" s="11">
        <v>10109</v>
      </c>
      <c r="B194" s="11" t="s">
        <v>433</v>
      </c>
      <c r="C194" s="11" t="s">
        <v>50</v>
      </c>
      <c r="D194" s="11">
        <v>3</v>
      </c>
      <c r="E194" s="24">
        <v>0</v>
      </c>
      <c r="F194" s="11" t="s">
        <v>922</v>
      </c>
      <c r="G194" s="11">
        <v>1</v>
      </c>
      <c r="H194" s="11">
        <v>4</v>
      </c>
      <c r="I194" s="11">
        <v>0</v>
      </c>
      <c r="J194" s="11">
        <v>0</v>
      </c>
      <c r="K194" s="11">
        <v>0</v>
      </c>
      <c r="L194" s="11">
        <v>1</v>
      </c>
      <c r="M194" s="11">
        <v>1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</row>
    <row r="195" s="10" customFormat="1" spans="1:18">
      <c r="A195" s="11">
        <v>10110</v>
      </c>
      <c r="B195" s="11" t="s">
        <v>435</v>
      </c>
      <c r="C195" s="11" t="s">
        <v>50</v>
      </c>
      <c r="D195" s="11">
        <v>3</v>
      </c>
      <c r="E195" s="24">
        <v>0</v>
      </c>
      <c r="F195" s="11" t="s">
        <v>923</v>
      </c>
      <c r="G195" s="11">
        <v>1</v>
      </c>
      <c r="H195" s="11">
        <v>4</v>
      </c>
      <c r="I195" s="11">
        <v>0</v>
      </c>
      <c r="J195" s="11">
        <v>0</v>
      </c>
      <c r="K195" s="11">
        <v>0</v>
      </c>
      <c r="L195" s="11">
        <v>1</v>
      </c>
      <c r="M195" s="11">
        <v>1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</row>
    <row r="196" s="10" customFormat="1" spans="1:18">
      <c r="A196" s="11">
        <v>10111</v>
      </c>
      <c r="B196" s="11" t="s">
        <v>437</v>
      </c>
      <c r="C196" s="11" t="s">
        <v>50</v>
      </c>
      <c r="D196" s="11">
        <v>3</v>
      </c>
      <c r="E196" s="24">
        <v>0</v>
      </c>
      <c r="F196" s="11" t="s">
        <v>924</v>
      </c>
      <c r="G196" s="11">
        <v>1</v>
      </c>
      <c r="H196" s="11">
        <v>4</v>
      </c>
      <c r="I196" s="11">
        <v>0</v>
      </c>
      <c r="J196" s="11">
        <v>0</v>
      </c>
      <c r="K196" s="11">
        <v>0</v>
      </c>
      <c r="L196" s="11">
        <v>1</v>
      </c>
      <c r="M196" s="11">
        <v>1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</row>
    <row r="197" s="10" customFormat="1" spans="1:18">
      <c r="A197" s="11">
        <v>10112</v>
      </c>
      <c r="B197" s="11" t="s">
        <v>439</v>
      </c>
      <c r="C197" s="11" t="s">
        <v>50</v>
      </c>
      <c r="D197" s="11">
        <v>3</v>
      </c>
      <c r="E197" s="24">
        <v>0</v>
      </c>
      <c r="F197" s="11" t="s">
        <v>925</v>
      </c>
      <c r="G197" s="11">
        <v>1</v>
      </c>
      <c r="H197" s="11">
        <v>4</v>
      </c>
      <c r="I197" s="11">
        <v>0</v>
      </c>
      <c r="J197" s="11">
        <v>0</v>
      </c>
      <c r="K197" s="11">
        <v>0</v>
      </c>
      <c r="L197" s="11">
        <v>1</v>
      </c>
      <c r="M197" s="11">
        <v>1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</row>
    <row r="198" s="10" customFormat="1" spans="1:18">
      <c r="A198" s="11">
        <v>10113</v>
      </c>
      <c r="B198" s="11" t="s">
        <v>449</v>
      </c>
      <c r="C198" s="11" t="s">
        <v>50</v>
      </c>
      <c r="D198" s="11">
        <v>4</v>
      </c>
      <c r="E198" s="24">
        <v>0</v>
      </c>
      <c r="F198" s="11" t="s">
        <v>914</v>
      </c>
      <c r="G198" s="11">
        <v>1</v>
      </c>
      <c r="H198" s="11">
        <v>4</v>
      </c>
      <c r="I198" s="11">
        <v>0</v>
      </c>
      <c r="J198" s="11">
        <v>0</v>
      </c>
      <c r="K198" s="11">
        <v>0</v>
      </c>
      <c r="L198" s="11">
        <v>1</v>
      </c>
      <c r="M198" s="11">
        <v>1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</row>
    <row r="199" s="10" customFormat="1" spans="1:18">
      <c r="A199" s="11">
        <v>10114</v>
      </c>
      <c r="B199" s="11" t="s">
        <v>451</v>
      </c>
      <c r="C199" s="11" t="s">
        <v>50</v>
      </c>
      <c r="D199" s="11">
        <v>4</v>
      </c>
      <c r="E199" s="24">
        <v>0</v>
      </c>
      <c r="F199" s="11" t="s">
        <v>915</v>
      </c>
      <c r="G199" s="11">
        <v>1</v>
      </c>
      <c r="H199" s="11">
        <v>4</v>
      </c>
      <c r="I199" s="11">
        <v>0</v>
      </c>
      <c r="J199" s="11">
        <v>0</v>
      </c>
      <c r="K199" s="11">
        <v>0</v>
      </c>
      <c r="L199" s="11">
        <v>1</v>
      </c>
      <c r="M199" s="11">
        <v>1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</row>
    <row r="200" s="10" customFormat="1" spans="1:18">
      <c r="A200" s="11">
        <v>10115</v>
      </c>
      <c r="B200" s="11" t="s">
        <v>453</v>
      </c>
      <c r="C200" s="11" t="s">
        <v>50</v>
      </c>
      <c r="D200" s="11">
        <v>4</v>
      </c>
      <c r="E200" s="24">
        <v>0</v>
      </c>
      <c r="F200" s="11" t="s">
        <v>916</v>
      </c>
      <c r="G200" s="11">
        <v>1</v>
      </c>
      <c r="H200" s="11">
        <v>4</v>
      </c>
      <c r="I200" s="11">
        <v>0</v>
      </c>
      <c r="J200" s="11">
        <v>0</v>
      </c>
      <c r="K200" s="11">
        <v>0</v>
      </c>
      <c r="L200" s="11">
        <v>1</v>
      </c>
      <c r="M200" s="11">
        <v>1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</row>
    <row r="201" s="10" customFormat="1" spans="1:18">
      <c r="A201" s="11">
        <v>10116</v>
      </c>
      <c r="B201" s="11" t="s">
        <v>455</v>
      </c>
      <c r="C201" s="11" t="s">
        <v>50</v>
      </c>
      <c r="D201" s="11">
        <v>4</v>
      </c>
      <c r="E201" s="24">
        <v>0</v>
      </c>
      <c r="F201" s="11" t="s">
        <v>917</v>
      </c>
      <c r="G201" s="11">
        <v>1</v>
      </c>
      <c r="H201" s="11">
        <v>4</v>
      </c>
      <c r="I201" s="11">
        <v>0</v>
      </c>
      <c r="J201" s="11">
        <v>0</v>
      </c>
      <c r="K201" s="11">
        <v>0</v>
      </c>
      <c r="L201" s="11">
        <v>1</v>
      </c>
      <c r="M201" s="11">
        <v>1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</row>
    <row r="202" s="10" customFormat="1" spans="1:18">
      <c r="A202" s="11">
        <v>10117</v>
      </c>
      <c r="B202" s="11" t="s">
        <v>457</v>
      </c>
      <c r="C202" s="11" t="s">
        <v>50</v>
      </c>
      <c r="D202" s="11">
        <v>4</v>
      </c>
      <c r="E202" s="24">
        <v>0</v>
      </c>
      <c r="F202" s="11" t="s">
        <v>918</v>
      </c>
      <c r="G202" s="11">
        <v>1</v>
      </c>
      <c r="H202" s="11">
        <v>4</v>
      </c>
      <c r="I202" s="11">
        <v>0</v>
      </c>
      <c r="J202" s="11">
        <v>0</v>
      </c>
      <c r="K202" s="11">
        <v>0</v>
      </c>
      <c r="L202" s="11">
        <v>1</v>
      </c>
      <c r="M202" s="11">
        <v>1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</row>
    <row r="203" s="10" customFormat="1" spans="1:18">
      <c r="A203" s="11">
        <v>10118</v>
      </c>
      <c r="B203" s="11" t="s">
        <v>459</v>
      </c>
      <c r="C203" s="11" t="s">
        <v>50</v>
      </c>
      <c r="D203" s="11">
        <v>4</v>
      </c>
      <c r="E203" s="24">
        <v>0</v>
      </c>
      <c r="F203" s="11" t="s">
        <v>919</v>
      </c>
      <c r="G203" s="11">
        <v>1</v>
      </c>
      <c r="H203" s="11">
        <v>4</v>
      </c>
      <c r="I203" s="11">
        <v>0</v>
      </c>
      <c r="J203" s="11">
        <v>0</v>
      </c>
      <c r="K203" s="11">
        <v>0</v>
      </c>
      <c r="L203" s="11">
        <v>1</v>
      </c>
      <c r="M203" s="11">
        <v>1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</row>
    <row r="204" s="10" customFormat="1" spans="1:18">
      <c r="A204" s="11">
        <v>10119</v>
      </c>
      <c r="B204" s="11" t="s">
        <v>941</v>
      </c>
      <c r="C204" s="11" t="s">
        <v>50</v>
      </c>
      <c r="D204" s="11">
        <v>2</v>
      </c>
      <c r="E204" s="24">
        <v>0</v>
      </c>
      <c r="F204" s="11" t="s">
        <v>920</v>
      </c>
      <c r="G204" s="11">
        <v>1</v>
      </c>
      <c r="H204" s="11">
        <v>4</v>
      </c>
      <c r="I204" s="11">
        <v>0</v>
      </c>
      <c r="J204" s="11">
        <v>0</v>
      </c>
      <c r="K204" s="11">
        <v>0</v>
      </c>
      <c r="L204" s="11">
        <v>1</v>
      </c>
      <c r="M204" s="11">
        <v>1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</row>
    <row r="205" s="10" customFormat="1" spans="1:18">
      <c r="A205" s="11">
        <v>10120</v>
      </c>
      <c r="B205" s="11" t="s">
        <v>942</v>
      </c>
      <c r="C205" s="11" t="s">
        <v>50</v>
      </c>
      <c r="D205" s="11">
        <v>3</v>
      </c>
      <c r="E205" s="24">
        <v>0</v>
      </c>
      <c r="F205" s="11" t="s">
        <v>921</v>
      </c>
      <c r="G205" s="11">
        <v>1</v>
      </c>
      <c r="H205" s="11">
        <v>4</v>
      </c>
      <c r="I205" s="11">
        <v>0</v>
      </c>
      <c r="J205" s="11">
        <v>0</v>
      </c>
      <c r="K205" s="11">
        <v>0</v>
      </c>
      <c r="L205" s="11">
        <v>1</v>
      </c>
      <c r="M205" s="11">
        <v>1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</row>
    <row r="206" s="10" customFormat="1" spans="1:18">
      <c r="A206" s="11">
        <v>10121</v>
      </c>
      <c r="B206" s="11" t="s">
        <v>943</v>
      </c>
      <c r="C206" s="11" t="s">
        <v>50</v>
      </c>
      <c r="D206" s="11">
        <v>4</v>
      </c>
      <c r="E206" s="24">
        <v>0</v>
      </c>
      <c r="F206" s="11" t="s">
        <v>922</v>
      </c>
      <c r="G206" s="11">
        <v>1</v>
      </c>
      <c r="H206" s="11">
        <v>4</v>
      </c>
      <c r="I206" s="11">
        <v>0</v>
      </c>
      <c r="J206" s="11">
        <v>0</v>
      </c>
      <c r="K206" s="11">
        <v>0</v>
      </c>
      <c r="L206" s="11">
        <v>1</v>
      </c>
      <c r="M206" s="11">
        <v>1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</row>
    <row r="207" s="10" customFormat="1" spans="1:18">
      <c r="A207" s="11">
        <v>10122</v>
      </c>
      <c r="B207" s="11" t="s">
        <v>944</v>
      </c>
      <c r="C207" s="11" t="s">
        <v>50</v>
      </c>
      <c r="D207" s="11">
        <v>2</v>
      </c>
      <c r="E207" s="24">
        <v>0</v>
      </c>
      <c r="F207" s="11" t="s">
        <v>923</v>
      </c>
      <c r="G207" s="11">
        <v>1</v>
      </c>
      <c r="H207" s="11">
        <v>4</v>
      </c>
      <c r="I207" s="11">
        <v>0</v>
      </c>
      <c r="J207" s="11">
        <v>0</v>
      </c>
      <c r="K207" s="11">
        <v>0</v>
      </c>
      <c r="L207" s="11">
        <v>1</v>
      </c>
      <c r="M207" s="11">
        <v>1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</row>
    <row r="208" s="10" customFormat="1" spans="1:18">
      <c r="A208" s="11">
        <v>10123</v>
      </c>
      <c r="B208" s="11" t="s">
        <v>945</v>
      </c>
      <c r="C208" s="11" t="s">
        <v>50</v>
      </c>
      <c r="D208" s="11">
        <v>3</v>
      </c>
      <c r="E208" s="24">
        <v>0</v>
      </c>
      <c r="F208" s="11" t="s">
        <v>924</v>
      </c>
      <c r="G208" s="11">
        <v>1</v>
      </c>
      <c r="H208" s="11">
        <v>4</v>
      </c>
      <c r="I208" s="11">
        <v>0</v>
      </c>
      <c r="J208" s="11">
        <v>0</v>
      </c>
      <c r="K208" s="11">
        <v>0</v>
      </c>
      <c r="L208" s="11">
        <v>1</v>
      </c>
      <c r="M208" s="11">
        <v>1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</row>
    <row r="209" s="10" customFormat="1" spans="1:18">
      <c r="A209" s="11">
        <v>10124</v>
      </c>
      <c r="B209" s="11" t="s">
        <v>946</v>
      </c>
      <c r="C209" s="11" t="s">
        <v>50</v>
      </c>
      <c r="D209" s="11">
        <v>4</v>
      </c>
      <c r="E209" s="24">
        <v>0</v>
      </c>
      <c r="F209" s="11" t="s">
        <v>925</v>
      </c>
      <c r="G209" s="11">
        <v>1</v>
      </c>
      <c r="H209" s="11">
        <v>4</v>
      </c>
      <c r="I209" s="11">
        <v>0</v>
      </c>
      <c r="J209" s="11">
        <v>0</v>
      </c>
      <c r="K209" s="11">
        <v>0</v>
      </c>
      <c r="L209" s="11">
        <v>1</v>
      </c>
      <c r="M209" s="11">
        <v>1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</row>
    <row r="210" s="10" customFormat="1" spans="1:18">
      <c r="A210" s="11">
        <v>11001</v>
      </c>
      <c r="B210" s="11" t="s">
        <v>476</v>
      </c>
      <c r="C210" s="11" t="s">
        <v>50</v>
      </c>
      <c r="D210" s="11">
        <v>4</v>
      </c>
      <c r="E210" s="24">
        <v>0</v>
      </c>
      <c r="F210" s="11" t="s">
        <v>927</v>
      </c>
      <c r="G210" s="11">
        <v>1</v>
      </c>
      <c r="H210" s="11">
        <v>2</v>
      </c>
      <c r="I210" s="11">
        <v>0</v>
      </c>
      <c r="J210" s="11">
        <v>0</v>
      </c>
      <c r="K210" s="11">
        <v>0</v>
      </c>
      <c r="L210" s="11">
        <v>1</v>
      </c>
      <c r="M210" s="11">
        <f>IF(G210=1,1,0)</f>
        <v>1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</row>
    <row r="211" s="10" customFormat="1" spans="1:18">
      <c r="A211" s="11">
        <v>11002</v>
      </c>
      <c r="B211" s="11" t="s">
        <v>479</v>
      </c>
      <c r="C211" s="11" t="s">
        <v>480</v>
      </c>
      <c r="D211" s="11">
        <v>4</v>
      </c>
      <c r="E211" s="24">
        <v>0</v>
      </c>
      <c r="F211" s="11" t="s">
        <v>925</v>
      </c>
      <c r="G211" s="11">
        <v>1</v>
      </c>
      <c r="H211" s="11">
        <v>4</v>
      </c>
      <c r="I211" s="11">
        <v>0</v>
      </c>
      <c r="J211" s="11" t="s">
        <v>482</v>
      </c>
      <c r="K211" s="11">
        <v>0</v>
      </c>
      <c r="L211" s="11">
        <v>1</v>
      </c>
      <c r="M211" s="11">
        <v>1</v>
      </c>
      <c r="N211" s="11">
        <v>1</v>
      </c>
      <c r="O211" s="11">
        <v>1</v>
      </c>
      <c r="P211" s="11">
        <v>0</v>
      </c>
      <c r="Q211" s="11">
        <v>0</v>
      </c>
      <c r="R211" s="11">
        <v>0</v>
      </c>
    </row>
    <row r="212" s="10" customFormat="1" spans="1:18">
      <c r="A212" s="11">
        <v>11003</v>
      </c>
      <c r="B212" s="11" t="s">
        <v>483</v>
      </c>
      <c r="C212" s="11" t="s">
        <v>484</v>
      </c>
      <c r="D212" s="11">
        <v>4</v>
      </c>
      <c r="E212" s="24">
        <v>0</v>
      </c>
      <c r="F212" s="11" t="s">
        <v>927</v>
      </c>
      <c r="G212" s="11">
        <v>1</v>
      </c>
      <c r="H212" s="11">
        <v>4</v>
      </c>
      <c r="I212" s="11">
        <v>0</v>
      </c>
      <c r="J212" s="11" t="s">
        <v>486</v>
      </c>
      <c r="K212" s="11">
        <v>0</v>
      </c>
      <c r="L212" s="11">
        <v>1</v>
      </c>
      <c r="M212" s="11">
        <f t="shared" ref="M212:M276" si="4">IF(G212=1,1,0)</f>
        <v>1</v>
      </c>
      <c r="N212" s="11">
        <v>1</v>
      </c>
      <c r="O212" s="11">
        <v>10</v>
      </c>
      <c r="P212" s="11">
        <v>0</v>
      </c>
      <c r="Q212" s="11">
        <v>0</v>
      </c>
      <c r="R212" s="11">
        <v>0</v>
      </c>
    </row>
    <row r="213" s="10" customFormat="1" spans="1:18">
      <c r="A213" s="11">
        <v>20001</v>
      </c>
      <c r="B213" s="11" t="s">
        <v>947</v>
      </c>
      <c r="C213" s="11" t="s">
        <v>50</v>
      </c>
      <c r="D213" s="11">
        <v>4</v>
      </c>
      <c r="E213" s="24">
        <v>0</v>
      </c>
      <c r="F213" s="11" t="s">
        <v>927</v>
      </c>
      <c r="G213" s="11">
        <v>1</v>
      </c>
      <c r="H213" s="11">
        <v>5</v>
      </c>
      <c r="I213" s="11">
        <v>0</v>
      </c>
      <c r="J213" s="11">
        <v>0</v>
      </c>
      <c r="K213" s="25" t="s">
        <v>503</v>
      </c>
      <c r="L213" s="11">
        <v>1</v>
      </c>
      <c r="M213" s="11">
        <f t="shared" si="4"/>
        <v>1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</row>
    <row r="214" s="10" customFormat="1" spans="1:18">
      <c r="A214" s="11">
        <v>101001</v>
      </c>
      <c r="B214" s="11" t="s">
        <v>948</v>
      </c>
      <c r="C214" s="11" t="s">
        <v>50</v>
      </c>
      <c r="D214" s="11">
        <v>4</v>
      </c>
      <c r="E214" s="24">
        <v>0</v>
      </c>
      <c r="F214" s="11" t="s">
        <v>930</v>
      </c>
      <c r="G214" s="11">
        <v>1</v>
      </c>
      <c r="H214" s="11">
        <v>3</v>
      </c>
      <c r="I214" s="11">
        <v>0</v>
      </c>
      <c r="J214" s="11">
        <v>0</v>
      </c>
      <c r="K214" s="11" t="s">
        <v>565</v>
      </c>
      <c r="L214" s="11">
        <v>1</v>
      </c>
      <c r="M214" s="11">
        <f t="shared" si="4"/>
        <v>1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</row>
    <row r="215" spans="1:18">
      <c r="E215" s="24"/>
    </row>
    <row r="216" spans="1:18">
      <c r="A216" s="11">
        <v>1010102</v>
      </c>
      <c r="B216" s="10" t="s">
        <v>949</v>
      </c>
      <c r="D216" s="10" t="str">
        <f>MID(A216,1,1)</f>
        <v>1</v>
      </c>
      <c r="E216" s="24">
        <f>IF(D216=1,D216,D216-1)</f>
        <v>0</v>
      </c>
      <c r="F216" s="10" t="str">
        <f>"equip_"&amp;IF(I216="1","wl","mf")&amp;IF(I216="2","sp",IF(I216="3","wq",IF(I216="4","yf","xz")))&amp;"_"&amp;MID(A216,1,1)&amp;MID(A216,5,1)&amp;MID(A216,7,1)</f>
        <v>equip_wlxz_112</v>
      </c>
      <c r="G216" s="10">
        <v>2</v>
      </c>
      <c r="H216" s="10" t="str">
        <f>MID(A216,7,1)</f>
        <v>2</v>
      </c>
      <c r="I216" s="10" t="str">
        <f>MID(A216,3,1)</f>
        <v>1</v>
      </c>
      <c r="J216" s="11">
        <v>0</v>
      </c>
      <c r="K216" s="11">
        <v>0</v>
      </c>
      <c r="L216" s="11">
        <v>1</v>
      </c>
      <c r="M216" s="11">
        <f t="shared" si="4"/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</row>
    <row r="217" spans="1:18">
      <c r="A217" s="11">
        <v>1010103</v>
      </c>
      <c r="B217" s="10" t="s">
        <v>950</v>
      </c>
      <c r="D217" s="10" t="str">
        <f t="shared" ref="D217:D225" si="5">MID(A217,1,1)</f>
        <v>1</v>
      </c>
      <c r="E217" s="24">
        <f t="shared" ref="E217:E230" si="6">IF(D217=1,D217,D217-1)</f>
        <v>0</v>
      </c>
      <c r="F217" s="10" t="str">
        <f t="shared" ref="F217:F248" si="7">"equip_"&amp;IF(I217="1","wl","mf")&amp;IF(I217="2","sp",IF(I217="3","wq",IF(I217="4","yf","xz")))&amp;"_"&amp;MID(A217,1,1)&amp;MID(A217,5,1)&amp;MID(A217,7,1)</f>
        <v>equip_wlxz_113</v>
      </c>
      <c r="G217" s="10">
        <v>2</v>
      </c>
      <c r="H217" s="10" t="str">
        <f t="shared" ref="H217:H248" si="8">MID(A217,7,1)</f>
        <v>3</v>
      </c>
      <c r="I217" s="10" t="str">
        <f t="shared" ref="I217:I248" si="9">MID(A217,3,1)</f>
        <v>1</v>
      </c>
      <c r="J217" s="11">
        <v>0</v>
      </c>
      <c r="K217" s="11">
        <v>0</v>
      </c>
      <c r="L217" s="11">
        <v>1</v>
      </c>
      <c r="M217" s="11">
        <f t="shared" si="4"/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</row>
    <row r="218" spans="1:18">
      <c r="A218" s="11">
        <v>1010104</v>
      </c>
      <c r="B218" s="10" t="s">
        <v>951</v>
      </c>
      <c r="D218" s="10" t="str">
        <f t="shared" si="5"/>
        <v>1</v>
      </c>
      <c r="E218" s="24">
        <f t="shared" si="6"/>
        <v>0</v>
      </c>
      <c r="F218" s="10" t="str">
        <f t="shared" si="7"/>
        <v>equip_wlxz_114</v>
      </c>
      <c r="G218" s="10">
        <v>2</v>
      </c>
      <c r="H218" s="10" t="str">
        <f t="shared" si="8"/>
        <v>4</v>
      </c>
      <c r="I218" s="10" t="str">
        <f t="shared" si="9"/>
        <v>1</v>
      </c>
      <c r="J218" s="11">
        <v>0</v>
      </c>
      <c r="K218" s="11">
        <v>0</v>
      </c>
      <c r="L218" s="11">
        <v>1</v>
      </c>
      <c r="M218" s="11">
        <f t="shared" si="4"/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</row>
    <row r="219" spans="1:18">
      <c r="A219" s="11">
        <v>1010105</v>
      </c>
      <c r="B219" s="10" t="s">
        <v>952</v>
      </c>
      <c r="D219" s="10" t="str">
        <f t="shared" si="5"/>
        <v>1</v>
      </c>
      <c r="E219" s="24">
        <f t="shared" si="6"/>
        <v>0</v>
      </c>
      <c r="F219" s="10" t="str">
        <f t="shared" si="7"/>
        <v>equip_wlxz_115</v>
      </c>
      <c r="G219" s="10">
        <v>2</v>
      </c>
      <c r="H219" s="10" t="str">
        <f t="shared" si="8"/>
        <v>5</v>
      </c>
      <c r="I219" s="10" t="str">
        <f t="shared" si="9"/>
        <v>1</v>
      </c>
      <c r="J219" s="11">
        <v>0</v>
      </c>
      <c r="K219" s="11">
        <v>0</v>
      </c>
      <c r="L219" s="11">
        <v>1</v>
      </c>
      <c r="M219" s="11">
        <f t="shared" si="4"/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</row>
    <row r="220" spans="1:18">
      <c r="A220" s="11">
        <v>2010102</v>
      </c>
      <c r="B220" s="10" t="s">
        <v>953</v>
      </c>
      <c r="D220" s="10" t="str">
        <f t="shared" si="5"/>
        <v>2</v>
      </c>
      <c r="E220" s="24">
        <f t="shared" si="6"/>
        <v>1</v>
      </c>
      <c r="F220" s="10" t="str">
        <f t="shared" si="7"/>
        <v>equip_wlxz_212</v>
      </c>
      <c r="G220" s="10">
        <v>2</v>
      </c>
      <c r="H220" s="10" t="str">
        <f t="shared" si="8"/>
        <v>2</v>
      </c>
      <c r="I220" s="10" t="str">
        <f t="shared" si="9"/>
        <v>1</v>
      </c>
      <c r="J220" s="11">
        <v>0</v>
      </c>
      <c r="K220" s="11">
        <v>0</v>
      </c>
      <c r="L220" s="11">
        <v>1</v>
      </c>
      <c r="M220" s="11">
        <f t="shared" si="4"/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</row>
    <row r="221" spans="1:18">
      <c r="A221" s="11">
        <v>2010103</v>
      </c>
      <c r="B221" s="10" t="s">
        <v>954</v>
      </c>
      <c r="D221" s="10" t="str">
        <f t="shared" si="5"/>
        <v>2</v>
      </c>
      <c r="E221" s="24">
        <f t="shared" si="6"/>
        <v>1</v>
      </c>
      <c r="F221" s="10" t="str">
        <f t="shared" si="7"/>
        <v>equip_wlxz_213</v>
      </c>
      <c r="G221" s="10">
        <v>2</v>
      </c>
      <c r="H221" s="10" t="str">
        <f t="shared" si="8"/>
        <v>3</v>
      </c>
      <c r="I221" s="10" t="str">
        <f t="shared" si="9"/>
        <v>1</v>
      </c>
      <c r="J221" s="11">
        <v>0</v>
      </c>
      <c r="K221" s="11">
        <v>0</v>
      </c>
      <c r="L221" s="11">
        <v>1</v>
      </c>
      <c r="M221" s="11">
        <f t="shared" si="4"/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</row>
    <row r="222" spans="1:18">
      <c r="A222" s="11">
        <v>2010104</v>
      </c>
      <c r="B222" s="10" t="s">
        <v>955</v>
      </c>
      <c r="D222" s="10" t="str">
        <f t="shared" si="5"/>
        <v>2</v>
      </c>
      <c r="E222" s="24">
        <f t="shared" si="6"/>
        <v>1</v>
      </c>
      <c r="F222" s="10" t="str">
        <f t="shared" si="7"/>
        <v>equip_wlxz_214</v>
      </c>
      <c r="G222" s="10">
        <v>2</v>
      </c>
      <c r="H222" s="10" t="str">
        <f t="shared" si="8"/>
        <v>4</v>
      </c>
      <c r="I222" s="10" t="str">
        <f t="shared" si="9"/>
        <v>1</v>
      </c>
      <c r="J222" s="11">
        <v>0</v>
      </c>
      <c r="K222" s="11">
        <v>0</v>
      </c>
      <c r="L222" s="11">
        <v>1</v>
      </c>
      <c r="M222" s="11">
        <f t="shared" si="4"/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</row>
    <row r="223" spans="1:18">
      <c r="A223" s="11">
        <v>2010105</v>
      </c>
      <c r="B223" s="10" t="s">
        <v>956</v>
      </c>
      <c r="D223" s="10" t="str">
        <f t="shared" si="5"/>
        <v>2</v>
      </c>
      <c r="E223" s="24">
        <f t="shared" si="6"/>
        <v>1</v>
      </c>
      <c r="F223" s="10" t="str">
        <f t="shared" si="7"/>
        <v>equip_wlxz_215</v>
      </c>
      <c r="G223" s="10">
        <v>2</v>
      </c>
      <c r="H223" s="10" t="str">
        <f t="shared" si="8"/>
        <v>5</v>
      </c>
      <c r="I223" s="10" t="str">
        <f t="shared" si="9"/>
        <v>1</v>
      </c>
      <c r="J223" s="11">
        <v>0</v>
      </c>
      <c r="K223" s="11">
        <v>0</v>
      </c>
      <c r="L223" s="11">
        <v>1</v>
      </c>
      <c r="M223" s="11">
        <f t="shared" si="4"/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</row>
    <row r="224" spans="1:18">
      <c r="A224" s="11">
        <v>2010202</v>
      </c>
      <c r="B224" s="10" t="s">
        <v>957</v>
      </c>
      <c r="D224" s="10" t="str">
        <f t="shared" si="5"/>
        <v>2</v>
      </c>
      <c r="E224" s="24">
        <f t="shared" si="6"/>
        <v>1</v>
      </c>
      <c r="F224" s="10" t="str">
        <f t="shared" si="7"/>
        <v>equip_wlxz_222</v>
      </c>
      <c r="G224" s="10">
        <v>2</v>
      </c>
      <c r="H224" s="10" t="str">
        <f t="shared" si="8"/>
        <v>2</v>
      </c>
      <c r="I224" s="10" t="str">
        <f t="shared" si="9"/>
        <v>1</v>
      </c>
      <c r="J224" s="11">
        <v>0</v>
      </c>
      <c r="K224" s="11">
        <v>0</v>
      </c>
      <c r="L224" s="11">
        <v>1</v>
      </c>
      <c r="M224" s="11">
        <f t="shared" si="4"/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</row>
    <row r="225" spans="1:18">
      <c r="A225" s="11">
        <v>2010203</v>
      </c>
      <c r="B225" s="10" t="s">
        <v>958</v>
      </c>
      <c r="D225" s="10" t="str">
        <f t="shared" si="5"/>
        <v>2</v>
      </c>
      <c r="E225" s="24">
        <f t="shared" si="6"/>
        <v>1</v>
      </c>
      <c r="F225" s="10" t="str">
        <f t="shared" si="7"/>
        <v>equip_wlxz_223</v>
      </c>
      <c r="G225" s="10">
        <v>2</v>
      </c>
      <c r="H225" s="10" t="str">
        <f t="shared" si="8"/>
        <v>3</v>
      </c>
      <c r="I225" s="10" t="str">
        <f t="shared" si="9"/>
        <v>1</v>
      </c>
      <c r="J225" s="11">
        <v>0</v>
      </c>
      <c r="K225" s="11">
        <v>0</v>
      </c>
      <c r="L225" s="11">
        <v>1</v>
      </c>
      <c r="M225" s="11">
        <f t="shared" si="4"/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</row>
    <row r="226" spans="1:18">
      <c r="A226" s="11">
        <v>2010204</v>
      </c>
      <c r="B226" s="10" t="s">
        <v>959</v>
      </c>
      <c r="D226" s="10" t="str">
        <f t="shared" ref="D226:D241" si="10">MID(A226,1,1)</f>
        <v>2</v>
      </c>
      <c r="E226" s="24">
        <f t="shared" si="6"/>
        <v>1</v>
      </c>
      <c r="F226" s="10" t="str">
        <f t="shared" si="7"/>
        <v>equip_wlxz_224</v>
      </c>
      <c r="G226" s="10">
        <v>2</v>
      </c>
      <c r="H226" s="10" t="str">
        <f t="shared" si="8"/>
        <v>4</v>
      </c>
      <c r="I226" s="10" t="str">
        <f t="shared" si="9"/>
        <v>1</v>
      </c>
      <c r="J226" s="11">
        <v>0</v>
      </c>
      <c r="K226" s="11">
        <v>0</v>
      </c>
      <c r="L226" s="11">
        <v>1</v>
      </c>
      <c r="M226" s="11">
        <f t="shared" si="4"/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</row>
    <row r="227" spans="1:18">
      <c r="A227" s="11">
        <v>2010205</v>
      </c>
      <c r="B227" s="10" t="s">
        <v>960</v>
      </c>
      <c r="D227" s="10" t="str">
        <f t="shared" si="10"/>
        <v>2</v>
      </c>
      <c r="E227" s="24">
        <f t="shared" si="6"/>
        <v>1</v>
      </c>
      <c r="F227" s="10" t="str">
        <f t="shared" si="7"/>
        <v>equip_wlxz_225</v>
      </c>
      <c r="G227" s="10">
        <v>2</v>
      </c>
      <c r="H227" s="10" t="str">
        <f t="shared" si="8"/>
        <v>5</v>
      </c>
      <c r="I227" s="10" t="str">
        <f t="shared" si="9"/>
        <v>1</v>
      </c>
      <c r="J227" s="11">
        <v>0</v>
      </c>
      <c r="K227" s="11">
        <v>0</v>
      </c>
      <c r="L227" s="11">
        <v>1</v>
      </c>
      <c r="M227" s="11">
        <f t="shared" si="4"/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</row>
    <row r="228" spans="1:18">
      <c r="A228" s="11">
        <v>2010302</v>
      </c>
      <c r="B228" s="10" t="s">
        <v>961</v>
      </c>
      <c r="D228" s="10" t="str">
        <f t="shared" si="10"/>
        <v>2</v>
      </c>
      <c r="E228" s="24">
        <f t="shared" si="6"/>
        <v>1</v>
      </c>
      <c r="F228" s="10" t="str">
        <f t="shared" si="7"/>
        <v>equip_wlxz_232</v>
      </c>
      <c r="G228" s="10">
        <v>2</v>
      </c>
      <c r="H228" s="10" t="str">
        <f t="shared" si="8"/>
        <v>2</v>
      </c>
      <c r="I228" s="10" t="str">
        <f t="shared" si="9"/>
        <v>1</v>
      </c>
      <c r="J228" s="11">
        <v>0</v>
      </c>
      <c r="K228" s="11">
        <v>0</v>
      </c>
      <c r="L228" s="11">
        <v>1</v>
      </c>
      <c r="M228" s="11">
        <f t="shared" si="4"/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</row>
    <row r="229" spans="1:18">
      <c r="A229" s="11">
        <v>2010303</v>
      </c>
      <c r="B229" s="10" t="s">
        <v>962</v>
      </c>
      <c r="D229" s="10" t="str">
        <f t="shared" si="10"/>
        <v>2</v>
      </c>
      <c r="E229" s="24">
        <f t="shared" si="6"/>
        <v>1</v>
      </c>
      <c r="F229" s="10" t="str">
        <f t="shared" si="7"/>
        <v>equip_wlxz_233</v>
      </c>
      <c r="G229" s="10">
        <v>2</v>
      </c>
      <c r="H229" s="10" t="str">
        <f t="shared" si="8"/>
        <v>3</v>
      </c>
      <c r="I229" s="10" t="str">
        <f t="shared" si="9"/>
        <v>1</v>
      </c>
      <c r="J229" s="11">
        <v>0</v>
      </c>
      <c r="K229" s="11">
        <v>0</v>
      </c>
      <c r="L229" s="11">
        <v>1</v>
      </c>
      <c r="M229" s="11">
        <f t="shared" si="4"/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</row>
    <row r="230" spans="1:18">
      <c r="A230" s="11">
        <v>2010304</v>
      </c>
      <c r="B230" s="10" t="s">
        <v>963</v>
      </c>
      <c r="D230" s="10" t="str">
        <f t="shared" si="10"/>
        <v>2</v>
      </c>
      <c r="E230" s="24">
        <f t="shared" si="6"/>
        <v>1</v>
      </c>
      <c r="F230" s="10" t="str">
        <f t="shared" si="7"/>
        <v>equip_wlxz_234</v>
      </c>
      <c r="G230" s="10">
        <v>2</v>
      </c>
      <c r="H230" s="10" t="str">
        <f t="shared" si="8"/>
        <v>4</v>
      </c>
      <c r="I230" s="10" t="str">
        <f t="shared" si="9"/>
        <v>1</v>
      </c>
      <c r="J230" s="11">
        <v>0</v>
      </c>
      <c r="K230" s="11">
        <v>0</v>
      </c>
      <c r="L230" s="11">
        <v>1</v>
      </c>
      <c r="M230" s="11">
        <f t="shared" si="4"/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</row>
    <row r="231" spans="1:18">
      <c r="A231" s="11">
        <v>2010305</v>
      </c>
      <c r="B231" s="10" t="s">
        <v>964</v>
      </c>
      <c r="D231" s="10" t="str">
        <f t="shared" si="10"/>
        <v>2</v>
      </c>
      <c r="E231" s="24">
        <f t="shared" ref="E231:E242" si="11">IF(D231=1,D231,D231-1)</f>
        <v>1</v>
      </c>
      <c r="F231" s="10" t="str">
        <f t="shared" si="7"/>
        <v>equip_wlxz_235</v>
      </c>
      <c r="G231" s="10">
        <v>2</v>
      </c>
      <c r="H231" s="10" t="str">
        <f t="shared" si="8"/>
        <v>5</v>
      </c>
      <c r="I231" s="10" t="str">
        <f t="shared" si="9"/>
        <v>1</v>
      </c>
      <c r="J231" s="11">
        <v>0</v>
      </c>
      <c r="K231" s="11">
        <v>0</v>
      </c>
      <c r="L231" s="11">
        <v>1</v>
      </c>
      <c r="M231" s="11">
        <f t="shared" si="4"/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</row>
    <row r="232" spans="1:18">
      <c r="A232" s="11">
        <v>3010102</v>
      </c>
      <c r="B232" s="10" t="s">
        <v>965</v>
      </c>
      <c r="D232" s="10" t="str">
        <f t="shared" si="10"/>
        <v>3</v>
      </c>
      <c r="E232" s="24">
        <f t="shared" si="11"/>
        <v>2</v>
      </c>
      <c r="F232" s="10" t="str">
        <f t="shared" si="7"/>
        <v>equip_wlxz_312</v>
      </c>
      <c r="G232" s="10">
        <v>2</v>
      </c>
      <c r="H232" s="10" t="str">
        <f t="shared" si="8"/>
        <v>2</v>
      </c>
      <c r="I232" s="10" t="str">
        <f t="shared" si="9"/>
        <v>1</v>
      </c>
      <c r="J232" s="11">
        <v>0</v>
      </c>
      <c r="K232" s="11">
        <v>0</v>
      </c>
      <c r="L232" s="11">
        <v>1</v>
      </c>
      <c r="M232" s="11">
        <f t="shared" si="4"/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</row>
    <row r="233" spans="1:18">
      <c r="A233" s="11">
        <v>3010103</v>
      </c>
      <c r="B233" s="10" t="s">
        <v>966</v>
      </c>
      <c r="D233" s="10" t="str">
        <f t="shared" si="10"/>
        <v>3</v>
      </c>
      <c r="E233" s="24">
        <f t="shared" si="11"/>
        <v>2</v>
      </c>
      <c r="F233" s="10" t="str">
        <f t="shared" si="7"/>
        <v>equip_wlxz_313</v>
      </c>
      <c r="G233" s="10">
        <v>2</v>
      </c>
      <c r="H233" s="10" t="str">
        <f t="shared" si="8"/>
        <v>3</v>
      </c>
      <c r="I233" s="10" t="str">
        <f t="shared" si="9"/>
        <v>1</v>
      </c>
      <c r="J233" s="11">
        <v>0</v>
      </c>
      <c r="K233" s="11">
        <v>0</v>
      </c>
      <c r="L233" s="11">
        <v>1</v>
      </c>
      <c r="M233" s="11">
        <f t="shared" si="4"/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</row>
    <row r="234" spans="1:18">
      <c r="A234" s="11">
        <v>3010104</v>
      </c>
      <c r="B234" s="10" t="s">
        <v>967</v>
      </c>
      <c r="D234" s="10" t="str">
        <f t="shared" si="10"/>
        <v>3</v>
      </c>
      <c r="E234" s="24">
        <f t="shared" si="11"/>
        <v>2</v>
      </c>
      <c r="F234" s="10" t="str">
        <f t="shared" si="7"/>
        <v>equip_wlxz_314</v>
      </c>
      <c r="G234" s="10">
        <v>2</v>
      </c>
      <c r="H234" s="10" t="str">
        <f t="shared" si="8"/>
        <v>4</v>
      </c>
      <c r="I234" s="10" t="str">
        <f t="shared" si="9"/>
        <v>1</v>
      </c>
      <c r="J234" s="11">
        <v>0</v>
      </c>
      <c r="K234" s="11">
        <v>0</v>
      </c>
      <c r="L234" s="11">
        <v>1</v>
      </c>
      <c r="M234" s="11">
        <f t="shared" si="4"/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</row>
    <row r="235" spans="1:18">
      <c r="A235" s="11">
        <v>3010105</v>
      </c>
      <c r="B235" s="10" t="s">
        <v>968</v>
      </c>
      <c r="D235" s="10" t="str">
        <f t="shared" si="10"/>
        <v>3</v>
      </c>
      <c r="E235" s="24">
        <f t="shared" si="11"/>
        <v>2</v>
      </c>
      <c r="F235" s="10" t="str">
        <f t="shared" si="7"/>
        <v>equip_wlxz_315</v>
      </c>
      <c r="G235" s="10">
        <v>2</v>
      </c>
      <c r="H235" s="10" t="str">
        <f t="shared" si="8"/>
        <v>5</v>
      </c>
      <c r="I235" s="10" t="str">
        <f t="shared" si="9"/>
        <v>1</v>
      </c>
      <c r="J235" s="11">
        <v>0</v>
      </c>
      <c r="K235" s="11">
        <v>0</v>
      </c>
      <c r="L235" s="11">
        <v>1</v>
      </c>
      <c r="M235" s="11">
        <f t="shared" si="4"/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</row>
    <row r="236" spans="1:18">
      <c r="A236" s="11">
        <v>3010202</v>
      </c>
      <c r="B236" s="10" t="s">
        <v>969</v>
      </c>
      <c r="D236" s="10" t="str">
        <f t="shared" si="10"/>
        <v>3</v>
      </c>
      <c r="E236" s="24">
        <f t="shared" si="11"/>
        <v>2</v>
      </c>
      <c r="F236" s="10" t="str">
        <f t="shared" si="7"/>
        <v>equip_wlxz_322</v>
      </c>
      <c r="G236" s="10">
        <v>2</v>
      </c>
      <c r="H236" s="10" t="str">
        <f t="shared" si="8"/>
        <v>2</v>
      </c>
      <c r="I236" s="10" t="str">
        <f t="shared" si="9"/>
        <v>1</v>
      </c>
      <c r="J236" s="11">
        <v>0</v>
      </c>
      <c r="K236" s="11">
        <v>0</v>
      </c>
      <c r="L236" s="11">
        <v>1</v>
      </c>
      <c r="M236" s="11">
        <f t="shared" si="4"/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</row>
    <row r="237" spans="1:18">
      <c r="A237" s="11">
        <v>3010203</v>
      </c>
      <c r="B237" s="10" t="s">
        <v>970</v>
      </c>
      <c r="D237" s="10" t="str">
        <f t="shared" si="10"/>
        <v>3</v>
      </c>
      <c r="E237" s="24">
        <f t="shared" si="11"/>
        <v>2</v>
      </c>
      <c r="F237" s="10" t="str">
        <f t="shared" si="7"/>
        <v>equip_wlxz_323</v>
      </c>
      <c r="G237" s="10">
        <v>2</v>
      </c>
      <c r="H237" s="10" t="str">
        <f t="shared" si="8"/>
        <v>3</v>
      </c>
      <c r="I237" s="10" t="str">
        <f t="shared" si="9"/>
        <v>1</v>
      </c>
      <c r="J237" s="11">
        <v>0</v>
      </c>
      <c r="K237" s="11">
        <v>0</v>
      </c>
      <c r="L237" s="11">
        <v>1</v>
      </c>
      <c r="M237" s="11">
        <f t="shared" si="4"/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</row>
    <row r="238" spans="1:18">
      <c r="A238" s="11">
        <v>3010204</v>
      </c>
      <c r="B238" s="10" t="s">
        <v>971</v>
      </c>
      <c r="D238" s="10" t="str">
        <f t="shared" si="10"/>
        <v>3</v>
      </c>
      <c r="E238" s="24">
        <f t="shared" si="11"/>
        <v>2</v>
      </c>
      <c r="F238" s="10" t="str">
        <f t="shared" si="7"/>
        <v>equip_wlxz_324</v>
      </c>
      <c r="G238" s="10">
        <v>2</v>
      </c>
      <c r="H238" s="10" t="str">
        <f t="shared" si="8"/>
        <v>4</v>
      </c>
      <c r="I238" s="10" t="str">
        <f t="shared" si="9"/>
        <v>1</v>
      </c>
      <c r="J238" s="11">
        <v>0</v>
      </c>
      <c r="K238" s="11">
        <v>0</v>
      </c>
      <c r="L238" s="11">
        <v>1</v>
      </c>
      <c r="M238" s="11">
        <f t="shared" si="4"/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</row>
    <row r="239" spans="1:18">
      <c r="A239" s="11">
        <v>3010205</v>
      </c>
      <c r="B239" s="10" t="s">
        <v>972</v>
      </c>
      <c r="D239" s="10" t="str">
        <f t="shared" si="10"/>
        <v>3</v>
      </c>
      <c r="E239" s="24">
        <f t="shared" si="11"/>
        <v>2</v>
      </c>
      <c r="F239" s="10" t="str">
        <f t="shared" si="7"/>
        <v>equip_wlxz_325</v>
      </c>
      <c r="G239" s="10">
        <v>2</v>
      </c>
      <c r="H239" s="10" t="str">
        <f t="shared" si="8"/>
        <v>5</v>
      </c>
      <c r="I239" s="10" t="str">
        <f t="shared" si="9"/>
        <v>1</v>
      </c>
      <c r="J239" s="11">
        <v>0</v>
      </c>
      <c r="K239" s="11">
        <v>0</v>
      </c>
      <c r="L239" s="11">
        <v>1</v>
      </c>
      <c r="M239" s="11">
        <f t="shared" si="4"/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</row>
    <row r="240" spans="1:18">
      <c r="A240" s="11">
        <v>3010302</v>
      </c>
      <c r="B240" s="10" t="s">
        <v>973</v>
      </c>
      <c r="D240" s="10" t="str">
        <f t="shared" si="10"/>
        <v>3</v>
      </c>
      <c r="E240" s="24">
        <f t="shared" si="11"/>
        <v>2</v>
      </c>
      <c r="F240" s="10" t="str">
        <f t="shared" si="7"/>
        <v>equip_wlxz_332</v>
      </c>
      <c r="G240" s="10">
        <v>2</v>
      </c>
      <c r="H240" s="10" t="str">
        <f t="shared" si="8"/>
        <v>2</v>
      </c>
      <c r="I240" s="10" t="str">
        <f t="shared" si="9"/>
        <v>1</v>
      </c>
      <c r="J240" s="11">
        <v>0</v>
      </c>
      <c r="K240" s="11">
        <v>0</v>
      </c>
      <c r="L240" s="11">
        <v>1</v>
      </c>
      <c r="M240" s="11">
        <f t="shared" si="4"/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</row>
    <row r="241" spans="1:18">
      <c r="A241" s="11">
        <v>3010303</v>
      </c>
      <c r="B241" s="10" t="s">
        <v>974</v>
      </c>
      <c r="D241" s="10" t="str">
        <f t="shared" si="10"/>
        <v>3</v>
      </c>
      <c r="E241" s="24">
        <f t="shared" si="11"/>
        <v>2</v>
      </c>
      <c r="F241" s="10" t="str">
        <f t="shared" si="7"/>
        <v>equip_wlxz_333</v>
      </c>
      <c r="G241" s="10">
        <v>2</v>
      </c>
      <c r="H241" s="10" t="str">
        <f t="shared" si="8"/>
        <v>3</v>
      </c>
      <c r="I241" s="10" t="str">
        <f t="shared" si="9"/>
        <v>1</v>
      </c>
      <c r="J241" s="11">
        <v>0</v>
      </c>
      <c r="K241" s="11">
        <v>0</v>
      </c>
      <c r="L241" s="11">
        <v>1</v>
      </c>
      <c r="M241" s="11">
        <f t="shared" si="4"/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</row>
    <row r="242" spans="1:18">
      <c r="A242" s="11">
        <v>3010304</v>
      </c>
      <c r="B242" s="10" t="s">
        <v>975</v>
      </c>
      <c r="D242" s="10" t="str">
        <f t="shared" ref="D242:D253" si="12">MID(A242,1,1)</f>
        <v>3</v>
      </c>
      <c r="E242" s="24">
        <f t="shared" si="11"/>
        <v>2</v>
      </c>
      <c r="F242" s="10" t="str">
        <f t="shared" si="7"/>
        <v>equip_wlxz_334</v>
      </c>
      <c r="G242" s="10">
        <v>2</v>
      </c>
      <c r="H242" s="10" t="str">
        <f t="shared" si="8"/>
        <v>4</v>
      </c>
      <c r="I242" s="10" t="str">
        <f t="shared" si="9"/>
        <v>1</v>
      </c>
      <c r="J242" s="11">
        <v>0</v>
      </c>
      <c r="K242" s="11">
        <v>0</v>
      </c>
      <c r="L242" s="11">
        <v>1</v>
      </c>
      <c r="M242" s="11">
        <f t="shared" si="4"/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</row>
    <row r="243" spans="1:18">
      <c r="A243" s="11">
        <v>3010305</v>
      </c>
      <c r="B243" s="10" t="s">
        <v>976</v>
      </c>
      <c r="D243" s="10" t="str">
        <f t="shared" si="12"/>
        <v>3</v>
      </c>
      <c r="E243" s="24">
        <f t="shared" ref="E243:E274" si="13">IF(D243=1,D243,D243-1)</f>
        <v>2</v>
      </c>
      <c r="F243" s="10" t="str">
        <f t="shared" si="7"/>
        <v>equip_wlxz_335</v>
      </c>
      <c r="G243" s="10">
        <v>2</v>
      </c>
      <c r="H243" s="10" t="str">
        <f t="shared" si="8"/>
        <v>5</v>
      </c>
      <c r="I243" s="10" t="str">
        <f t="shared" si="9"/>
        <v>1</v>
      </c>
      <c r="J243" s="11">
        <v>0</v>
      </c>
      <c r="K243" s="11">
        <v>0</v>
      </c>
      <c r="L243" s="11">
        <v>1</v>
      </c>
      <c r="M243" s="11">
        <f t="shared" si="4"/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</row>
    <row r="244" spans="1:18">
      <c r="A244" s="11">
        <v>4010102</v>
      </c>
      <c r="B244" s="10" t="s">
        <v>977</v>
      </c>
      <c r="D244" s="10" t="str">
        <f t="shared" si="12"/>
        <v>4</v>
      </c>
      <c r="E244" s="24">
        <f t="shared" si="13"/>
        <v>3</v>
      </c>
      <c r="F244" s="10" t="str">
        <f t="shared" si="7"/>
        <v>equip_wlxz_412</v>
      </c>
      <c r="G244" s="10">
        <v>2</v>
      </c>
      <c r="H244" s="10" t="str">
        <f t="shared" si="8"/>
        <v>2</v>
      </c>
      <c r="I244" s="10" t="str">
        <f t="shared" si="9"/>
        <v>1</v>
      </c>
      <c r="J244" s="11">
        <v>0</v>
      </c>
      <c r="K244" s="11">
        <v>0</v>
      </c>
      <c r="L244" s="11">
        <v>1</v>
      </c>
      <c r="M244" s="11">
        <f t="shared" si="4"/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</row>
    <row r="245" spans="1:18">
      <c r="A245" s="11">
        <v>4010103</v>
      </c>
      <c r="B245" s="10" t="s">
        <v>978</v>
      </c>
      <c r="D245" s="10" t="str">
        <f t="shared" si="12"/>
        <v>4</v>
      </c>
      <c r="E245" s="24">
        <f t="shared" si="13"/>
        <v>3</v>
      </c>
      <c r="F245" s="10" t="str">
        <f t="shared" si="7"/>
        <v>equip_wlxz_413</v>
      </c>
      <c r="G245" s="10">
        <v>2</v>
      </c>
      <c r="H245" s="10" t="str">
        <f t="shared" si="8"/>
        <v>3</v>
      </c>
      <c r="I245" s="10" t="str">
        <f t="shared" si="9"/>
        <v>1</v>
      </c>
      <c r="J245" s="11">
        <v>0</v>
      </c>
      <c r="K245" s="11">
        <v>0</v>
      </c>
      <c r="L245" s="11">
        <v>1</v>
      </c>
      <c r="M245" s="11">
        <f t="shared" si="4"/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</row>
    <row r="246" spans="1:18">
      <c r="A246" s="11">
        <v>4010104</v>
      </c>
      <c r="B246" s="10" t="s">
        <v>979</v>
      </c>
      <c r="D246" s="10" t="str">
        <f t="shared" si="12"/>
        <v>4</v>
      </c>
      <c r="E246" s="24">
        <f t="shared" si="13"/>
        <v>3</v>
      </c>
      <c r="F246" s="10" t="str">
        <f t="shared" si="7"/>
        <v>equip_wlxz_414</v>
      </c>
      <c r="G246" s="10">
        <v>2</v>
      </c>
      <c r="H246" s="10" t="str">
        <f t="shared" si="8"/>
        <v>4</v>
      </c>
      <c r="I246" s="10" t="str">
        <f t="shared" si="9"/>
        <v>1</v>
      </c>
      <c r="J246" s="11">
        <v>0</v>
      </c>
      <c r="K246" s="11">
        <v>0</v>
      </c>
      <c r="L246" s="11">
        <v>1</v>
      </c>
      <c r="M246" s="11">
        <f t="shared" si="4"/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</row>
    <row r="247" spans="1:18">
      <c r="A247" s="11">
        <v>4010105</v>
      </c>
      <c r="B247" s="10" t="s">
        <v>980</v>
      </c>
      <c r="D247" s="10" t="str">
        <f t="shared" si="12"/>
        <v>4</v>
      </c>
      <c r="E247" s="24">
        <f t="shared" si="13"/>
        <v>3</v>
      </c>
      <c r="F247" s="10" t="str">
        <f t="shared" si="7"/>
        <v>equip_wlxz_415</v>
      </c>
      <c r="G247" s="10">
        <v>2</v>
      </c>
      <c r="H247" s="10" t="str">
        <f t="shared" si="8"/>
        <v>5</v>
      </c>
      <c r="I247" s="10" t="str">
        <f t="shared" si="9"/>
        <v>1</v>
      </c>
      <c r="J247" s="11">
        <v>0</v>
      </c>
      <c r="K247" s="11">
        <v>0</v>
      </c>
      <c r="L247" s="11">
        <v>1</v>
      </c>
      <c r="M247" s="11">
        <f t="shared" si="4"/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</row>
    <row r="248" spans="1:18">
      <c r="A248" s="11">
        <v>4010202</v>
      </c>
      <c r="B248" s="10" t="s">
        <v>981</v>
      </c>
      <c r="D248" s="10" t="str">
        <f t="shared" si="12"/>
        <v>4</v>
      </c>
      <c r="E248" s="24">
        <f t="shared" si="13"/>
        <v>3</v>
      </c>
      <c r="F248" s="10" t="str">
        <f t="shared" si="7"/>
        <v>equip_wlxz_422</v>
      </c>
      <c r="G248" s="10">
        <v>2</v>
      </c>
      <c r="H248" s="10" t="str">
        <f t="shared" si="8"/>
        <v>2</v>
      </c>
      <c r="I248" s="10" t="str">
        <f t="shared" si="9"/>
        <v>1</v>
      </c>
      <c r="J248" s="11">
        <v>0</v>
      </c>
      <c r="K248" s="11">
        <v>0</v>
      </c>
      <c r="L248" s="11">
        <v>1</v>
      </c>
      <c r="M248" s="11">
        <f t="shared" si="4"/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</row>
    <row r="249" spans="1:18">
      <c r="A249" s="11">
        <v>4010203</v>
      </c>
      <c r="B249" s="10" t="s">
        <v>982</v>
      </c>
      <c r="D249" s="10" t="str">
        <f t="shared" si="12"/>
        <v>4</v>
      </c>
      <c r="E249" s="24">
        <f t="shared" si="13"/>
        <v>3</v>
      </c>
      <c r="F249" s="10" t="str">
        <f t="shared" ref="F249:F280" si="14">"equip_"&amp;IF(I249="1","wl","mf")&amp;IF(I249="2","sp",IF(I249="3","wq",IF(I249="4","yf","xz")))&amp;"_"&amp;MID(A249,1,1)&amp;MID(A249,5,1)&amp;MID(A249,7,1)</f>
        <v>equip_wlxz_423</v>
      </c>
      <c r="G249" s="10">
        <v>2</v>
      </c>
      <c r="H249" s="10" t="str">
        <f t="shared" ref="H249:H280" si="15">MID(A249,7,1)</f>
        <v>3</v>
      </c>
      <c r="I249" s="10" t="str">
        <f t="shared" ref="I249:I280" si="16">MID(A249,3,1)</f>
        <v>1</v>
      </c>
      <c r="J249" s="11">
        <v>0</v>
      </c>
      <c r="K249" s="11">
        <v>0</v>
      </c>
      <c r="L249" s="11">
        <v>1</v>
      </c>
      <c r="M249" s="11">
        <f t="shared" si="4"/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</row>
    <row r="250" spans="1:18">
      <c r="A250" s="11">
        <v>4010204</v>
      </c>
      <c r="B250" s="10" t="s">
        <v>983</v>
      </c>
      <c r="D250" s="10" t="str">
        <f t="shared" si="12"/>
        <v>4</v>
      </c>
      <c r="E250" s="24">
        <f t="shared" si="13"/>
        <v>3</v>
      </c>
      <c r="F250" s="10" t="str">
        <f t="shared" si="14"/>
        <v>equip_wlxz_424</v>
      </c>
      <c r="G250" s="10">
        <v>2</v>
      </c>
      <c r="H250" s="10" t="str">
        <f t="shared" si="15"/>
        <v>4</v>
      </c>
      <c r="I250" s="10" t="str">
        <f t="shared" si="16"/>
        <v>1</v>
      </c>
      <c r="J250" s="11">
        <v>0</v>
      </c>
      <c r="K250" s="11">
        <v>0</v>
      </c>
      <c r="L250" s="11">
        <v>1</v>
      </c>
      <c r="M250" s="11">
        <f t="shared" si="4"/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</row>
    <row r="251" spans="1:18">
      <c r="A251" s="11">
        <v>4010205</v>
      </c>
      <c r="B251" s="10" t="s">
        <v>984</v>
      </c>
      <c r="D251" s="10" t="str">
        <f t="shared" si="12"/>
        <v>4</v>
      </c>
      <c r="E251" s="24">
        <f t="shared" si="13"/>
        <v>3</v>
      </c>
      <c r="F251" s="10" t="str">
        <f t="shared" si="14"/>
        <v>equip_wlxz_425</v>
      </c>
      <c r="G251" s="10">
        <v>2</v>
      </c>
      <c r="H251" s="10" t="str">
        <f t="shared" si="15"/>
        <v>5</v>
      </c>
      <c r="I251" s="10" t="str">
        <f t="shared" si="16"/>
        <v>1</v>
      </c>
      <c r="J251" s="11">
        <v>0</v>
      </c>
      <c r="K251" s="11">
        <v>0</v>
      </c>
      <c r="L251" s="11">
        <v>1</v>
      </c>
      <c r="M251" s="11">
        <f t="shared" si="4"/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</row>
    <row r="252" spans="1:18">
      <c r="A252" s="11">
        <v>4010302</v>
      </c>
      <c r="B252" s="10" t="s">
        <v>985</v>
      </c>
      <c r="D252" s="10" t="str">
        <f t="shared" si="12"/>
        <v>4</v>
      </c>
      <c r="E252" s="24">
        <f t="shared" si="13"/>
        <v>3</v>
      </c>
      <c r="F252" s="10" t="str">
        <f t="shared" si="14"/>
        <v>equip_wlxz_432</v>
      </c>
      <c r="G252" s="10">
        <v>2</v>
      </c>
      <c r="H252" s="10" t="str">
        <f t="shared" si="15"/>
        <v>2</v>
      </c>
      <c r="I252" s="10" t="str">
        <f t="shared" si="16"/>
        <v>1</v>
      </c>
      <c r="J252" s="11">
        <v>0</v>
      </c>
      <c r="K252" s="11">
        <v>0</v>
      </c>
      <c r="L252" s="11">
        <v>1</v>
      </c>
      <c r="M252" s="11">
        <f t="shared" si="4"/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</row>
    <row r="253" spans="1:18">
      <c r="A253" s="11">
        <v>4010303</v>
      </c>
      <c r="B253" s="10" t="s">
        <v>986</v>
      </c>
      <c r="D253" s="10" t="str">
        <f t="shared" si="12"/>
        <v>4</v>
      </c>
      <c r="E253" s="24">
        <f t="shared" si="13"/>
        <v>3</v>
      </c>
      <c r="F253" s="10" t="str">
        <f t="shared" si="14"/>
        <v>equip_wlxz_433</v>
      </c>
      <c r="G253" s="10">
        <v>2</v>
      </c>
      <c r="H253" s="10" t="str">
        <f t="shared" si="15"/>
        <v>3</v>
      </c>
      <c r="I253" s="10" t="str">
        <f t="shared" si="16"/>
        <v>1</v>
      </c>
      <c r="J253" s="11">
        <v>0</v>
      </c>
      <c r="K253" s="11">
        <v>0</v>
      </c>
      <c r="L253" s="11">
        <v>1</v>
      </c>
      <c r="M253" s="11">
        <f t="shared" si="4"/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</row>
    <row r="254" spans="1:18">
      <c r="A254" s="11">
        <v>4010304</v>
      </c>
      <c r="B254" s="10" t="s">
        <v>987</v>
      </c>
      <c r="D254" s="10" t="str">
        <f t="shared" ref="D254:D268" si="17">MID(A254,1,1)</f>
        <v>4</v>
      </c>
      <c r="E254" s="24">
        <f t="shared" si="13"/>
        <v>3</v>
      </c>
      <c r="F254" s="10" t="str">
        <f t="shared" si="14"/>
        <v>equip_wlxz_434</v>
      </c>
      <c r="G254" s="10">
        <v>2</v>
      </c>
      <c r="H254" s="10" t="str">
        <f t="shared" si="15"/>
        <v>4</v>
      </c>
      <c r="I254" s="10" t="str">
        <f t="shared" si="16"/>
        <v>1</v>
      </c>
      <c r="J254" s="11">
        <v>0</v>
      </c>
      <c r="K254" s="11">
        <v>0</v>
      </c>
      <c r="L254" s="11">
        <v>1</v>
      </c>
      <c r="M254" s="11">
        <f t="shared" si="4"/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</row>
    <row r="255" spans="1:18">
      <c r="A255" s="11">
        <v>4010305</v>
      </c>
      <c r="B255" s="10" t="s">
        <v>988</v>
      </c>
      <c r="D255" s="10" t="str">
        <f t="shared" si="17"/>
        <v>4</v>
      </c>
      <c r="E255" s="24">
        <f t="shared" si="13"/>
        <v>3</v>
      </c>
      <c r="F255" s="10" t="str">
        <f t="shared" si="14"/>
        <v>equip_wlxz_435</v>
      </c>
      <c r="G255" s="10">
        <v>2</v>
      </c>
      <c r="H255" s="10" t="str">
        <f t="shared" si="15"/>
        <v>5</v>
      </c>
      <c r="I255" s="10" t="str">
        <f t="shared" si="16"/>
        <v>1</v>
      </c>
      <c r="J255" s="11">
        <v>0</v>
      </c>
      <c r="K255" s="11">
        <v>0</v>
      </c>
      <c r="L255" s="11">
        <v>1</v>
      </c>
      <c r="M255" s="11">
        <f t="shared" si="4"/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</row>
    <row r="256" spans="1:18">
      <c r="A256" s="11">
        <v>4010402</v>
      </c>
      <c r="B256" s="10" t="s">
        <v>989</v>
      </c>
      <c r="D256" s="10" t="str">
        <f t="shared" si="17"/>
        <v>4</v>
      </c>
      <c r="E256" s="24">
        <f t="shared" si="13"/>
        <v>3</v>
      </c>
      <c r="F256" s="10" t="str">
        <f t="shared" si="14"/>
        <v>equip_wlxz_442</v>
      </c>
      <c r="G256" s="10">
        <v>2</v>
      </c>
      <c r="H256" s="10" t="str">
        <f t="shared" si="15"/>
        <v>2</v>
      </c>
      <c r="I256" s="10" t="str">
        <f t="shared" si="16"/>
        <v>1</v>
      </c>
      <c r="J256" s="11">
        <v>0</v>
      </c>
      <c r="K256" s="11">
        <v>0</v>
      </c>
      <c r="L256" s="11">
        <v>1</v>
      </c>
      <c r="M256" s="11">
        <f t="shared" si="4"/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</row>
    <row r="257" spans="1:18">
      <c r="A257" s="11">
        <v>4010403</v>
      </c>
      <c r="B257" s="10" t="s">
        <v>990</v>
      </c>
      <c r="D257" s="10" t="str">
        <f t="shared" si="17"/>
        <v>4</v>
      </c>
      <c r="E257" s="24">
        <f t="shared" si="13"/>
        <v>3</v>
      </c>
      <c r="F257" s="10" t="str">
        <f t="shared" si="14"/>
        <v>equip_wlxz_443</v>
      </c>
      <c r="G257" s="10">
        <v>2</v>
      </c>
      <c r="H257" s="10" t="str">
        <f t="shared" si="15"/>
        <v>3</v>
      </c>
      <c r="I257" s="10" t="str">
        <f t="shared" si="16"/>
        <v>1</v>
      </c>
      <c r="J257" s="11">
        <v>0</v>
      </c>
      <c r="K257" s="11">
        <v>0</v>
      </c>
      <c r="L257" s="11">
        <v>1</v>
      </c>
      <c r="M257" s="11">
        <f t="shared" si="4"/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</row>
    <row r="258" spans="1:18">
      <c r="A258" s="11">
        <v>4010404</v>
      </c>
      <c r="B258" s="10" t="s">
        <v>991</v>
      </c>
      <c r="D258" s="10" t="str">
        <f t="shared" si="17"/>
        <v>4</v>
      </c>
      <c r="E258" s="24">
        <f t="shared" si="13"/>
        <v>3</v>
      </c>
      <c r="F258" s="10" t="str">
        <f t="shared" si="14"/>
        <v>equip_wlxz_444</v>
      </c>
      <c r="G258" s="10">
        <v>2</v>
      </c>
      <c r="H258" s="10" t="str">
        <f t="shared" si="15"/>
        <v>4</v>
      </c>
      <c r="I258" s="10" t="str">
        <f t="shared" si="16"/>
        <v>1</v>
      </c>
      <c r="J258" s="11">
        <v>0</v>
      </c>
      <c r="K258" s="11">
        <v>0</v>
      </c>
      <c r="L258" s="11">
        <v>1</v>
      </c>
      <c r="M258" s="11">
        <f t="shared" si="4"/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</row>
    <row r="259" spans="1:18">
      <c r="A259" s="11">
        <v>4010405</v>
      </c>
      <c r="B259" s="10" t="s">
        <v>992</v>
      </c>
      <c r="D259" s="10" t="str">
        <f t="shared" si="17"/>
        <v>4</v>
      </c>
      <c r="E259" s="24">
        <f t="shared" si="13"/>
        <v>3</v>
      </c>
      <c r="F259" s="10" t="str">
        <f t="shared" si="14"/>
        <v>equip_wlxz_445</v>
      </c>
      <c r="G259" s="10">
        <v>2</v>
      </c>
      <c r="H259" s="10" t="str">
        <f t="shared" si="15"/>
        <v>5</v>
      </c>
      <c r="I259" s="10" t="str">
        <f t="shared" si="16"/>
        <v>1</v>
      </c>
      <c r="J259" s="11">
        <v>0</v>
      </c>
      <c r="K259" s="11">
        <v>0</v>
      </c>
      <c r="L259" s="11">
        <v>1</v>
      </c>
      <c r="M259" s="11">
        <f t="shared" si="4"/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</row>
    <row r="260" spans="1:18">
      <c r="A260" s="11">
        <v>4010502</v>
      </c>
      <c r="B260" s="10" t="s">
        <v>993</v>
      </c>
      <c r="D260" s="10" t="str">
        <f t="shared" si="17"/>
        <v>4</v>
      </c>
      <c r="E260" s="24">
        <f t="shared" si="13"/>
        <v>3</v>
      </c>
      <c r="F260" s="10" t="str">
        <f t="shared" si="14"/>
        <v>equip_wlxz_452</v>
      </c>
      <c r="G260" s="10">
        <v>2</v>
      </c>
      <c r="H260" s="10" t="str">
        <f t="shared" si="15"/>
        <v>2</v>
      </c>
      <c r="I260" s="10" t="str">
        <f t="shared" si="16"/>
        <v>1</v>
      </c>
      <c r="J260" s="11">
        <v>0</v>
      </c>
      <c r="K260" s="11">
        <v>0</v>
      </c>
      <c r="L260" s="11">
        <v>1</v>
      </c>
      <c r="M260" s="11">
        <f t="shared" si="4"/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</row>
    <row r="261" spans="1:18">
      <c r="A261" s="11">
        <v>4010503</v>
      </c>
      <c r="B261" s="10" t="s">
        <v>994</v>
      </c>
      <c r="D261" s="10" t="str">
        <f t="shared" si="17"/>
        <v>4</v>
      </c>
      <c r="E261" s="24">
        <f t="shared" si="13"/>
        <v>3</v>
      </c>
      <c r="F261" s="10" t="str">
        <f t="shared" si="14"/>
        <v>equip_wlxz_453</v>
      </c>
      <c r="G261" s="10">
        <v>2</v>
      </c>
      <c r="H261" s="10" t="str">
        <f t="shared" si="15"/>
        <v>3</v>
      </c>
      <c r="I261" s="10" t="str">
        <f t="shared" si="16"/>
        <v>1</v>
      </c>
      <c r="J261" s="11">
        <v>0</v>
      </c>
      <c r="K261" s="11">
        <v>0</v>
      </c>
      <c r="L261" s="11">
        <v>1</v>
      </c>
      <c r="M261" s="11">
        <f t="shared" si="4"/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</row>
    <row r="262" spans="1:18">
      <c r="A262" s="11">
        <v>4010504</v>
      </c>
      <c r="B262" s="10" t="s">
        <v>995</v>
      </c>
      <c r="D262" s="10" t="str">
        <f t="shared" si="17"/>
        <v>4</v>
      </c>
      <c r="E262" s="24">
        <f t="shared" si="13"/>
        <v>3</v>
      </c>
      <c r="F262" s="10" t="str">
        <f t="shared" si="14"/>
        <v>equip_wlxz_454</v>
      </c>
      <c r="G262" s="10">
        <v>2</v>
      </c>
      <c r="H262" s="10" t="str">
        <f t="shared" si="15"/>
        <v>4</v>
      </c>
      <c r="I262" s="10" t="str">
        <f t="shared" si="16"/>
        <v>1</v>
      </c>
      <c r="J262" s="11">
        <v>0</v>
      </c>
      <c r="K262" s="11">
        <v>0</v>
      </c>
      <c r="L262" s="11">
        <v>1</v>
      </c>
      <c r="M262" s="11">
        <f t="shared" si="4"/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</row>
    <row r="263" spans="1:18">
      <c r="A263" s="11">
        <v>4010505</v>
      </c>
      <c r="B263" s="10" t="s">
        <v>996</v>
      </c>
      <c r="D263" s="10" t="str">
        <f t="shared" si="17"/>
        <v>4</v>
      </c>
      <c r="E263" s="24">
        <f t="shared" si="13"/>
        <v>3</v>
      </c>
      <c r="F263" s="10" t="str">
        <f t="shared" si="14"/>
        <v>equip_wlxz_455</v>
      </c>
      <c r="G263" s="10">
        <v>2</v>
      </c>
      <c r="H263" s="10" t="str">
        <f t="shared" si="15"/>
        <v>5</v>
      </c>
      <c r="I263" s="10" t="str">
        <f t="shared" si="16"/>
        <v>1</v>
      </c>
      <c r="J263" s="11">
        <v>0</v>
      </c>
      <c r="K263" s="11">
        <v>0</v>
      </c>
      <c r="L263" s="11">
        <v>1</v>
      </c>
      <c r="M263" s="11">
        <f t="shared" si="4"/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</row>
    <row r="264" spans="1:18">
      <c r="A264" s="11">
        <v>4010602</v>
      </c>
      <c r="B264" s="10" t="s">
        <v>997</v>
      </c>
      <c r="D264" s="10" t="str">
        <f t="shared" si="17"/>
        <v>4</v>
      </c>
      <c r="E264" s="24">
        <f t="shared" si="13"/>
        <v>3</v>
      </c>
      <c r="F264" s="10" t="str">
        <f t="shared" si="14"/>
        <v>equip_wlxz_462</v>
      </c>
      <c r="G264" s="10">
        <v>2</v>
      </c>
      <c r="H264" s="10" t="str">
        <f t="shared" si="15"/>
        <v>2</v>
      </c>
      <c r="I264" s="10" t="str">
        <f t="shared" si="16"/>
        <v>1</v>
      </c>
      <c r="J264" s="11">
        <v>0</v>
      </c>
      <c r="K264" s="11">
        <v>0</v>
      </c>
      <c r="L264" s="11">
        <v>1</v>
      </c>
      <c r="M264" s="11">
        <f t="shared" si="4"/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</row>
    <row r="265" spans="1:18">
      <c r="A265" s="11">
        <v>4010603</v>
      </c>
      <c r="B265" s="10" t="s">
        <v>998</v>
      </c>
      <c r="D265" s="10" t="str">
        <f t="shared" si="17"/>
        <v>4</v>
      </c>
      <c r="E265" s="24">
        <f t="shared" si="13"/>
        <v>3</v>
      </c>
      <c r="F265" s="10" t="str">
        <f t="shared" si="14"/>
        <v>equip_wlxz_463</v>
      </c>
      <c r="G265" s="10">
        <v>2</v>
      </c>
      <c r="H265" s="10" t="str">
        <f t="shared" si="15"/>
        <v>3</v>
      </c>
      <c r="I265" s="10" t="str">
        <f t="shared" si="16"/>
        <v>1</v>
      </c>
      <c r="J265" s="11">
        <v>0</v>
      </c>
      <c r="K265" s="11">
        <v>0</v>
      </c>
      <c r="L265" s="11">
        <v>1</v>
      </c>
      <c r="M265" s="11">
        <f t="shared" si="4"/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</row>
    <row r="266" spans="1:18">
      <c r="A266" s="11">
        <v>4010604</v>
      </c>
      <c r="B266" s="10" t="s">
        <v>999</v>
      </c>
      <c r="D266" s="10" t="str">
        <f t="shared" si="17"/>
        <v>4</v>
      </c>
      <c r="E266" s="24">
        <f t="shared" si="13"/>
        <v>3</v>
      </c>
      <c r="F266" s="10" t="str">
        <f t="shared" si="14"/>
        <v>equip_wlxz_464</v>
      </c>
      <c r="G266" s="10">
        <v>2</v>
      </c>
      <c r="H266" s="10" t="str">
        <f t="shared" si="15"/>
        <v>4</v>
      </c>
      <c r="I266" s="10" t="str">
        <f t="shared" si="16"/>
        <v>1</v>
      </c>
      <c r="J266" s="11">
        <v>0</v>
      </c>
      <c r="K266" s="11">
        <v>0</v>
      </c>
      <c r="L266" s="11">
        <v>1</v>
      </c>
      <c r="M266" s="11">
        <f t="shared" si="4"/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</row>
    <row r="267" spans="1:18">
      <c r="A267" s="11">
        <v>4010605</v>
      </c>
      <c r="B267" s="10" t="s">
        <v>1000</v>
      </c>
      <c r="D267" s="10" t="str">
        <f t="shared" si="17"/>
        <v>4</v>
      </c>
      <c r="E267" s="24">
        <f t="shared" si="13"/>
        <v>3</v>
      </c>
      <c r="F267" s="10" t="str">
        <f t="shared" si="14"/>
        <v>equip_wlxz_465</v>
      </c>
      <c r="G267" s="10">
        <v>2</v>
      </c>
      <c r="H267" s="10" t="str">
        <f t="shared" si="15"/>
        <v>5</v>
      </c>
      <c r="I267" s="10" t="str">
        <f t="shared" si="16"/>
        <v>1</v>
      </c>
      <c r="J267" s="11">
        <v>0</v>
      </c>
      <c r="K267" s="11">
        <v>0</v>
      </c>
      <c r="L267" s="11">
        <v>1</v>
      </c>
      <c r="M267" s="11">
        <f t="shared" si="4"/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</row>
    <row r="268" spans="1:18">
      <c r="A268" s="11">
        <v>4010702</v>
      </c>
      <c r="B268" s="10" t="s">
        <v>1001</v>
      </c>
      <c r="D268" s="10" t="str">
        <f t="shared" si="17"/>
        <v>4</v>
      </c>
      <c r="E268" s="24">
        <f t="shared" si="13"/>
        <v>3</v>
      </c>
      <c r="F268" s="10" t="str">
        <f t="shared" si="14"/>
        <v>equip_wlxz_472</v>
      </c>
      <c r="G268" s="10">
        <v>2</v>
      </c>
      <c r="H268" s="10" t="str">
        <f t="shared" si="15"/>
        <v>2</v>
      </c>
      <c r="I268" s="10" t="str">
        <f t="shared" si="16"/>
        <v>1</v>
      </c>
      <c r="J268" s="11">
        <v>0</v>
      </c>
      <c r="K268" s="11">
        <v>0</v>
      </c>
      <c r="L268" s="11">
        <v>1</v>
      </c>
      <c r="M268" s="11">
        <f t="shared" si="4"/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</row>
    <row r="269" spans="1:18">
      <c r="A269" s="11">
        <v>4010703</v>
      </c>
      <c r="B269" s="10" t="s">
        <v>1002</v>
      </c>
      <c r="D269" s="10" t="str">
        <f t="shared" ref="D269:D291" si="18">MID(A269,1,1)</f>
        <v>4</v>
      </c>
      <c r="E269" s="24">
        <f t="shared" si="13"/>
        <v>3</v>
      </c>
      <c r="F269" s="10" t="str">
        <f t="shared" si="14"/>
        <v>equip_wlxz_473</v>
      </c>
      <c r="G269" s="10">
        <v>2</v>
      </c>
      <c r="H269" s="10" t="str">
        <f t="shared" si="15"/>
        <v>3</v>
      </c>
      <c r="I269" s="10" t="str">
        <f t="shared" si="16"/>
        <v>1</v>
      </c>
      <c r="J269" s="11">
        <v>0</v>
      </c>
      <c r="K269" s="11">
        <v>0</v>
      </c>
      <c r="L269" s="11">
        <v>1</v>
      </c>
      <c r="M269" s="11">
        <f t="shared" si="4"/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</row>
    <row r="270" spans="1:18">
      <c r="A270" s="11">
        <v>4010704</v>
      </c>
      <c r="B270" s="10" t="s">
        <v>1003</v>
      </c>
      <c r="D270" s="10" t="str">
        <f t="shared" si="18"/>
        <v>4</v>
      </c>
      <c r="E270" s="24">
        <f t="shared" si="13"/>
        <v>3</v>
      </c>
      <c r="F270" s="10" t="str">
        <f t="shared" si="14"/>
        <v>equip_wlxz_474</v>
      </c>
      <c r="G270" s="10">
        <v>2</v>
      </c>
      <c r="H270" s="10" t="str">
        <f t="shared" si="15"/>
        <v>4</v>
      </c>
      <c r="I270" s="10" t="str">
        <f t="shared" si="16"/>
        <v>1</v>
      </c>
      <c r="J270" s="11">
        <v>0</v>
      </c>
      <c r="K270" s="11">
        <v>0</v>
      </c>
      <c r="L270" s="11">
        <v>1</v>
      </c>
      <c r="M270" s="11">
        <f t="shared" si="4"/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</row>
    <row r="271" spans="1:18">
      <c r="A271" s="11">
        <v>4010705</v>
      </c>
      <c r="B271" s="10" t="s">
        <v>1004</v>
      </c>
      <c r="D271" s="10" t="str">
        <f t="shared" si="18"/>
        <v>4</v>
      </c>
      <c r="E271" s="24">
        <f t="shared" si="13"/>
        <v>3</v>
      </c>
      <c r="F271" s="10" t="str">
        <f t="shared" si="14"/>
        <v>equip_wlxz_475</v>
      </c>
      <c r="G271" s="10">
        <v>2</v>
      </c>
      <c r="H271" s="10" t="str">
        <f t="shared" si="15"/>
        <v>5</v>
      </c>
      <c r="I271" s="10" t="str">
        <f t="shared" si="16"/>
        <v>1</v>
      </c>
      <c r="J271" s="11">
        <v>0</v>
      </c>
      <c r="K271" s="11">
        <v>0</v>
      </c>
      <c r="L271" s="11">
        <v>1</v>
      </c>
      <c r="M271" s="11">
        <f t="shared" si="4"/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</row>
    <row r="272" spans="1:18">
      <c r="A272" s="11">
        <v>4010802</v>
      </c>
      <c r="B272" s="10" t="s">
        <v>1005</v>
      </c>
      <c r="D272" s="10" t="str">
        <f t="shared" si="18"/>
        <v>4</v>
      </c>
      <c r="E272" s="24">
        <f t="shared" si="13"/>
        <v>3</v>
      </c>
      <c r="F272" s="10" t="str">
        <f t="shared" si="14"/>
        <v>equip_wlxz_482</v>
      </c>
      <c r="G272" s="10">
        <v>2</v>
      </c>
      <c r="H272" s="10" t="str">
        <f t="shared" si="15"/>
        <v>2</v>
      </c>
      <c r="I272" s="10" t="str">
        <f t="shared" si="16"/>
        <v>1</v>
      </c>
      <c r="J272" s="11">
        <v>0</v>
      </c>
      <c r="K272" s="11">
        <v>0</v>
      </c>
      <c r="L272" s="11">
        <v>1</v>
      </c>
      <c r="M272" s="11">
        <f t="shared" si="4"/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</row>
    <row r="273" spans="1:18">
      <c r="A273" s="11">
        <v>4010803</v>
      </c>
      <c r="B273" s="10" t="s">
        <v>1006</v>
      </c>
      <c r="D273" s="10" t="str">
        <f t="shared" si="18"/>
        <v>4</v>
      </c>
      <c r="E273" s="24">
        <f t="shared" si="13"/>
        <v>3</v>
      </c>
      <c r="F273" s="10" t="str">
        <f t="shared" si="14"/>
        <v>equip_wlxz_483</v>
      </c>
      <c r="G273" s="10">
        <v>2</v>
      </c>
      <c r="H273" s="10" t="str">
        <f t="shared" si="15"/>
        <v>3</v>
      </c>
      <c r="I273" s="10" t="str">
        <f t="shared" si="16"/>
        <v>1</v>
      </c>
      <c r="J273" s="11">
        <v>0</v>
      </c>
      <c r="K273" s="11">
        <v>0</v>
      </c>
      <c r="L273" s="11">
        <v>1</v>
      </c>
      <c r="M273" s="11">
        <f t="shared" si="4"/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</row>
    <row r="274" spans="1:18">
      <c r="A274" s="11">
        <v>4010804</v>
      </c>
      <c r="B274" s="10" t="s">
        <v>1007</v>
      </c>
      <c r="D274" s="10" t="str">
        <f t="shared" si="18"/>
        <v>4</v>
      </c>
      <c r="E274" s="24">
        <f t="shared" si="13"/>
        <v>3</v>
      </c>
      <c r="F274" s="10" t="str">
        <f t="shared" si="14"/>
        <v>equip_wlxz_484</v>
      </c>
      <c r="G274" s="10">
        <v>2</v>
      </c>
      <c r="H274" s="10" t="str">
        <f t="shared" si="15"/>
        <v>4</v>
      </c>
      <c r="I274" s="10" t="str">
        <f t="shared" si="16"/>
        <v>1</v>
      </c>
      <c r="J274" s="11">
        <v>0</v>
      </c>
      <c r="K274" s="11">
        <v>0</v>
      </c>
      <c r="L274" s="11">
        <v>1</v>
      </c>
      <c r="M274" s="11">
        <f t="shared" si="4"/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</row>
    <row r="275" spans="1:18">
      <c r="A275" s="11">
        <v>4010805</v>
      </c>
      <c r="B275" s="10" t="s">
        <v>1008</v>
      </c>
      <c r="D275" s="10" t="str">
        <f t="shared" si="18"/>
        <v>4</v>
      </c>
      <c r="E275" s="24">
        <f t="shared" ref="E275:E306" si="19">IF(D275=1,D275,D275-1)</f>
        <v>3</v>
      </c>
      <c r="F275" s="10" t="str">
        <f t="shared" si="14"/>
        <v>equip_wlxz_485</v>
      </c>
      <c r="G275" s="10">
        <v>2</v>
      </c>
      <c r="H275" s="10" t="str">
        <f t="shared" si="15"/>
        <v>5</v>
      </c>
      <c r="I275" s="10" t="str">
        <f t="shared" si="16"/>
        <v>1</v>
      </c>
      <c r="J275" s="11">
        <v>0</v>
      </c>
      <c r="K275" s="11">
        <v>0</v>
      </c>
      <c r="L275" s="11">
        <v>1</v>
      </c>
      <c r="M275" s="11">
        <f t="shared" si="4"/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</row>
    <row r="276" spans="1:18">
      <c r="A276" s="11">
        <v>4010902</v>
      </c>
      <c r="B276" s="10" t="s">
        <v>1009</v>
      </c>
      <c r="D276" s="10" t="str">
        <f t="shared" si="18"/>
        <v>4</v>
      </c>
      <c r="E276" s="24">
        <f t="shared" si="19"/>
        <v>3</v>
      </c>
      <c r="F276" s="10" t="str">
        <f t="shared" si="14"/>
        <v>equip_wlxz_492</v>
      </c>
      <c r="G276" s="10">
        <v>2</v>
      </c>
      <c r="H276" s="10" t="str">
        <f t="shared" si="15"/>
        <v>2</v>
      </c>
      <c r="I276" s="10" t="str">
        <f t="shared" si="16"/>
        <v>1</v>
      </c>
      <c r="J276" s="11">
        <v>0</v>
      </c>
      <c r="K276" s="11">
        <v>0</v>
      </c>
      <c r="L276" s="11">
        <v>1</v>
      </c>
      <c r="M276" s="11">
        <f t="shared" si="4"/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</row>
    <row r="277" spans="1:18">
      <c r="A277" s="11">
        <v>4010903</v>
      </c>
      <c r="B277" s="10" t="s">
        <v>1010</v>
      </c>
      <c r="D277" s="10" t="str">
        <f t="shared" si="18"/>
        <v>4</v>
      </c>
      <c r="E277" s="24">
        <f t="shared" si="19"/>
        <v>3</v>
      </c>
      <c r="F277" s="10" t="str">
        <f t="shared" si="14"/>
        <v>equip_wlxz_493</v>
      </c>
      <c r="G277" s="10">
        <v>2</v>
      </c>
      <c r="H277" s="10" t="str">
        <f t="shared" si="15"/>
        <v>3</v>
      </c>
      <c r="I277" s="10" t="str">
        <f t="shared" si="16"/>
        <v>1</v>
      </c>
      <c r="J277" s="11">
        <v>0</v>
      </c>
      <c r="K277" s="11">
        <v>0</v>
      </c>
      <c r="L277" s="11">
        <v>1</v>
      </c>
      <c r="M277" s="11">
        <f t="shared" ref="M277:M340" si="20">IF(G277=1,1,0)</f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</row>
    <row r="278" spans="1:18">
      <c r="A278" s="11">
        <v>4010904</v>
      </c>
      <c r="B278" s="10" t="s">
        <v>1011</v>
      </c>
      <c r="D278" s="10" t="str">
        <f t="shared" si="18"/>
        <v>4</v>
      </c>
      <c r="E278" s="24">
        <f t="shared" si="19"/>
        <v>3</v>
      </c>
      <c r="F278" s="10" t="str">
        <f t="shared" si="14"/>
        <v>equip_wlxz_494</v>
      </c>
      <c r="G278" s="10">
        <v>2</v>
      </c>
      <c r="H278" s="10" t="str">
        <f t="shared" si="15"/>
        <v>4</v>
      </c>
      <c r="I278" s="10" t="str">
        <f t="shared" si="16"/>
        <v>1</v>
      </c>
      <c r="J278" s="11">
        <v>0</v>
      </c>
      <c r="K278" s="11">
        <v>0</v>
      </c>
      <c r="L278" s="11">
        <v>1</v>
      </c>
      <c r="M278" s="11">
        <f t="shared" si="20"/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</row>
    <row r="279" spans="1:18">
      <c r="A279" s="11">
        <v>4010905</v>
      </c>
      <c r="B279" s="10" t="s">
        <v>1012</v>
      </c>
      <c r="D279" s="10" t="str">
        <f t="shared" si="18"/>
        <v>4</v>
      </c>
      <c r="E279" s="24">
        <f t="shared" si="19"/>
        <v>3</v>
      </c>
      <c r="F279" s="10" t="str">
        <f t="shared" si="14"/>
        <v>equip_wlxz_495</v>
      </c>
      <c r="G279" s="10">
        <v>2</v>
      </c>
      <c r="H279" s="10" t="str">
        <f t="shared" si="15"/>
        <v>5</v>
      </c>
      <c r="I279" s="10" t="str">
        <f t="shared" si="16"/>
        <v>1</v>
      </c>
      <c r="J279" s="11">
        <v>0</v>
      </c>
      <c r="K279" s="11">
        <v>0</v>
      </c>
      <c r="L279" s="11">
        <v>1</v>
      </c>
      <c r="M279" s="11">
        <f t="shared" si="20"/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</row>
    <row r="280" spans="1:18">
      <c r="A280" s="11">
        <v>4011002</v>
      </c>
      <c r="B280" s="10" t="s">
        <v>1013</v>
      </c>
      <c r="D280" s="10" t="str">
        <f t="shared" si="18"/>
        <v>4</v>
      </c>
      <c r="E280" s="24">
        <f t="shared" si="19"/>
        <v>3</v>
      </c>
      <c r="F280" s="10" t="str">
        <f t="shared" si="14"/>
        <v>equip_wlxz_402</v>
      </c>
      <c r="G280" s="10">
        <v>2</v>
      </c>
      <c r="H280" s="10" t="str">
        <f t="shared" si="15"/>
        <v>2</v>
      </c>
      <c r="I280" s="10" t="str">
        <f t="shared" si="16"/>
        <v>1</v>
      </c>
      <c r="J280" s="11">
        <v>0</v>
      </c>
      <c r="K280" s="11">
        <v>0</v>
      </c>
      <c r="L280" s="11">
        <v>1</v>
      </c>
      <c r="M280" s="11">
        <f t="shared" si="20"/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</row>
    <row r="281" spans="1:18">
      <c r="A281" s="11">
        <v>4011003</v>
      </c>
      <c r="B281" s="10" t="s">
        <v>1014</v>
      </c>
      <c r="D281" s="10" t="str">
        <f t="shared" si="18"/>
        <v>4</v>
      </c>
      <c r="E281" s="24">
        <f t="shared" si="19"/>
        <v>3</v>
      </c>
      <c r="F281" s="10" t="str">
        <f t="shared" ref="F281:F312" si="21">"equip_"&amp;IF(I281="1","wl","mf")&amp;IF(I281="2","sp",IF(I281="3","wq",IF(I281="4","yf","xz")))&amp;"_"&amp;MID(A281,1,1)&amp;MID(A281,5,1)&amp;MID(A281,7,1)</f>
        <v>equip_wlxz_403</v>
      </c>
      <c r="G281" s="10">
        <v>2</v>
      </c>
      <c r="H281" s="10" t="str">
        <f t="shared" ref="H281:H312" si="22">MID(A281,7,1)</f>
        <v>3</v>
      </c>
      <c r="I281" s="10" t="str">
        <f t="shared" ref="I281:I312" si="23">MID(A281,3,1)</f>
        <v>1</v>
      </c>
      <c r="J281" s="11">
        <v>0</v>
      </c>
      <c r="K281" s="11">
        <v>0</v>
      </c>
      <c r="L281" s="11">
        <v>1</v>
      </c>
      <c r="M281" s="11">
        <f t="shared" si="20"/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</row>
    <row r="282" spans="1:18">
      <c r="A282" s="11">
        <v>4011004</v>
      </c>
      <c r="B282" s="10" t="s">
        <v>1015</v>
      </c>
      <c r="D282" s="10" t="str">
        <f t="shared" si="18"/>
        <v>4</v>
      </c>
      <c r="E282" s="24">
        <f t="shared" si="19"/>
        <v>3</v>
      </c>
      <c r="F282" s="10" t="str">
        <f t="shared" si="21"/>
        <v>equip_wlxz_404</v>
      </c>
      <c r="G282" s="10">
        <v>2</v>
      </c>
      <c r="H282" s="10" t="str">
        <f t="shared" si="22"/>
        <v>4</v>
      </c>
      <c r="I282" s="10" t="str">
        <f t="shared" si="23"/>
        <v>1</v>
      </c>
      <c r="J282" s="11">
        <v>0</v>
      </c>
      <c r="K282" s="11">
        <v>0</v>
      </c>
      <c r="L282" s="11">
        <v>1</v>
      </c>
      <c r="M282" s="11">
        <f t="shared" si="20"/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</row>
    <row r="283" spans="1:18">
      <c r="A283" s="11">
        <v>4011005</v>
      </c>
      <c r="B283" s="10" t="s">
        <v>1016</v>
      </c>
      <c r="D283" s="10" t="str">
        <f t="shared" si="18"/>
        <v>4</v>
      </c>
      <c r="E283" s="24">
        <f t="shared" si="19"/>
        <v>3</v>
      </c>
      <c r="F283" s="10" t="str">
        <f t="shared" si="21"/>
        <v>equip_wlxz_405</v>
      </c>
      <c r="G283" s="10">
        <v>2</v>
      </c>
      <c r="H283" s="10" t="str">
        <f t="shared" si="22"/>
        <v>5</v>
      </c>
      <c r="I283" s="10" t="str">
        <f t="shared" si="23"/>
        <v>1</v>
      </c>
      <c r="J283" s="11">
        <v>0</v>
      </c>
      <c r="K283" s="11">
        <v>0</v>
      </c>
      <c r="L283" s="11">
        <v>1</v>
      </c>
      <c r="M283" s="11">
        <f t="shared" si="20"/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</row>
    <row r="284" spans="1:18">
      <c r="A284" s="11">
        <v>1020102</v>
      </c>
      <c r="B284" s="10" t="s">
        <v>1017</v>
      </c>
      <c r="D284" s="10" t="str">
        <f t="shared" si="18"/>
        <v>1</v>
      </c>
      <c r="E284" s="24">
        <f t="shared" si="19"/>
        <v>0</v>
      </c>
      <c r="F284" s="10" t="str">
        <f t="shared" si="21"/>
        <v>equip_mfsp_112</v>
      </c>
      <c r="G284" s="10">
        <v>2</v>
      </c>
      <c r="H284" s="10" t="str">
        <f t="shared" si="22"/>
        <v>2</v>
      </c>
      <c r="I284" s="10" t="str">
        <f t="shared" si="23"/>
        <v>2</v>
      </c>
      <c r="J284" s="11">
        <v>0</v>
      </c>
      <c r="K284" s="11">
        <v>0</v>
      </c>
      <c r="L284" s="11">
        <v>1</v>
      </c>
      <c r="M284" s="11">
        <f t="shared" si="20"/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</row>
    <row r="285" spans="1:18">
      <c r="A285" s="11">
        <v>1020103</v>
      </c>
      <c r="B285" s="10" t="s">
        <v>1018</v>
      </c>
      <c r="D285" s="10" t="str">
        <f t="shared" si="18"/>
        <v>1</v>
      </c>
      <c r="E285" s="24">
        <f t="shared" si="19"/>
        <v>0</v>
      </c>
      <c r="F285" s="10" t="str">
        <f t="shared" si="21"/>
        <v>equip_mfsp_113</v>
      </c>
      <c r="G285" s="10">
        <v>2</v>
      </c>
      <c r="H285" s="10" t="str">
        <f t="shared" si="22"/>
        <v>3</v>
      </c>
      <c r="I285" s="10" t="str">
        <f t="shared" si="23"/>
        <v>2</v>
      </c>
      <c r="J285" s="11">
        <v>0</v>
      </c>
      <c r="K285" s="11">
        <v>0</v>
      </c>
      <c r="L285" s="11">
        <v>1</v>
      </c>
      <c r="M285" s="11">
        <f t="shared" si="20"/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</row>
    <row r="286" spans="1:18">
      <c r="A286" s="11">
        <v>1020104</v>
      </c>
      <c r="B286" s="10" t="s">
        <v>1019</v>
      </c>
      <c r="D286" s="10" t="str">
        <f t="shared" si="18"/>
        <v>1</v>
      </c>
      <c r="E286" s="24">
        <f t="shared" si="19"/>
        <v>0</v>
      </c>
      <c r="F286" s="10" t="str">
        <f t="shared" si="21"/>
        <v>equip_mfsp_114</v>
      </c>
      <c r="G286" s="10">
        <v>2</v>
      </c>
      <c r="H286" s="10" t="str">
        <f t="shared" si="22"/>
        <v>4</v>
      </c>
      <c r="I286" s="10" t="str">
        <f t="shared" si="23"/>
        <v>2</v>
      </c>
      <c r="J286" s="11">
        <v>0</v>
      </c>
      <c r="K286" s="11">
        <v>0</v>
      </c>
      <c r="L286" s="11">
        <v>1</v>
      </c>
      <c r="M286" s="11">
        <f t="shared" si="20"/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</row>
    <row r="287" spans="1:18">
      <c r="A287" s="11">
        <v>1020105</v>
      </c>
      <c r="B287" s="10" t="s">
        <v>1020</v>
      </c>
      <c r="D287" s="10" t="str">
        <f t="shared" si="18"/>
        <v>1</v>
      </c>
      <c r="E287" s="24">
        <f t="shared" si="19"/>
        <v>0</v>
      </c>
      <c r="F287" s="10" t="str">
        <f t="shared" si="21"/>
        <v>equip_mfsp_115</v>
      </c>
      <c r="G287" s="10">
        <v>2</v>
      </c>
      <c r="H287" s="10" t="str">
        <f t="shared" si="22"/>
        <v>5</v>
      </c>
      <c r="I287" s="10" t="str">
        <f t="shared" si="23"/>
        <v>2</v>
      </c>
      <c r="J287" s="11">
        <v>0</v>
      </c>
      <c r="K287" s="11">
        <v>0</v>
      </c>
      <c r="L287" s="11">
        <v>1</v>
      </c>
      <c r="M287" s="11">
        <f t="shared" si="20"/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</row>
    <row r="288" spans="1:18">
      <c r="A288" s="11">
        <v>2020102</v>
      </c>
      <c r="B288" s="10" t="s">
        <v>1021</v>
      </c>
      <c r="D288" s="10" t="str">
        <f t="shared" si="18"/>
        <v>2</v>
      </c>
      <c r="E288" s="24">
        <f t="shared" si="19"/>
        <v>1</v>
      </c>
      <c r="F288" s="10" t="str">
        <f t="shared" si="21"/>
        <v>equip_mfsp_212</v>
      </c>
      <c r="G288" s="10">
        <v>2</v>
      </c>
      <c r="H288" s="10" t="str">
        <f t="shared" si="22"/>
        <v>2</v>
      </c>
      <c r="I288" s="10" t="str">
        <f t="shared" si="23"/>
        <v>2</v>
      </c>
      <c r="J288" s="11">
        <v>0</v>
      </c>
      <c r="K288" s="11">
        <v>0</v>
      </c>
      <c r="L288" s="11">
        <v>1</v>
      </c>
      <c r="M288" s="11">
        <f t="shared" si="20"/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</row>
    <row r="289" spans="1:18">
      <c r="A289" s="11">
        <v>2020103</v>
      </c>
      <c r="B289" s="10" t="s">
        <v>1022</v>
      </c>
      <c r="D289" s="10" t="str">
        <f t="shared" si="18"/>
        <v>2</v>
      </c>
      <c r="E289" s="24">
        <f t="shared" si="19"/>
        <v>1</v>
      </c>
      <c r="F289" s="10" t="str">
        <f t="shared" si="21"/>
        <v>equip_mfsp_213</v>
      </c>
      <c r="G289" s="10">
        <v>2</v>
      </c>
      <c r="H289" s="10" t="str">
        <f t="shared" si="22"/>
        <v>3</v>
      </c>
      <c r="I289" s="10" t="str">
        <f t="shared" si="23"/>
        <v>2</v>
      </c>
      <c r="J289" s="11">
        <v>0</v>
      </c>
      <c r="K289" s="11">
        <v>0</v>
      </c>
      <c r="L289" s="11">
        <v>1</v>
      </c>
      <c r="M289" s="11">
        <f t="shared" si="20"/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</row>
    <row r="290" spans="1:18">
      <c r="A290" s="11">
        <v>2020104</v>
      </c>
      <c r="B290" s="10" t="s">
        <v>1023</v>
      </c>
      <c r="D290" s="10" t="str">
        <f t="shared" si="18"/>
        <v>2</v>
      </c>
      <c r="E290" s="24">
        <f t="shared" si="19"/>
        <v>1</v>
      </c>
      <c r="F290" s="10" t="str">
        <f t="shared" si="21"/>
        <v>equip_mfsp_214</v>
      </c>
      <c r="G290" s="10">
        <v>2</v>
      </c>
      <c r="H290" s="10" t="str">
        <f t="shared" si="22"/>
        <v>4</v>
      </c>
      <c r="I290" s="10" t="str">
        <f t="shared" si="23"/>
        <v>2</v>
      </c>
      <c r="J290" s="11">
        <v>0</v>
      </c>
      <c r="K290" s="11">
        <v>0</v>
      </c>
      <c r="L290" s="11">
        <v>1</v>
      </c>
      <c r="M290" s="11">
        <f t="shared" si="20"/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</row>
    <row r="291" spans="1:18">
      <c r="A291" s="11">
        <v>2020105</v>
      </c>
      <c r="B291" s="10" t="s">
        <v>1024</v>
      </c>
      <c r="D291" s="10" t="str">
        <f t="shared" si="18"/>
        <v>2</v>
      </c>
      <c r="E291" s="24">
        <f t="shared" si="19"/>
        <v>1</v>
      </c>
      <c r="F291" s="10" t="str">
        <f t="shared" si="21"/>
        <v>equip_mfsp_215</v>
      </c>
      <c r="G291" s="10">
        <v>2</v>
      </c>
      <c r="H291" s="10" t="str">
        <f t="shared" si="22"/>
        <v>5</v>
      </c>
      <c r="I291" s="10" t="str">
        <f t="shared" si="23"/>
        <v>2</v>
      </c>
      <c r="J291" s="11">
        <v>0</v>
      </c>
      <c r="K291" s="11">
        <v>0</v>
      </c>
      <c r="L291" s="11">
        <v>1</v>
      </c>
      <c r="M291" s="11">
        <f t="shared" si="20"/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</row>
    <row r="292" spans="1:18">
      <c r="A292" s="11">
        <v>2020202</v>
      </c>
      <c r="B292" s="10" t="s">
        <v>1025</v>
      </c>
      <c r="D292" s="10" t="str">
        <f t="shared" ref="D292:D308" si="24">MID(A292,1,1)</f>
        <v>2</v>
      </c>
      <c r="E292" s="24">
        <f t="shared" si="19"/>
        <v>1</v>
      </c>
      <c r="F292" s="10" t="str">
        <f t="shared" si="21"/>
        <v>equip_mfsp_222</v>
      </c>
      <c r="G292" s="10">
        <v>2</v>
      </c>
      <c r="H292" s="10" t="str">
        <f t="shared" si="22"/>
        <v>2</v>
      </c>
      <c r="I292" s="10" t="str">
        <f t="shared" si="23"/>
        <v>2</v>
      </c>
      <c r="J292" s="11">
        <v>0</v>
      </c>
      <c r="K292" s="11">
        <v>0</v>
      </c>
      <c r="L292" s="11">
        <v>1</v>
      </c>
      <c r="M292" s="11">
        <f t="shared" si="20"/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</row>
    <row r="293" spans="1:18">
      <c r="A293" s="11">
        <v>2020203</v>
      </c>
      <c r="B293" s="10" t="s">
        <v>1026</v>
      </c>
      <c r="D293" s="10" t="str">
        <f t="shared" si="24"/>
        <v>2</v>
      </c>
      <c r="E293" s="24">
        <f t="shared" si="19"/>
        <v>1</v>
      </c>
      <c r="F293" s="10" t="str">
        <f t="shared" si="21"/>
        <v>equip_mfsp_223</v>
      </c>
      <c r="G293" s="10">
        <v>2</v>
      </c>
      <c r="H293" s="10" t="str">
        <f t="shared" si="22"/>
        <v>3</v>
      </c>
      <c r="I293" s="10" t="str">
        <f t="shared" si="23"/>
        <v>2</v>
      </c>
      <c r="J293" s="11">
        <v>0</v>
      </c>
      <c r="K293" s="11">
        <v>0</v>
      </c>
      <c r="L293" s="11">
        <v>1</v>
      </c>
      <c r="M293" s="11">
        <f t="shared" si="20"/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</row>
    <row r="294" spans="1:18">
      <c r="A294" s="11">
        <v>2020204</v>
      </c>
      <c r="B294" s="10" t="s">
        <v>1027</v>
      </c>
      <c r="D294" s="10" t="str">
        <f t="shared" si="24"/>
        <v>2</v>
      </c>
      <c r="E294" s="24">
        <f t="shared" si="19"/>
        <v>1</v>
      </c>
      <c r="F294" s="10" t="str">
        <f t="shared" si="21"/>
        <v>equip_mfsp_224</v>
      </c>
      <c r="G294" s="10">
        <v>2</v>
      </c>
      <c r="H294" s="10" t="str">
        <f t="shared" si="22"/>
        <v>4</v>
      </c>
      <c r="I294" s="10" t="str">
        <f t="shared" si="23"/>
        <v>2</v>
      </c>
      <c r="J294" s="11">
        <v>0</v>
      </c>
      <c r="K294" s="11">
        <v>0</v>
      </c>
      <c r="L294" s="11">
        <v>1</v>
      </c>
      <c r="M294" s="11">
        <f t="shared" si="20"/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</row>
    <row r="295" spans="1:18">
      <c r="A295" s="11">
        <v>2020205</v>
      </c>
      <c r="B295" s="10" t="s">
        <v>1028</v>
      </c>
      <c r="D295" s="10" t="str">
        <f t="shared" si="24"/>
        <v>2</v>
      </c>
      <c r="E295" s="24">
        <f t="shared" si="19"/>
        <v>1</v>
      </c>
      <c r="F295" s="10" t="str">
        <f t="shared" si="21"/>
        <v>equip_mfsp_225</v>
      </c>
      <c r="G295" s="10">
        <v>2</v>
      </c>
      <c r="H295" s="10" t="str">
        <f t="shared" si="22"/>
        <v>5</v>
      </c>
      <c r="I295" s="10" t="str">
        <f t="shared" si="23"/>
        <v>2</v>
      </c>
      <c r="J295" s="11">
        <v>0</v>
      </c>
      <c r="K295" s="11">
        <v>0</v>
      </c>
      <c r="L295" s="11">
        <v>1</v>
      </c>
      <c r="M295" s="11">
        <f t="shared" si="20"/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</row>
    <row r="296" spans="1:18">
      <c r="A296" s="11">
        <v>2020302</v>
      </c>
      <c r="B296" s="10" t="s">
        <v>1029</v>
      </c>
      <c r="D296" s="10" t="str">
        <f t="shared" si="24"/>
        <v>2</v>
      </c>
      <c r="E296" s="24">
        <f t="shared" si="19"/>
        <v>1</v>
      </c>
      <c r="F296" s="10" t="str">
        <f t="shared" si="21"/>
        <v>equip_mfsp_232</v>
      </c>
      <c r="G296" s="10">
        <v>2</v>
      </c>
      <c r="H296" s="10" t="str">
        <f t="shared" si="22"/>
        <v>2</v>
      </c>
      <c r="I296" s="10" t="str">
        <f t="shared" si="23"/>
        <v>2</v>
      </c>
      <c r="J296" s="11">
        <v>0</v>
      </c>
      <c r="K296" s="11">
        <v>0</v>
      </c>
      <c r="L296" s="11">
        <v>1</v>
      </c>
      <c r="M296" s="11">
        <f t="shared" si="20"/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</row>
    <row r="297" spans="1:18">
      <c r="A297" s="11">
        <v>2020303</v>
      </c>
      <c r="B297" s="10" t="s">
        <v>1030</v>
      </c>
      <c r="D297" s="10" t="str">
        <f t="shared" si="24"/>
        <v>2</v>
      </c>
      <c r="E297" s="24">
        <f t="shared" si="19"/>
        <v>1</v>
      </c>
      <c r="F297" s="10" t="str">
        <f t="shared" si="21"/>
        <v>equip_mfsp_233</v>
      </c>
      <c r="G297" s="10">
        <v>2</v>
      </c>
      <c r="H297" s="10" t="str">
        <f t="shared" si="22"/>
        <v>3</v>
      </c>
      <c r="I297" s="10" t="str">
        <f t="shared" si="23"/>
        <v>2</v>
      </c>
      <c r="J297" s="11">
        <v>0</v>
      </c>
      <c r="K297" s="11">
        <v>0</v>
      </c>
      <c r="L297" s="11">
        <v>1</v>
      </c>
      <c r="M297" s="11">
        <f t="shared" si="20"/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</row>
    <row r="298" spans="1:18">
      <c r="A298" s="11">
        <v>2020304</v>
      </c>
      <c r="B298" s="10" t="s">
        <v>1031</v>
      </c>
      <c r="D298" s="10" t="str">
        <f t="shared" si="24"/>
        <v>2</v>
      </c>
      <c r="E298" s="24">
        <f t="shared" si="19"/>
        <v>1</v>
      </c>
      <c r="F298" s="10" t="str">
        <f t="shared" si="21"/>
        <v>equip_mfsp_234</v>
      </c>
      <c r="G298" s="10">
        <v>2</v>
      </c>
      <c r="H298" s="10" t="str">
        <f t="shared" si="22"/>
        <v>4</v>
      </c>
      <c r="I298" s="10" t="str">
        <f t="shared" si="23"/>
        <v>2</v>
      </c>
      <c r="J298" s="11">
        <v>0</v>
      </c>
      <c r="K298" s="11">
        <v>0</v>
      </c>
      <c r="L298" s="11">
        <v>1</v>
      </c>
      <c r="M298" s="11">
        <f t="shared" si="20"/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</row>
    <row r="299" spans="1:18">
      <c r="A299" s="11">
        <v>2020305</v>
      </c>
      <c r="B299" s="10" t="s">
        <v>1032</v>
      </c>
      <c r="D299" s="10" t="str">
        <f t="shared" si="24"/>
        <v>2</v>
      </c>
      <c r="E299" s="24">
        <f t="shared" si="19"/>
        <v>1</v>
      </c>
      <c r="F299" s="10" t="str">
        <f t="shared" si="21"/>
        <v>equip_mfsp_235</v>
      </c>
      <c r="G299" s="10">
        <v>2</v>
      </c>
      <c r="H299" s="10" t="str">
        <f t="shared" si="22"/>
        <v>5</v>
      </c>
      <c r="I299" s="10" t="str">
        <f t="shared" si="23"/>
        <v>2</v>
      </c>
      <c r="J299" s="11">
        <v>0</v>
      </c>
      <c r="K299" s="11">
        <v>0</v>
      </c>
      <c r="L299" s="11">
        <v>1</v>
      </c>
      <c r="M299" s="11">
        <f t="shared" si="20"/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</row>
    <row r="300" spans="1:18">
      <c r="A300" s="11">
        <v>3020102</v>
      </c>
      <c r="B300" s="10" t="s">
        <v>1033</v>
      </c>
      <c r="D300" s="10" t="str">
        <f t="shared" si="24"/>
        <v>3</v>
      </c>
      <c r="E300" s="24">
        <f t="shared" si="19"/>
        <v>2</v>
      </c>
      <c r="F300" s="10" t="str">
        <f t="shared" si="21"/>
        <v>equip_mfsp_312</v>
      </c>
      <c r="G300" s="10">
        <v>2</v>
      </c>
      <c r="H300" s="10" t="str">
        <f t="shared" si="22"/>
        <v>2</v>
      </c>
      <c r="I300" s="10" t="str">
        <f t="shared" si="23"/>
        <v>2</v>
      </c>
      <c r="J300" s="11">
        <v>0</v>
      </c>
      <c r="K300" s="11">
        <v>0</v>
      </c>
      <c r="L300" s="11">
        <v>1</v>
      </c>
      <c r="M300" s="11">
        <f t="shared" si="20"/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</row>
    <row r="301" spans="1:18">
      <c r="A301" s="11">
        <v>3020103</v>
      </c>
      <c r="B301" s="10" t="s">
        <v>1034</v>
      </c>
      <c r="D301" s="10" t="str">
        <f t="shared" si="24"/>
        <v>3</v>
      </c>
      <c r="E301" s="24">
        <f t="shared" si="19"/>
        <v>2</v>
      </c>
      <c r="F301" s="10" t="str">
        <f t="shared" si="21"/>
        <v>equip_mfsp_313</v>
      </c>
      <c r="G301" s="10">
        <v>2</v>
      </c>
      <c r="H301" s="10" t="str">
        <f t="shared" si="22"/>
        <v>3</v>
      </c>
      <c r="I301" s="10" t="str">
        <f t="shared" si="23"/>
        <v>2</v>
      </c>
      <c r="J301" s="11">
        <v>0</v>
      </c>
      <c r="K301" s="11">
        <v>0</v>
      </c>
      <c r="L301" s="11">
        <v>1</v>
      </c>
      <c r="M301" s="11">
        <f t="shared" si="20"/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</row>
    <row r="302" spans="1:18">
      <c r="A302" s="11">
        <v>3020104</v>
      </c>
      <c r="B302" s="10" t="s">
        <v>1035</v>
      </c>
      <c r="D302" s="10" t="str">
        <f t="shared" si="24"/>
        <v>3</v>
      </c>
      <c r="E302" s="24">
        <f t="shared" si="19"/>
        <v>2</v>
      </c>
      <c r="F302" s="10" t="str">
        <f t="shared" si="21"/>
        <v>equip_mfsp_314</v>
      </c>
      <c r="G302" s="10">
        <v>2</v>
      </c>
      <c r="H302" s="10" t="str">
        <f t="shared" si="22"/>
        <v>4</v>
      </c>
      <c r="I302" s="10" t="str">
        <f t="shared" si="23"/>
        <v>2</v>
      </c>
      <c r="J302" s="11">
        <v>0</v>
      </c>
      <c r="K302" s="11">
        <v>0</v>
      </c>
      <c r="L302" s="11">
        <v>1</v>
      </c>
      <c r="M302" s="11">
        <f t="shared" si="20"/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</row>
    <row r="303" spans="1:18">
      <c r="A303" s="11">
        <v>3020105</v>
      </c>
      <c r="B303" s="10" t="s">
        <v>1036</v>
      </c>
      <c r="D303" s="10" t="str">
        <f t="shared" si="24"/>
        <v>3</v>
      </c>
      <c r="E303" s="24">
        <f t="shared" si="19"/>
        <v>2</v>
      </c>
      <c r="F303" s="10" t="str">
        <f t="shared" si="21"/>
        <v>equip_mfsp_315</v>
      </c>
      <c r="G303" s="10">
        <v>2</v>
      </c>
      <c r="H303" s="10" t="str">
        <f t="shared" si="22"/>
        <v>5</v>
      </c>
      <c r="I303" s="10" t="str">
        <f t="shared" si="23"/>
        <v>2</v>
      </c>
      <c r="J303" s="11">
        <v>0</v>
      </c>
      <c r="K303" s="11">
        <v>0</v>
      </c>
      <c r="L303" s="11">
        <v>1</v>
      </c>
      <c r="M303" s="11">
        <f t="shared" si="20"/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</row>
    <row r="304" spans="1:18">
      <c r="A304" s="11">
        <v>3020202</v>
      </c>
      <c r="B304" s="10" t="s">
        <v>1037</v>
      </c>
      <c r="D304" s="10" t="str">
        <f t="shared" si="24"/>
        <v>3</v>
      </c>
      <c r="E304" s="24">
        <f t="shared" si="19"/>
        <v>2</v>
      </c>
      <c r="F304" s="10" t="str">
        <f t="shared" si="21"/>
        <v>equip_mfsp_322</v>
      </c>
      <c r="G304" s="10">
        <v>2</v>
      </c>
      <c r="H304" s="10" t="str">
        <f t="shared" si="22"/>
        <v>2</v>
      </c>
      <c r="I304" s="10" t="str">
        <f t="shared" si="23"/>
        <v>2</v>
      </c>
      <c r="J304" s="11">
        <v>0</v>
      </c>
      <c r="K304" s="11">
        <v>0</v>
      </c>
      <c r="L304" s="11">
        <v>1</v>
      </c>
      <c r="M304" s="11">
        <f t="shared" si="20"/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</row>
    <row r="305" spans="1:18">
      <c r="A305" s="11">
        <v>3020203</v>
      </c>
      <c r="B305" s="10" t="s">
        <v>1038</v>
      </c>
      <c r="D305" s="10" t="str">
        <f t="shared" si="24"/>
        <v>3</v>
      </c>
      <c r="E305" s="24">
        <f t="shared" si="19"/>
        <v>2</v>
      </c>
      <c r="F305" s="10" t="str">
        <f t="shared" si="21"/>
        <v>equip_mfsp_323</v>
      </c>
      <c r="G305" s="10">
        <v>2</v>
      </c>
      <c r="H305" s="10" t="str">
        <f t="shared" si="22"/>
        <v>3</v>
      </c>
      <c r="I305" s="10" t="str">
        <f t="shared" si="23"/>
        <v>2</v>
      </c>
      <c r="J305" s="11">
        <v>0</v>
      </c>
      <c r="K305" s="11">
        <v>0</v>
      </c>
      <c r="L305" s="11">
        <v>1</v>
      </c>
      <c r="M305" s="11">
        <f t="shared" si="20"/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</row>
    <row r="306" spans="1:18">
      <c r="A306" s="11">
        <v>3020204</v>
      </c>
      <c r="B306" s="10" t="s">
        <v>1039</v>
      </c>
      <c r="D306" s="10" t="str">
        <f t="shared" si="24"/>
        <v>3</v>
      </c>
      <c r="E306" s="24">
        <f t="shared" si="19"/>
        <v>2</v>
      </c>
      <c r="F306" s="10" t="str">
        <f t="shared" si="21"/>
        <v>equip_mfsp_324</v>
      </c>
      <c r="G306" s="10">
        <v>2</v>
      </c>
      <c r="H306" s="10" t="str">
        <f t="shared" si="22"/>
        <v>4</v>
      </c>
      <c r="I306" s="10" t="str">
        <f t="shared" si="23"/>
        <v>2</v>
      </c>
      <c r="J306" s="11">
        <v>0</v>
      </c>
      <c r="K306" s="11">
        <v>0</v>
      </c>
      <c r="L306" s="11">
        <v>1</v>
      </c>
      <c r="M306" s="11">
        <f t="shared" si="20"/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</row>
    <row r="307" spans="1:18">
      <c r="A307" s="11">
        <v>3020205</v>
      </c>
      <c r="B307" s="10" t="s">
        <v>1040</v>
      </c>
      <c r="D307" s="10" t="str">
        <f t="shared" si="24"/>
        <v>3</v>
      </c>
      <c r="E307" s="24">
        <f t="shared" ref="E307:E351" si="25">IF(D307=1,D307,D307-1)</f>
        <v>2</v>
      </c>
      <c r="F307" s="10" t="str">
        <f t="shared" si="21"/>
        <v>equip_mfsp_325</v>
      </c>
      <c r="G307" s="10">
        <v>2</v>
      </c>
      <c r="H307" s="10" t="str">
        <f t="shared" si="22"/>
        <v>5</v>
      </c>
      <c r="I307" s="10" t="str">
        <f t="shared" si="23"/>
        <v>2</v>
      </c>
      <c r="J307" s="11">
        <v>0</v>
      </c>
      <c r="K307" s="11">
        <v>0</v>
      </c>
      <c r="L307" s="11">
        <v>1</v>
      </c>
      <c r="M307" s="11">
        <f t="shared" si="20"/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</row>
    <row r="308" spans="1:18">
      <c r="A308" s="11">
        <v>3020302</v>
      </c>
      <c r="B308" s="10" t="s">
        <v>1041</v>
      </c>
      <c r="D308" s="10" t="str">
        <f t="shared" si="24"/>
        <v>3</v>
      </c>
      <c r="E308" s="24">
        <f t="shared" si="25"/>
        <v>2</v>
      </c>
      <c r="F308" s="10" t="str">
        <f t="shared" si="21"/>
        <v>equip_mfsp_332</v>
      </c>
      <c r="G308" s="10">
        <v>2</v>
      </c>
      <c r="H308" s="10" t="str">
        <f t="shared" si="22"/>
        <v>2</v>
      </c>
      <c r="I308" s="10" t="str">
        <f t="shared" si="23"/>
        <v>2</v>
      </c>
      <c r="J308" s="11">
        <v>0</v>
      </c>
      <c r="K308" s="11">
        <v>0</v>
      </c>
      <c r="L308" s="11">
        <v>1</v>
      </c>
      <c r="M308" s="11">
        <f t="shared" si="20"/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</row>
    <row r="309" spans="1:18">
      <c r="A309" s="11">
        <v>3020303</v>
      </c>
      <c r="B309" s="10" t="s">
        <v>1042</v>
      </c>
      <c r="D309" s="10" t="str">
        <f t="shared" ref="D309:D324" si="26">MID(A309,1,1)</f>
        <v>3</v>
      </c>
      <c r="E309" s="24">
        <f t="shared" si="25"/>
        <v>2</v>
      </c>
      <c r="F309" s="10" t="str">
        <f t="shared" si="21"/>
        <v>equip_mfsp_333</v>
      </c>
      <c r="G309" s="10">
        <v>2</v>
      </c>
      <c r="H309" s="10" t="str">
        <f t="shared" si="22"/>
        <v>3</v>
      </c>
      <c r="I309" s="10" t="str">
        <f t="shared" si="23"/>
        <v>2</v>
      </c>
      <c r="J309" s="11">
        <v>0</v>
      </c>
      <c r="K309" s="11">
        <v>0</v>
      </c>
      <c r="L309" s="11">
        <v>1</v>
      </c>
      <c r="M309" s="11">
        <f t="shared" si="20"/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</row>
    <row r="310" spans="1:18">
      <c r="A310" s="11">
        <v>3020304</v>
      </c>
      <c r="B310" s="10" t="s">
        <v>1043</v>
      </c>
      <c r="D310" s="10" t="str">
        <f t="shared" si="26"/>
        <v>3</v>
      </c>
      <c r="E310" s="24">
        <f t="shared" si="25"/>
        <v>2</v>
      </c>
      <c r="F310" s="10" t="str">
        <f t="shared" si="21"/>
        <v>equip_mfsp_334</v>
      </c>
      <c r="G310" s="10">
        <v>2</v>
      </c>
      <c r="H310" s="10" t="str">
        <f t="shared" si="22"/>
        <v>4</v>
      </c>
      <c r="I310" s="10" t="str">
        <f t="shared" si="23"/>
        <v>2</v>
      </c>
      <c r="J310" s="11">
        <v>0</v>
      </c>
      <c r="K310" s="11">
        <v>0</v>
      </c>
      <c r="L310" s="11">
        <v>1</v>
      </c>
      <c r="M310" s="11">
        <f t="shared" si="20"/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</row>
    <row r="311" spans="1:18">
      <c r="A311" s="11">
        <v>3020305</v>
      </c>
      <c r="B311" s="10" t="s">
        <v>1044</v>
      </c>
      <c r="D311" s="10" t="str">
        <f t="shared" si="26"/>
        <v>3</v>
      </c>
      <c r="E311" s="24">
        <f t="shared" si="25"/>
        <v>2</v>
      </c>
      <c r="F311" s="10" t="str">
        <f t="shared" si="21"/>
        <v>equip_mfsp_335</v>
      </c>
      <c r="G311" s="10">
        <v>2</v>
      </c>
      <c r="H311" s="10" t="str">
        <f t="shared" si="22"/>
        <v>5</v>
      </c>
      <c r="I311" s="10" t="str">
        <f t="shared" si="23"/>
        <v>2</v>
      </c>
      <c r="J311" s="11">
        <v>0</v>
      </c>
      <c r="K311" s="11">
        <v>0</v>
      </c>
      <c r="L311" s="11">
        <v>1</v>
      </c>
      <c r="M311" s="11">
        <f t="shared" si="20"/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</row>
    <row r="312" spans="1:18">
      <c r="A312" s="11">
        <v>4020102</v>
      </c>
      <c r="B312" s="10" t="s">
        <v>1045</v>
      </c>
      <c r="D312" s="10" t="str">
        <f t="shared" si="26"/>
        <v>4</v>
      </c>
      <c r="E312" s="24">
        <f t="shared" si="25"/>
        <v>3</v>
      </c>
      <c r="F312" s="10" t="str">
        <f t="shared" si="21"/>
        <v>equip_mfsp_412</v>
      </c>
      <c r="G312" s="10">
        <v>2</v>
      </c>
      <c r="H312" s="10" t="str">
        <f t="shared" si="22"/>
        <v>2</v>
      </c>
      <c r="I312" s="10" t="str">
        <f t="shared" si="23"/>
        <v>2</v>
      </c>
      <c r="J312" s="11">
        <v>0</v>
      </c>
      <c r="K312" s="11">
        <v>0</v>
      </c>
      <c r="L312" s="11">
        <v>1</v>
      </c>
      <c r="M312" s="11">
        <f t="shared" si="20"/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</row>
    <row r="313" spans="1:18">
      <c r="A313" s="11">
        <v>4020103</v>
      </c>
      <c r="B313" s="10" t="s">
        <v>1046</v>
      </c>
      <c r="D313" s="10" t="str">
        <f t="shared" si="26"/>
        <v>4</v>
      </c>
      <c r="E313" s="24">
        <f t="shared" si="25"/>
        <v>3</v>
      </c>
      <c r="F313" s="10" t="str">
        <f t="shared" ref="F313:F351" si="27">"equip_"&amp;IF(I313="1","wl","mf")&amp;IF(I313="2","sp",IF(I313="3","wq",IF(I313="4","yf","xz")))&amp;"_"&amp;MID(A313,1,1)&amp;MID(A313,5,1)&amp;MID(A313,7,1)</f>
        <v>equip_mfsp_413</v>
      </c>
      <c r="G313" s="10">
        <v>2</v>
      </c>
      <c r="H313" s="10" t="str">
        <f t="shared" ref="H313:H351" si="28">MID(A313,7,1)</f>
        <v>3</v>
      </c>
      <c r="I313" s="10" t="str">
        <f t="shared" ref="I313:I351" si="29">MID(A313,3,1)</f>
        <v>2</v>
      </c>
      <c r="J313" s="11">
        <v>0</v>
      </c>
      <c r="K313" s="11">
        <v>0</v>
      </c>
      <c r="L313" s="11">
        <v>1</v>
      </c>
      <c r="M313" s="11">
        <f t="shared" si="20"/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</row>
    <row r="314" spans="1:18">
      <c r="A314" s="11">
        <v>4020104</v>
      </c>
      <c r="B314" s="10" t="s">
        <v>1047</v>
      </c>
      <c r="D314" s="10" t="str">
        <f t="shared" si="26"/>
        <v>4</v>
      </c>
      <c r="E314" s="24">
        <f t="shared" si="25"/>
        <v>3</v>
      </c>
      <c r="F314" s="10" t="str">
        <f t="shared" si="27"/>
        <v>equip_mfsp_414</v>
      </c>
      <c r="G314" s="10">
        <v>2</v>
      </c>
      <c r="H314" s="10" t="str">
        <f t="shared" si="28"/>
        <v>4</v>
      </c>
      <c r="I314" s="10" t="str">
        <f t="shared" si="29"/>
        <v>2</v>
      </c>
      <c r="J314" s="11">
        <v>0</v>
      </c>
      <c r="K314" s="11">
        <v>0</v>
      </c>
      <c r="L314" s="11">
        <v>1</v>
      </c>
      <c r="M314" s="11">
        <f t="shared" si="20"/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</row>
    <row r="315" spans="1:18">
      <c r="A315" s="11">
        <v>4020105</v>
      </c>
      <c r="B315" s="10" t="s">
        <v>1048</v>
      </c>
      <c r="D315" s="10" t="str">
        <f t="shared" si="26"/>
        <v>4</v>
      </c>
      <c r="E315" s="24">
        <f t="shared" si="25"/>
        <v>3</v>
      </c>
      <c r="F315" s="10" t="str">
        <f t="shared" si="27"/>
        <v>equip_mfsp_415</v>
      </c>
      <c r="G315" s="10">
        <v>2</v>
      </c>
      <c r="H315" s="10" t="str">
        <f t="shared" si="28"/>
        <v>5</v>
      </c>
      <c r="I315" s="10" t="str">
        <f t="shared" si="29"/>
        <v>2</v>
      </c>
      <c r="J315" s="11">
        <v>0</v>
      </c>
      <c r="K315" s="11">
        <v>0</v>
      </c>
      <c r="L315" s="11">
        <v>1</v>
      </c>
      <c r="M315" s="11">
        <f t="shared" si="20"/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</row>
    <row r="316" spans="1:18">
      <c r="A316" s="11">
        <v>4020202</v>
      </c>
      <c r="B316" s="10" t="s">
        <v>1049</v>
      </c>
      <c r="D316" s="10" t="str">
        <f t="shared" si="26"/>
        <v>4</v>
      </c>
      <c r="E316" s="24">
        <f t="shared" si="25"/>
        <v>3</v>
      </c>
      <c r="F316" s="10" t="str">
        <f t="shared" si="27"/>
        <v>equip_mfsp_422</v>
      </c>
      <c r="G316" s="10">
        <v>2</v>
      </c>
      <c r="H316" s="10" t="str">
        <f t="shared" si="28"/>
        <v>2</v>
      </c>
      <c r="I316" s="10" t="str">
        <f t="shared" si="29"/>
        <v>2</v>
      </c>
      <c r="J316" s="11">
        <v>0</v>
      </c>
      <c r="K316" s="11">
        <v>0</v>
      </c>
      <c r="L316" s="11">
        <v>1</v>
      </c>
      <c r="M316" s="11">
        <f t="shared" si="20"/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</row>
    <row r="317" spans="1:18">
      <c r="A317" s="11">
        <v>4020203</v>
      </c>
      <c r="B317" s="10" t="s">
        <v>1050</v>
      </c>
      <c r="D317" s="10" t="str">
        <f t="shared" si="26"/>
        <v>4</v>
      </c>
      <c r="E317" s="24">
        <f t="shared" si="25"/>
        <v>3</v>
      </c>
      <c r="F317" s="10" t="str">
        <f t="shared" si="27"/>
        <v>equip_mfsp_423</v>
      </c>
      <c r="G317" s="10">
        <v>2</v>
      </c>
      <c r="H317" s="10" t="str">
        <f t="shared" si="28"/>
        <v>3</v>
      </c>
      <c r="I317" s="10" t="str">
        <f t="shared" si="29"/>
        <v>2</v>
      </c>
      <c r="J317" s="11">
        <v>0</v>
      </c>
      <c r="K317" s="11">
        <v>0</v>
      </c>
      <c r="L317" s="11">
        <v>1</v>
      </c>
      <c r="M317" s="11">
        <f t="shared" si="20"/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</row>
    <row r="318" spans="1:18">
      <c r="A318" s="11">
        <v>4020204</v>
      </c>
      <c r="B318" s="10" t="s">
        <v>1051</v>
      </c>
      <c r="D318" s="10" t="str">
        <f t="shared" si="26"/>
        <v>4</v>
      </c>
      <c r="E318" s="24">
        <f t="shared" si="25"/>
        <v>3</v>
      </c>
      <c r="F318" s="10" t="str">
        <f t="shared" si="27"/>
        <v>equip_mfsp_424</v>
      </c>
      <c r="G318" s="10">
        <v>2</v>
      </c>
      <c r="H318" s="10" t="str">
        <f t="shared" si="28"/>
        <v>4</v>
      </c>
      <c r="I318" s="10" t="str">
        <f t="shared" si="29"/>
        <v>2</v>
      </c>
      <c r="J318" s="11">
        <v>0</v>
      </c>
      <c r="K318" s="11">
        <v>0</v>
      </c>
      <c r="L318" s="11">
        <v>1</v>
      </c>
      <c r="M318" s="11">
        <f t="shared" si="20"/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</row>
    <row r="319" spans="1:18">
      <c r="A319" s="11">
        <v>4020205</v>
      </c>
      <c r="B319" s="10" t="s">
        <v>1052</v>
      </c>
      <c r="D319" s="10" t="str">
        <f t="shared" si="26"/>
        <v>4</v>
      </c>
      <c r="E319" s="24">
        <f t="shared" si="25"/>
        <v>3</v>
      </c>
      <c r="F319" s="10" t="str">
        <f t="shared" si="27"/>
        <v>equip_mfsp_425</v>
      </c>
      <c r="G319" s="10">
        <v>2</v>
      </c>
      <c r="H319" s="10" t="str">
        <f t="shared" si="28"/>
        <v>5</v>
      </c>
      <c r="I319" s="10" t="str">
        <f t="shared" si="29"/>
        <v>2</v>
      </c>
      <c r="J319" s="11">
        <v>0</v>
      </c>
      <c r="K319" s="11">
        <v>0</v>
      </c>
      <c r="L319" s="11">
        <v>1</v>
      </c>
      <c r="M319" s="11">
        <f t="shared" si="20"/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</row>
    <row r="320" spans="1:18">
      <c r="A320" s="11">
        <v>4020302</v>
      </c>
      <c r="B320" s="10" t="s">
        <v>1053</v>
      </c>
      <c r="D320" s="10" t="str">
        <f t="shared" si="26"/>
        <v>4</v>
      </c>
      <c r="E320" s="24">
        <f t="shared" si="25"/>
        <v>3</v>
      </c>
      <c r="F320" s="10" t="str">
        <f t="shared" si="27"/>
        <v>equip_mfsp_432</v>
      </c>
      <c r="G320" s="10">
        <v>2</v>
      </c>
      <c r="H320" s="10" t="str">
        <f t="shared" si="28"/>
        <v>2</v>
      </c>
      <c r="I320" s="10" t="str">
        <f t="shared" si="29"/>
        <v>2</v>
      </c>
      <c r="J320" s="11">
        <v>0</v>
      </c>
      <c r="K320" s="11">
        <v>0</v>
      </c>
      <c r="L320" s="11">
        <v>1</v>
      </c>
      <c r="M320" s="11">
        <f t="shared" si="20"/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</row>
    <row r="321" spans="1:18">
      <c r="A321" s="11">
        <v>4020303</v>
      </c>
      <c r="B321" s="10" t="s">
        <v>1054</v>
      </c>
      <c r="D321" s="10" t="str">
        <f t="shared" si="26"/>
        <v>4</v>
      </c>
      <c r="E321" s="24">
        <f t="shared" si="25"/>
        <v>3</v>
      </c>
      <c r="F321" s="10" t="str">
        <f t="shared" si="27"/>
        <v>equip_mfsp_433</v>
      </c>
      <c r="G321" s="10">
        <v>2</v>
      </c>
      <c r="H321" s="10" t="str">
        <f t="shared" si="28"/>
        <v>3</v>
      </c>
      <c r="I321" s="10" t="str">
        <f t="shared" si="29"/>
        <v>2</v>
      </c>
      <c r="J321" s="11">
        <v>0</v>
      </c>
      <c r="K321" s="11">
        <v>0</v>
      </c>
      <c r="L321" s="11">
        <v>1</v>
      </c>
      <c r="M321" s="11">
        <f t="shared" si="20"/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</row>
    <row r="322" spans="1:18">
      <c r="A322" s="11">
        <v>4020304</v>
      </c>
      <c r="B322" s="10" t="s">
        <v>1055</v>
      </c>
      <c r="D322" s="10" t="str">
        <f t="shared" si="26"/>
        <v>4</v>
      </c>
      <c r="E322" s="24">
        <f t="shared" si="25"/>
        <v>3</v>
      </c>
      <c r="F322" s="10" t="str">
        <f t="shared" si="27"/>
        <v>equip_mfsp_434</v>
      </c>
      <c r="G322" s="10">
        <v>2</v>
      </c>
      <c r="H322" s="10" t="str">
        <f t="shared" si="28"/>
        <v>4</v>
      </c>
      <c r="I322" s="10" t="str">
        <f t="shared" si="29"/>
        <v>2</v>
      </c>
      <c r="J322" s="11">
        <v>0</v>
      </c>
      <c r="K322" s="11">
        <v>0</v>
      </c>
      <c r="L322" s="11">
        <v>1</v>
      </c>
      <c r="M322" s="11">
        <f t="shared" si="20"/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</row>
    <row r="323" spans="1:18">
      <c r="A323" s="11">
        <v>4020305</v>
      </c>
      <c r="B323" s="10" t="s">
        <v>1056</v>
      </c>
      <c r="D323" s="10" t="str">
        <f t="shared" si="26"/>
        <v>4</v>
      </c>
      <c r="E323" s="24">
        <f t="shared" si="25"/>
        <v>3</v>
      </c>
      <c r="F323" s="10" t="str">
        <f t="shared" si="27"/>
        <v>equip_mfsp_435</v>
      </c>
      <c r="G323" s="10">
        <v>2</v>
      </c>
      <c r="H323" s="10" t="str">
        <f t="shared" si="28"/>
        <v>5</v>
      </c>
      <c r="I323" s="10" t="str">
        <f t="shared" si="29"/>
        <v>2</v>
      </c>
      <c r="J323" s="11">
        <v>0</v>
      </c>
      <c r="K323" s="11">
        <v>0</v>
      </c>
      <c r="L323" s="11">
        <v>1</v>
      </c>
      <c r="M323" s="11">
        <f t="shared" si="20"/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</row>
    <row r="324" spans="1:18">
      <c r="A324" s="11">
        <v>4020402</v>
      </c>
      <c r="B324" s="10" t="s">
        <v>1057</v>
      </c>
      <c r="D324" s="10" t="str">
        <f t="shared" si="26"/>
        <v>4</v>
      </c>
      <c r="E324" s="24">
        <f t="shared" si="25"/>
        <v>3</v>
      </c>
      <c r="F324" s="10" t="str">
        <f t="shared" si="27"/>
        <v>equip_mfsp_442</v>
      </c>
      <c r="G324" s="10">
        <v>2</v>
      </c>
      <c r="H324" s="10" t="str">
        <f t="shared" si="28"/>
        <v>2</v>
      </c>
      <c r="I324" s="10" t="str">
        <f t="shared" si="29"/>
        <v>2</v>
      </c>
      <c r="J324" s="11">
        <v>0</v>
      </c>
      <c r="K324" s="11">
        <v>0</v>
      </c>
      <c r="L324" s="11">
        <v>1</v>
      </c>
      <c r="M324" s="11">
        <f t="shared" si="20"/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</row>
    <row r="325" spans="1:18">
      <c r="A325" s="11">
        <v>4020403</v>
      </c>
      <c r="B325" s="10" t="s">
        <v>1058</v>
      </c>
      <c r="D325" s="10" t="str">
        <f t="shared" ref="D325:D341" si="30">MID(A325,1,1)</f>
        <v>4</v>
      </c>
      <c r="E325" s="24">
        <f t="shared" si="25"/>
        <v>3</v>
      </c>
      <c r="F325" s="10" t="str">
        <f t="shared" si="27"/>
        <v>equip_mfsp_443</v>
      </c>
      <c r="G325" s="10">
        <v>2</v>
      </c>
      <c r="H325" s="10" t="str">
        <f t="shared" si="28"/>
        <v>3</v>
      </c>
      <c r="I325" s="10" t="str">
        <f t="shared" si="29"/>
        <v>2</v>
      </c>
      <c r="J325" s="11">
        <v>0</v>
      </c>
      <c r="K325" s="11">
        <v>0</v>
      </c>
      <c r="L325" s="11">
        <v>1</v>
      </c>
      <c r="M325" s="11">
        <f t="shared" si="20"/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</row>
    <row r="326" spans="1:18">
      <c r="A326" s="11">
        <v>4020404</v>
      </c>
      <c r="B326" s="10" t="s">
        <v>1059</v>
      </c>
      <c r="D326" s="10" t="str">
        <f t="shared" si="30"/>
        <v>4</v>
      </c>
      <c r="E326" s="24">
        <f t="shared" si="25"/>
        <v>3</v>
      </c>
      <c r="F326" s="10" t="str">
        <f t="shared" si="27"/>
        <v>equip_mfsp_444</v>
      </c>
      <c r="G326" s="10">
        <v>2</v>
      </c>
      <c r="H326" s="10" t="str">
        <f t="shared" si="28"/>
        <v>4</v>
      </c>
      <c r="I326" s="10" t="str">
        <f t="shared" si="29"/>
        <v>2</v>
      </c>
      <c r="J326" s="11">
        <v>0</v>
      </c>
      <c r="K326" s="11">
        <v>0</v>
      </c>
      <c r="L326" s="11">
        <v>1</v>
      </c>
      <c r="M326" s="11">
        <f t="shared" si="20"/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</row>
    <row r="327" spans="1:18">
      <c r="A327" s="11">
        <v>4020405</v>
      </c>
      <c r="B327" s="10" t="s">
        <v>1060</v>
      </c>
      <c r="D327" s="10" t="str">
        <f t="shared" si="30"/>
        <v>4</v>
      </c>
      <c r="E327" s="24">
        <f t="shared" si="25"/>
        <v>3</v>
      </c>
      <c r="F327" s="10" t="str">
        <f t="shared" si="27"/>
        <v>equip_mfsp_445</v>
      </c>
      <c r="G327" s="10">
        <v>2</v>
      </c>
      <c r="H327" s="10" t="str">
        <f t="shared" si="28"/>
        <v>5</v>
      </c>
      <c r="I327" s="10" t="str">
        <f t="shared" si="29"/>
        <v>2</v>
      </c>
      <c r="J327" s="11">
        <v>0</v>
      </c>
      <c r="K327" s="11">
        <v>0</v>
      </c>
      <c r="L327" s="11">
        <v>1</v>
      </c>
      <c r="M327" s="11">
        <f t="shared" si="20"/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</row>
    <row r="328" spans="1:18">
      <c r="A328" s="11">
        <v>4020502</v>
      </c>
      <c r="B328" s="10" t="s">
        <v>1061</v>
      </c>
      <c r="D328" s="10" t="str">
        <f t="shared" si="30"/>
        <v>4</v>
      </c>
      <c r="E328" s="24">
        <f t="shared" si="25"/>
        <v>3</v>
      </c>
      <c r="F328" s="10" t="str">
        <f t="shared" si="27"/>
        <v>equip_mfsp_452</v>
      </c>
      <c r="G328" s="10">
        <v>2</v>
      </c>
      <c r="H328" s="10" t="str">
        <f t="shared" si="28"/>
        <v>2</v>
      </c>
      <c r="I328" s="10" t="str">
        <f t="shared" si="29"/>
        <v>2</v>
      </c>
      <c r="J328" s="11">
        <v>0</v>
      </c>
      <c r="K328" s="11">
        <v>0</v>
      </c>
      <c r="L328" s="11">
        <v>1</v>
      </c>
      <c r="M328" s="11">
        <f t="shared" si="20"/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</row>
    <row r="329" spans="1:18">
      <c r="A329" s="11">
        <v>4020503</v>
      </c>
      <c r="B329" s="10" t="s">
        <v>1062</v>
      </c>
      <c r="D329" s="10" t="str">
        <f t="shared" si="30"/>
        <v>4</v>
      </c>
      <c r="E329" s="24">
        <f t="shared" si="25"/>
        <v>3</v>
      </c>
      <c r="F329" s="10" t="str">
        <f t="shared" si="27"/>
        <v>equip_mfsp_453</v>
      </c>
      <c r="G329" s="10">
        <v>2</v>
      </c>
      <c r="H329" s="10" t="str">
        <f t="shared" si="28"/>
        <v>3</v>
      </c>
      <c r="I329" s="10" t="str">
        <f t="shared" si="29"/>
        <v>2</v>
      </c>
      <c r="J329" s="11">
        <v>0</v>
      </c>
      <c r="K329" s="11">
        <v>0</v>
      </c>
      <c r="L329" s="11">
        <v>1</v>
      </c>
      <c r="M329" s="11">
        <f t="shared" si="20"/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</row>
    <row r="330" spans="1:18">
      <c r="A330" s="11">
        <v>4020504</v>
      </c>
      <c r="B330" s="10" t="s">
        <v>1063</v>
      </c>
      <c r="D330" s="10" t="str">
        <f t="shared" si="30"/>
        <v>4</v>
      </c>
      <c r="E330" s="24">
        <f t="shared" si="25"/>
        <v>3</v>
      </c>
      <c r="F330" s="10" t="str">
        <f t="shared" si="27"/>
        <v>equip_mfsp_454</v>
      </c>
      <c r="G330" s="10">
        <v>2</v>
      </c>
      <c r="H330" s="10" t="str">
        <f t="shared" si="28"/>
        <v>4</v>
      </c>
      <c r="I330" s="10" t="str">
        <f t="shared" si="29"/>
        <v>2</v>
      </c>
      <c r="J330" s="11">
        <v>0</v>
      </c>
      <c r="K330" s="11">
        <v>0</v>
      </c>
      <c r="L330" s="11">
        <v>1</v>
      </c>
      <c r="M330" s="11">
        <f t="shared" si="20"/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</row>
    <row r="331" spans="1:18">
      <c r="A331" s="11">
        <v>4020505</v>
      </c>
      <c r="B331" s="10" t="s">
        <v>1064</v>
      </c>
      <c r="D331" s="10" t="str">
        <f t="shared" si="30"/>
        <v>4</v>
      </c>
      <c r="E331" s="24">
        <f t="shared" si="25"/>
        <v>3</v>
      </c>
      <c r="F331" s="10" t="str">
        <f t="shared" si="27"/>
        <v>equip_mfsp_455</v>
      </c>
      <c r="G331" s="10">
        <v>2</v>
      </c>
      <c r="H331" s="10" t="str">
        <f t="shared" si="28"/>
        <v>5</v>
      </c>
      <c r="I331" s="10" t="str">
        <f t="shared" si="29"/>
        <v>2</v>
      </c>
      <c r="J331" s="11">
        <v>0</v>
      </c>
      <c r="K331" s="11">
        <v>0</v>
      </c>
      <c r="L331" s="11">
        <v>1</v>
      </c>
      <c r="M331" s="11">
        <f t="shared" si="20"/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</row>
    <row r="332" spans="1:18">
      <c r="A332" s="11">
        <v>4020602</v>
      </c>
      <c r="B332" s="10" t="s">
        <v>1065</v>
      </c>
      <c r="D332" s="10" t="str">
        <f t="shared" si="30"/>
        <v>4</v>
      </c>
      <c r="E332" s="24">
        <f t="shared" si="25"/>
        <v>3</v>
      </c>
      <c r="F332" s="10" t="str">
        <f t="shared" si="27"/>
        <v>equip_mfsp_462</v>
      </c>
      <c r="G332" s="10">
        <v>2</v>
      </c>
      <c r="H332" s="10" t="str">
        <f t="shared" si="28"/>
        <v>2</v>
      </c>
      <c r="I332" s="10" t="str">
        <f t="shared" si="29"/>
        <v>2</v>
      </c>
      <c r="J332" s="11">
        <v>0</v>
      </c>
      <c r="K332" s="11">
        <v>0</v>
      </c>
      <c r="L332" s="11">
        <v>1</v>
      </c>
      <c r="M332" s="11">
        <f t="shared" si="20"/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</row>
    <row r="333" spans="1:18">
      <c r="A333" s="11">
        <v>4020603</v>
      </c>
      <c r="B333" s="10" t="s">
        <v>1066</v>
      </c>
      <c r="D333" s="10" t="str">
        <f t="shared" si="30"/>
        <v>4</v>
      </c>
      <c r="E333" s="24">
        <f t="shared" si="25"/>
        <v>3</v>
      </c>
      <c r="F333" s="10" t="str">
        <f t="shared" si="27"/>
        <v>equip_mfsp_463</v>
      </c>
      <c r="G333" s="10">
        <v>2</v>
      </c>
      <c r="H333" s="10" t="str">
        <f t="shared" si="28"/>
        <v>3</v>
      </c>
      <c r="I333" s="10" t="str">
        <f t="shared" si="29"/>
        <v>2</v>
      </c>
      <c r="J333" s="11">
        <v>0</v>
      </c>
      <c r="K333" s="11">
        <v>0</v>
      </c>
      <c r="L333" s="11">
        <v>1</v>
      </c>
      <c r="M333" s="11">
        <f t="shared" si="20"/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</row>
    <row r="334" spans="1:18">
      <c r="A334" s="11">
        <v>4020604</v>
      </c>
      <c r="B334" s="10" t="s">
        <v>1067</v>
      </c>
      <c r="D334" s="10" t="str">
        <f t="shared" si="30"/>
        <v>4</v>
      </c>
      <c r="E334" s="24">
        <f t="shared" si="25"/>
        <v>3</v>
      </c>
      <c r="F334" s="10" t="str">
        <f t="shared" si="27"/>
        <v>equip_mfsp_464</v>
      </c>
      <c r="G334" s="10">
        <v>2</v>
      </c>
      <c r="H334" s="10" t="str">
        <f t="shared" si="28"/>
        <v>4</v>
      </c>
      <c r="I334" s="10" t="str">
        <f t="shared" si="29"/>
        <v>2</v>
      </c>
      <c r="J334" s="11">
        <v>0</v>
      </c>
      <c r="K334" s="11">
        <v>0</v>
      </c>
      <c r="L334" s="11">
        <v>1</v>
      </c>
      <c r="M334" s="11">
        <f t="shared" si="20"/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</row>
    <row r="335" spans="1:18">
      <c r="A335" s="11">
        <v>4020605</v>
      </c>
      <c r="B335" s="10" t="s">
        <v>1068</v>
      </c>
      <c r="D335" s="10" t="str">
        <f t="shared" si="30"/>
        <v>4</v>
      </c>
      <c r="E335" s="24">
        <f t="shared" si="25"/>
        <v>3</v>
      </c>
      <c r="F335" s="10" t="str">
        <f t="shared" si="27"/>
        <v>equip_mfsp_465</v>
      </c>
      <c r="G335" s="10">
        <v>2</v>
      </c>
      <c r="H335" s="10" t="str">
        <f t="shared" si="28"/>
        <v>5</v>
      </c>
      <c r="I335" s="10" t="str">
        <f t="shared" si="29"/>
        <v>2</v>
      </c>
      <c r="J335" s="11">
        <v>0</v>
      </c>
      <c r="K335" s="11">
        <v>0</v>
      </c>
      <c r="L335" s="11">
        <v>1</v>
      </c>
      <c r="M335" s="11">
        <f t="shared" si="20"/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</row>
    <row r="336" spans="1:18">
      <c r="A336" s="11">
        <v>4020702</v>
      </c>
      <c r="B336" s="10" t="s">
        <v>1069</v>
      </c>
      <c r="D336" s="10" t="str">
        <f t="shared" si="30"/>
        <v>4</v>
      </c>
      <c r="E336" s="24">
        <f t="shared" si="25"/>
        <v>3</v>
      </c>
      <c r="F336" s="10" t="str">
        <f t="shared" si="27"/>
        <v>equip_mfsp_472</v>
      </c>
      <c r="G336" s="10">
        <v>2</v>
      </c>
      <c r="H336" s="10" t="str">
        <f t="shared" si="28"/>
        <v>2</v>
      </c>
      <c r="I336" s="10" t="str">
        <f t="shared" si="29"/>
        <v>2</v>
      </c>
      <c r="J336" s="11">
        <v>0</v>
      </c>
      <c r="K336" s="11">
        <v>0</v>
      </c>
      <c r="L336" s="11">
        <v>1</v>
      </c>
      <c r="M336" s="11">
        <f t="shared" si="20"/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</row>
    <row r="337" spans="1:18">
      <c r="A337" s="11">
        <v>4020703</v>
      </c>
      <c r="B337" s="10" t="s">
        <v>1070</v>
      </c>
      <c r="D337" s="10" t="str">
        <f t="shared" si="30"/>
        <v>4</v>
      </c>
      <c r="E337" s="24">
        <f t="shared" si="25"/>
        <v>3</v>
      </c>
      <c r="F337" s="10" t="str">
        <f t="shared" si="27"/>
        <v>equip_mfsp_473</v>
      </c>
      <c r="G337" s="10">
        <v>2</v>
      </c>
      <c r="H337" s="10" t="str">
        <f t="shared" si="28"/>
        <v>3</v>
      </c>
      <c r="I337" s="10" t="str">
        <f t="shared" si="29"/>
        <v>2</v>
      </c>
      <c r="J337" s="11">
        <v>0</v>
      </c>
      <c r="K337" s="11">
        <v>0</v>
      </c>
      <c r="L337" s="11">
        <v>1</v>
      </c>
      <c r="M337" s="11">
        <f t="shared" si="20"/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</row>
    <row r="338" spans="1:18">
      <c r="A338" s="11">
        <v>4020704</v>
      </c>
      <c r="B338" s="10" t="s">
        <v>1071</v>
      </c>
      <c r="D338" s="10" t="str">
        <f t="shared" si="30"/>
        <v>4</v>
      </c>
      <c r="E338" s="24">
        <f t="shared" si="25"/>
        <v>3</v>
      </c>
      <c r="F338" s="10" t="str">
        <f t="shared" si="27"/>
        <v>equip_mfsp_474</v>
      </c>
      <c r="G338" s="10">
        <v>2</v>
      </c>
      <c r="H338" s="10" t="str">
        <f t="shared" si="28"/>
        <v>4</v>
      </c>
      <c r="I338" s="10" t="str">
        <f t="shared" si="29"/>
        <v>2</v>
      </c>
      <c r="J338" s="11">
        <v>0</v>
      </c>
      <c r="K338" s="11">
        <v>0</v>
      </c>
      <c r="L338" s="11">
        <v>1</v>
      </c>
      <c r="M338" s="11">
        <f t="shared" si="20"/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</row>
    <row r="339" spans="1:18">
      <c r="A339" s="11">
        <v>4020705</v>
      </c>
      <c r="B339" s="10" t="s">
        <v>1072</v>
      </c>
      <c r="D339" s="10" t="str">
        <f t="shared" si="30"/>
        <v>4</v>
      </c>
      <c r="E339" s="24">
        <f t="shared" si="25"/>
        <v>3</v>
      </c>
      <c r="F339" s="10" t="str">
        <f t="shared" si="27"/>
        <v>equip_mfsp_475</v>
      </c>
      <c r="G339" s="10">
        <v>2</v>
      </c>
      <c r="H339" s="10" t="str">
        <f t="shared" si="28"/>
        <v>5</v>
      </c>
      <c r="I339" s="10" t="str">
        <f t="shared" si="29"/>
        <v>2</v>
      </c>
      <c r="J339" s="11">
        <v>0</v>
      </c>
      <c r="K339" s="11">
        <v>0</v>
      </c>
      <c r="L339" s="11">
        <v>1</v>
      </c>
      <c r="M339" s="11">
        <f t="shared" si="20"/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</row>
    <row r="340" spans="1:18">
      <c r="A340" s="11">
        <v>4020802</v>
      </c>
      <c r="B340" s="10" t="s">
        <v>1073</v>
      </c>
      <c r="D340" s="10" t="str">
        <f t="shared" si="30"/>
        <v>4</v>
      </c>
      <c r="E340" s="24">
        <f t="shared" si="25"/>
        <v>3</v>
      </c>
      <c r="F340" s="10" t="str">
        <f t="shared" si="27"/>
        <v>equip_mfsp_482</v>
      </c>
      <c r="G340" s="10">
        <v>2</v>
      </c>
      <c r="H340" s="10" t="str">
        <f t="shared" si="28"/>
        <v>2</v>
      </c>
      <c r="I340" s="10" t="str">
        <f t="shared" si="29"/>
        <v>2</v>
      </c>
      <c r="J340" s="11">
        <v>0</v>
      </c>
      <c r="K340" s="11">
        <v>0</v>
      </c>
      <c r="L340" s="11">
        <v>1</v>
      </c>
      <c r="M340" s="11">
        <f t="shared" si="20"/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</row>
    <row r="341" spans="1:18">
      <c r="A341" s="11">
        <v>4020803</v>
      </c>
      <c r="B341" s="10" t="s">
        <v>1074</v>
      </c>
      <c r="D341" s="10" t="str">
        <f t="shared" si="30"/>
        <v>4</v>
      </c>
      <c r="E341" s="24">
        <f t="shared" si="25"/>
        <v>3</v>
      </c>
      <c r="F341" s="10" t="str">
        <f t="shared" si="27"/>
        <v>equip_mfsp_483</v>
      </c>
      <c r="G341" s="10">
        <v>2</v>
      </c>
      <c r="H341" s="10" t="str">
        <f t="shared" si="28"/>
        <v>3</v>
      </c>
      <c r="I341" s="10" t="str">
        <f t="shared" si="29"/>
        <v>2</v>
      </c>
      <c r="J341" s="11">
        <v>0</v>
      </c>
      <c r="K341" s="11">
        <v>0</v>
      </c>
      <c r="L341" s="11">
        <v>1</v>
      </c>
      <c r="M341" s="11">
        <f t="shared" ref="M341:M351" si="31">IF(G341=1,1,0)</f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</row>
    <row r="342" spans="1:18">
      <c r="A342" s="11">
        <v>4020804</v>
      </c>
      <c r="B342" s="10" t="s">
        <v>1075</v>
      </c>
      <c r="D342" s="10" t="str">
        <f t="shared" ref="D342:D351" si="32">MID(A342,1,1)</f>
        <v>4</v>
      </c>
      <c r="E342" s="24">
        <f t="shared" si="25"/>
        <v>3</v>
      </c>
      <c r="F342" s="10" t="str">
        <f t="shared" si="27"/>
        <v>equip_mfsp_484</v>
      </c>
      <c r="G342" s="10">
        <v>2</v>
      </c>
      <c r="H342" s="10" t="str">
        <f t="shared" si="28"/>
        <v>4</v>
      </c>
      <c r="I342" s="10" t="str">
        <f t="shared" si="29"/>
        <v>2</v>
      </c>
      <c r="J342" s="11">
        <v>0</v>
      </c>
      <c r="K342" s="11">
        <v>0</v>
      </c>
      <c r="L342" s="11">
        <v>1</v>
      </c>
      <c r="M342" s="11">
        <f t="shared" si="31"/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</row>
    <row r="343" spans="1:18">
      <c r="A343" s="11">
        <v>4020805</v>
      </c>
      <c r="B343" s="10" t="s">
        <v>1076</v>
      </c>
      <c r="D343" s="10" t="str">
        <f t="shared" si="32"/>
        <v>4</v>
      </c>
      <c r="E343" s="24">
        <f t="shared" si="25"/>
        <v>3</v>
      </c>
      <c r="F343" s="10" t="str">
        <f t="shared" si="27"/>
        <v>equip_mfsp_485</v>
      </c>
      <c r="G343" s="10">
        <v>2</v>
      </c>
      <c r="H343" s="10" t="str">
        <f t="shared" si="28"/>
        <v>5</v>
      </c>
      <c r="I343" s="10" t="str">
        <f t="shared" si="29"/>
        <v>2</v>
      </c>
      <c r="J343" s="11">
        <v>0</v>
      </c>
      <c r="K343" s="11">
        <v>0</v>
      </c>
      <c r="L343" s="11">
        <v>1</v>
      </c>
      <c r="M343" s="11">
        <f t="shared" si="31"/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</row>
    <row r="344" spans="1:18">
      <c r="A344" s="11">
        <v>4020902</v>
      </c>
      <c r="B344" s="10" t="s">
        <v>1077</v>
      </c>
      <c r="D344" s="10" t="str">
        <f t="shared" si="32"/>
        <v>4</v>
      </c>
      <c r="E344" s="24">
        <f t="shared" si="25"/>
        <v>3</v>
      </c>
      <c r="F344" s="10" t="str">
        <f t="shared" si="27"/>
        <v>equip_mfsp_492</v>
      </c>
      <c r="G344" s="10">
        <v>2</v>
      </c>
      <c r="H344" s="10" t="str">
        <f t="shared" si="28"/>
        <v>2</v>
      </c>
      <c r="I344" s="10" t="str">
        <f t="shared" si="29"/>
        <v>2</v>
      </c>
      <c r="J344" s="11">
        <v>0</v>
      </c>
      <c r="K344" s="11">
        <v>0</v>
      </c>
      <c r="L344" s="11">
        <v>1</v>
      </c>
      <c r="M344" s="11">
        <f t="shared" si="31"/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</row>
    <row r="345" spans="1:18">
      <c r="A345" s="11">
        <v>4020903</v>
      </c>
      <c r="B345" s="10" t="s">
        <v>1078</v>
      </c>
      <c r="D345" s="10" t="str">
        <f t="shared" si="32"/>
        <v>4</v>
      </c>
      <c r="E345" s="24">
        <f t="shared" si="25"/>
        <v>3</v>
      </c>
      <c r="F345" s="10" t="str">
        <f t="shared" si="27"/>
        <v>equip_mfsp_493</v>
      </c>
      <c r="G345" s="10">
        <v>2</v>
      </c>
      <c r="H345" s="10" t="str">
        <f t="shared" si="28"/>
        <v>3</v>
      </c>
      <c r="I345" s="10" t="str">
        <f t="shared" si="29"/>
        <v>2</v>
      </c>
      <c r="J345" s="11">
        <v>0</v>
      </c>
      <c r="K345" s="11">
        <v>0</v>
      </c>
      <c r="L345" s="11">
        <v>1</v>
      </c>
      <c r="M345" s="11">
        <f t="shared" si="31"/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</row>
    <row r="346" spans="1:18">
      <c r="A346" s="11">
        <v>4020904</v>
      </c>
      <c r="B346" s="10" t="s">
        <v>1079</v>
      </c>
      <c r="D346" s="10" t="str">
        <f t="shared" si="32"/>
        <v>4</v>
      </c>
      <c r="E346" s="24">
        <f t="shared" si="25"/>
        <v>3</v>
      </c>
      <c r="F346" s="10" t="str">
        <f t="shared" si="27"/>
        <v>equip_mfsp_494</v>
      </c>
      <c r="G346" s="10">
        <v>2</v>
      </c>
      <c r="H346" s="10" t="str">
        <f t="shared" si="28"/>
        <v>4</v>
      </c>
      <c r="I346" s="10" t="str">
        <f t="shared" si="29"/>
        <v>2</v>
      </c>
      <c r="J346" s="11">
        <v>0</v>
      </c>
      <c r="K346" s="11">
        <v>0</v>
      </c>
      <c r="L346" s="11">
        <v>1</v>
      </c>
      <c r="M346" s="11">
        <f t="shared" si="31"/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</row>
    <row r="347" spans="1:18">
      <c r="A347" s="11">
        <v>4020905</v>
      </c>
      <c r="B347" s="10" t="s">
        <v>1080</v>
      </c>
      <c r="D347" s="10" t="str">
        <f t="shared" si="32"/>
        <v>4</v>
      </c>
      <c r="E347" s="24">
        <f t="shared" si="25"/>
        <v>3</v>
      </c>
      <c r="F347" s="10" t="str">
        <f t="shared" si="27"/>
        <v>equip_mfsp_495</v>
      </c>
      <c r="G347" s="10">
        <v>2</v>
      </c>
      <c r="H347" s="10" t="str">
        <f t="shared" si="28"/>
        <v>5</v>
      </c>
      <c r="I347" s="10" t="str">
        <f t="shared" si="29"/>
        <v>2</v>
      </c>
      <c r="J347" s="11">
        <v>0</v>
      </c>
      <c r="K347" s="11">
        <v>0</v>
      </c>
      <c r="L347" s="11">
        <v>1</v>
      </c>
      <c r="M347" s="11">
        <f t="shared" si="31"/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</row>
    <row r="348" spans="1:18">
      <c r="A348" s="11">
        <v>4021002</v>
      </c>
      <c r="B348" s="10" t="s">
        <v>1081</v>
      </c>
      <c r="D348" s="10" t="str">
        <f t="shared" si="32"/>
        <v>4</v>
      </c>
      <c r="E348" s="24">
        <f t="shared" si="25"/>
        <v>3</v>
      </c>
      <c r="F348" s="10" t="str">
        <f t="shared" si="27"/>
        <v>equip_mfsp_402</v>
      </c>
      <c r="G348" s="10">
        <v>2</v>
      </c>
      <c r="H348" s="10" t="str">
        <f t="shared" si="28"/>
        <v>2</v>
      </c>
      <c r="I348" s="10" t="str">
        <f t="shared" si="29"/>
        <v>2</v>
      </c>
      <c r="J348" s="11">
        <v>0</v>
      </c>
      <c r="K348" s="11">
        <v>0</v>
      </c>
      <c r="L348" s="11">
        <v>1</v>
      </c>
      <c r="M348" s="11">
        <f t="shared" si="31"/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</row>
    <row r="349" spans="1:18">
      <c r="A349" s="11">
        <v>4021003</v>
      </c>
      <c r="B349" s="10" t="s">
        <v>1082</v>
      </c>
      <c r="D349" s="10" t="str">
        <f t="shared" si="32"/>
        <v>4</v>
      </c>
      <c r="E349" s="24">
        <f t="shared" si="25"/>
        <v>3</v>
      </c>
      <c r="F349" s="10" t="str">
        <f t="shared" si="27"/>
        <v>equip_mfsp_403</v>
      </c>
      <c r="G349" s="10">
        <v>2</v>
      </c>
      <c r="H349" s="10" t="str">
        <f t="shared" si="28"/>
        <v>3</v>
      </c>
      <c r="I349" s="10" t="str">
        <f t="shared" si="29"/>
        <v>2</v>
      </c>
      <c r="J349" s="11">
        <v>0</v>
      </c>
      <c r="K349" s="11">
        <v>0</v>
      </c>
      <c r="L349" s="11">
        <v>1</v>
      </c>
      <c r="M349" s="11">
        <f t="shared" si="31"/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</row>
    <row r="350" spans="1:18">
      <c r="A350" s="11">
        <v>4021004</v>
      </c>
      <c r="B350" s="10" t="s">
        <v>1083</v>
      </c>
      <c r="D350" s="10" t="str">
        <f t="shared" si="32"/>
        <v>4</v>
      </c>
      <c r="E350" s="24">
        <f t="shared" si="25"/>
        <v>3</v>
      </c>
      <c r="F350" s="10" t="str">
        <f t="shared" si="27"/>
        <v>equip_mfsp_404</v>
      </c>
      <c r="G350" s="10">
        <v>2</v>
      </c>
      <c r="H350" s="10" t="str">
        <f t="shared" si="28"/>
        <v>4</v>
      </c>
      <c r="I350" s="10" t="str">
        <f t="shared" si="29"/>
        <v>2</v>
      </c>
      <c r="J350" s="11">
        <v>0</v>
      </c>
      <c r="K350" s="11">
        <v>0</v>
      </c>
      <c r="L350" s="11">
        <v>1</v>
      </c>
      <c r="M350" s="11">
        <f t="shared" si="31"/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</row>
    <row r="351" spans="1:18">
      <c r="A351" s="11">
        <v>4021005</v>
      </c>
      <c r="B351" s="10" t="s">
        <v>1084</v>
      </c>
      <c r="D351" s="10" t="str">
        <f t="shared" si="32"/>
        <v>4</v>
      </c>
      <c r="E351" s="24">
        <f t="shared" si="25"/>
        <v>3</v>
      </c>
      <c r="F351" s="10" t="str">
        <f t="shared" si="27"/>
        <v>equip_mfsp_405</v>
      </c>
      <c r="G351" s="10">
        <v>2</v>
      </c>
      <c r="H351" s="10" t="str">
        <f t="shared" si="28"/>
        <v>5</v>
      </c>
      <c r="I351" s="10" t="str">
        <f t="shared" si="29"/>
        <v>2</v>
      </c>
      <c r="J351" s="11">
        <v>0</v>
      </c>
      <c r="K351" s="11">
        <v>0</v>
      </c>
      <c r="L351" s="11">
        <v>1</v>
      </c>
      <c r="M351" s="11">
        <f t="shared" si="31"/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E6" sqref="E6"/>
    </sheetView>
  </sheetViews>
  <sheetFormatPr defaultColWidth="9" defaultRowHeight="13.5"/>
  <sheetData>
    <row r="1" s="1" customFormat="1" ht="16.5" spans="1:9">
      <c r="A1" s="3" t="s">
        <v>0</v>
      </c>
      <c r="B1" s="3" t="s">
        <v>1</v>
      </c>
      <c r="C1" s="3" t="s">
        <v>3</v>
      </c>
      <c r="D1" s="3" t="s">
        <v>5</v>
      </c>
      <c r="E1" s="3" t="s">
        <v>1085</v>
      </c>
      <c r="F1" s="3" t="s">
        <v>7</v>
      </c>
      <c r="G1" s="3" t="s">
        <v>15</v>
      </c>
      <c r="H1" s="4" t="s">
        <v>16</v>
      </c>
    </row>
    <row r="2" s="1" customFormat="1" ht="16.5" spans="1:9">
      <c r="A2" s="5" t="s">
        <v>19</v>
      </c>
      <c r="B2" s="5" t="s">
        <v>20</v>
      </c>
      <c r="C2" s="5" t="s">
        <v>19</v>
      </c>
      <c r="D2" s="5" t="s">
        <v>20</v>
      </c>
      <c r="E2" s="5" t="s">
        <v>19</v>
      </c>
      <c r="F2" s="5"/>
      <c r="G2" s="5" t="s">
        <v>20</v>
      </c>
      <c r="H2" s="6" t="s">
        <v>20</v>
      </c>
    </row>
    <row r="3" s="1" customFormat="1" ht="82" customHeight="1" spans="1:9">
      <c r="A3" s="7" t="s">
        <v>21</v>
      </c>
      <c r="B3" s="7" t="s">
        <v>22</v>
      </c>
      <c r="C3" s="7" t="s">
        <v>24</v>
      </c>
      <c r="D3" s="7" t="s">
        <v>26</v>
      </c>
      <c r="E3" s="8" t="s">
        <v>27</v>
      </c>
      <c r="F3" s="8" t="s">
        <v>1086</v>
      </c>
      <c r="G3" s="7" t="s">
        <v>36</v>
      </c>
      <c r="H3" s="6" t="s">
        <v>37</v>
      </c>
      <c r="I3" s="1" t="s">
        <v>1087</v>
      </c>
    </row>
    <row r="4" s="2" customFormat="1" ht="16.5" spans="1:9">
      <c r="A4" s="9">
        <v>601</v>
      </c>
      <c r="B4" s="9" t="s">
        <v>1088</v>
      </c>
      <c r="C4" s="9">
        <v>1</v>
      </c>
      <c r="D4" s="9" t="s">
        <v>1089</v>
      </c>
      <c r="E4" s="9">
        <v>2</v>
      </c>
      <c r="F4" s="9"/>
      <c r="G4" s="9">
        <v>4</v>
      </c>
      <c r="H4" s="9">
        <v>0</v>
      </c>
      <c r="I4" s="2" t="s">
        <v>1090</v>
      </c>
    </row>
    <row r="5" s="2" customFormat="1" ht="16.5" spans="1:9">
      <c r="A5" s="9">
        <v>602</v>
      </c>
      <c r="B5" s="9" t="s">
        <v>1091</v>
      </c>
      <c r="C5" s="9">
        <v>1</v>
      </c>
      <c r="D5" s="9" t="s">
        <v>1092</v>
      </c>
      <c r="E5" s="9">
        <v>2</v>
      </c>
      <c r="F5" s="9"/>
      <c r="G5" s="9">
        <v>4</v>
      </c>
      <c r="H5" s="9">
        <v>0</v>
      </c>
    </row>
    <row r="6" s="2" customFormat="1" ht="16.5" spans="1:9">
      <c r="A6" s="9">
        <v>603</v>
      </c>
      <c r="B6" s="9" t="s">
        <v>1093</v>
      </c>
      <c r="C6" s="9">
        <v>1</v>
      </c>
      <c r="D6" s="9" t="s">
        <v>1094</v>
      </c>
      <c r="E6" s="9">
        <v>2</v>
      </c>
      <c r="F6" s="9"/>
      <c r="G6" s="9" t="s">
        <v>1095</v>
      </c>
      <c r="H6" s="9">
        <v>0</v>
      </c>
    </row>
    <row r="7" s="2" customFormat="1" ht="16.5" spans="1:9">
      <c r="A7" s="9">
        <v>604</v>
      </c>
      <c r="B7" s="9" t="s">
        <v>1096</v>
      </c>
      <c r="C7" s="9">
        <v>2</v>
      </c>
      <c r="D7" s="9" t="s">
        <v>1097</v>
      </c>
      <c r="E7" s="9">
        <v>2</v>
      </c>
      <c r="F7" s="9"/>
      <c r="G7" s="9" t="s">
        <v>1098</v>
      </c>
      <c r="H7" s="9">
        <v>0</v>
      </c>
    </row>
    <row r="8" s="2" customFormat="1" ht="16.5" spans="1:9">
      <c r="A8" s="9">
        <v>605</v>
      </c>
      <c r="B8" s="9" t="s">
        <v>1099</v>
      </c>
      <c r="C8" s="9">
        <v>2</v>
      </c>
      <c r="D8" s="9" t="s">
        <v>1100</v>
      </c>
      <c r="E8" s="9">
        <v>2</v>
      </c>
      <c r="F8" s="9"/>
      <c r="G8" s="9" t="s">
        <v>1101</v>
      </c>
      <c r="H8" s="9">
        <v>0</v>
      </c>
    </row>
    <row r="9" s="2" customFormat="1" ht="16.5" spans="1:9">
      <c r="A9" s="9">
        <v>606</v>
      </c>
      <c r="B9" s="9" t="s">
        <v>1102</v>
      </c>
      <c r="C9" s="9">
        <v>2</v>
      </c>
      <c r="D9" s="9" t="s">
        <v>1103</v>
      </c>
      <c r="E9" s="9">
        <v>2</v>
      </c>
      <c r="F9" s="9"/>
      <c r="G9" s="9" t="s">
        <v>1104</v>
      </c>
      <c r="H9" s="9">
        <v>0</v>
      </c>
    </row>
    <row r="10" s="2" customFormat="1" ht="16.5" spans="1:9">
      <c r="A10" s="9">
        <v>607</v>
      </c>
      <c r="B10" s="9" t="s">
        <v>1105</v>
      </c>
      <c r="C10" s="9">
        <v>3</v>
      </c>
      <c r="D10" s="9" t="s">
        <v>1106</v>
      </c>
      <c r="E10" s="9">
        <v>2</v>
      </c>
      <c r="F10" s="9"/>
      <c r="G10" s="9" t="s">
        <v>1107</v>
      </c>
      <c r="H10" s="9">
        <v>0</v>
      </c>
    </row>
    <row r="11" s="2" customFormat="1" ht="16.5" spans="1:9">
      <c r="A11" s="9">
        <v>608</v>
      </c>
      <c r="B11" s="9" t="s">
        <v>1108</v>
      </c>
      <c r="C11" s="9">
        <v>3</v>
      </c>
      <c r="D11" s="9" t="s">
        <v>1109</v>
      </c>
      <c r="E11" s="9">
        <v>2</v>
      </c>
      <c r="F11" s="9"/>
      <c r="G11" s="9" t="s">
        <v>1110</v>
      </c>
      <c r="H11" s="9">
        <v>0</v>
      </c>
    </row>
    <row r="12" s="2" customFormat="1" ht="16.5" spans="1:9">
      <c r="A12" s="9">
        <v>609</v>
      </c>
      <c r="B12" s="9" t="s">
        <v>1111</v>
      </c>
      <c r="C12" s="9">
        <v>3</v>
      </c>
      <c r="D12" s="9" t="s">
        <v>1112</v>
      </c>
      <c r="E12" s="9">
        <v>2</v>
      </c>
      <c r="F12" s="9"/>
      <c r="G12" s="9" t="s">
        <v>1113</v>
      </c>
      <c r="H12" s="9">
        <v>0</v>
      </c>
    </row>
    <row r="13" s="2" customFormat="1" ht="16.5" spans="1:9">
      <c r="A13" s="9">
        <v>610</v>
      </c>
      <c r="B13" s="9" t="s">
        <v>1114</v>
      </c>
      <c r="C13" s="9">
        <v>4</v>
      </c>
      <c r="D13" s="9" t="s">
        <v>1115</v>
      </c>
      <c r="E13" s="9">
        <v>2</v>
      </c>
      <c r="F13" s="9"/>
      <c r="G13" s="9" t="s">
        <v>1116</v>
      </c>
      <c r="H13" s="9">
        <v>0</v>
      </c>
    </row>
    <row r="14" s="2" customFormat="1" ht="16.5" spans="1:9">
      <c r="A14" s="9">
        <v>611</v>
      </c>
      <c r="B14" s="9" t="s">
        <v>1117</v>
      </c>
      <c r="C14" s="9">
        <v>4</v>
      </c>
      <c r="D14" s="9" t="s">
        <v>1118</v>
      </c>
      <c r="E14" s="9">
        <v>2</v>
      </c>
      <c r="F14" s="9"/>
      <c r="G14" s="9" t="s">
        <v>1119</v>
      </c>
      <c r="H14" s="9">
        <v>0</v>
      </c>
    </row>
    <row r="15" s="2" customFormat="1" ht="16.5" spans="1:9">
      <c r="A15" s="9">
        <v>612</v>
      </c>
      <c r="B15" s="9" t="s">
        <v>1120</v>
      </c>
      <c r="C15" s="9">
        <v>4</v>
      </c>
      <c r="D15" s="9" t="s">
        <v>1121</v>
      </c>
      <c r="E15" s="9">
        <v>2</v>
      </c>
      <c r="F15" s="9"/>
      <c r="G15" s="9" t="s">
        <v>1122</v>
      </c>
      <c r="H15" s="9">
        <v>0</v>
      </c>
    </row>
    <row r="16" s="2" customFormat="1" ht="16.5" spans="1:9">
      <c r="A16" s="9">
        <v>613</v>
      </c>
      <c r="B16" s="9" t="s">
        <v>1123</v>
      </c>
      <c r="C16" s="9">
        <v>4</v>
      </c>
      <c r="D16" s="9" t="s">
        <v>1124</v>
      </c>
      <c r="E16" s="9">
        <v>2</v>
      </c>
      <c r="F16" s="9"/>
      <c r="G16" s="9" t="s">
        <v>1125</v>
      </c>
      <c r="H16" s="9">
        <v>0</v>
      </c>
    </row>
    <row r="17" s="2" customFormat="1" ht="16.5" spans="1:8">
      <c r="A17" s="9">
        <v>614</v>
      </c>
      <c r="B17" s="9" t="s">
        <v>1126</v>
      </c>
      <c r="C17" s="9">
        <v>5</v>
      </c>
      <c r="D17" s="9" t="s">
        <v>1127</v>
      </c>
      <c r="E17" s="9">
        <v>2</v>
      </c>
      <c r="F17" s="9"/>
      <c r="G17" s="9" t="s">
        <v>1128</v>
      </c>
      <c r="H17" s="9">
        <v>298</v>
      </c>
    </row>
    <row r="18" s="2" customFormat="1" ht="16.5" spans="1:8">
      <c r="A18" s="9">
        <v>615</v>
      </c>
      <c r="B18" s="9" t="s">
        <v>1129</v>
      </c>
      <c r="C18" s="9">
        <v>5</v>
      </c>
      <c r="D18" s="9" t="s">
        <v>1130</v>
      </c>
      <c r="E18" s="9">
        <v>2</v>
      </c>
      <c r="F18" s="9"/>
      <c r="G18" s="9" t="s">
        <v>1131</v>
      </c>
      <c r="H18" s="9">
        <v>298</v>
      </c>
    </row>
    <row r="19" s="2" customFormat="1" ht="16.5" spans="1:8">
      <c r="A19" s="9">
        <v>616</v>
      </c>
      <c r="B19" s="9" t="s">
        <v>1132</v>
      </c>
      <c r="C19" s="9">
        <v>5</v>
      </c>
      <c r="D19" s="9" t="s">
        <v>1133</v>
      </c>
      <c r="E19" s="9">
        <v>2</v>
      </c>
      <c r="F19" s="9"/>
      <c r="G19" s="9" t="s">
        <v>1134</v>
      </c>
      <c r="H19" s="9">
        <v>298</v>
      </c>
    </row>
    <row r="20" s="2" customFormat="1" ht="16.5" spans="1:8">
      <c r="A20" s="9">
        <v>617</v>
      </c>
      <c r="B20" s="9" t="s">
        <v>1135</v>
      </c>
      <c r="C20" s="9">
        <v>5</v>
      </c>
      <c r="D20" s="9" t="s">
        <v>1136</v>
      </c>
      <c r="E20" s="9">
        <v>2</v>
      </c>
      <c r="F20" s="9"/>
      <c r="G20" s="9" t="s">
        <v>158</v>
      </c>
      <c r="H20" s="9">
        <v>298</v>
      </c>
    </row>
    <row r="21" s="2" customFormat="1" ht="16.5" spans="1:8">
      <c r="A21" s="9">
        <v>618</v>
      </c>
      <c r="B21" s="9" t="s">
        <v>1137</v>
      </c>
      <c r="C21" s="9">
        <v>5</v>
      </c>
      <c r="D21" s="9" t="s">
        <v>1138</v>
      </c>
      <c r="E21" s="9">
        <v>2</v>
      </c>
      <c r="F21" s="9"/>
      <c r="G21" s="9" t="s">
        <v>1139</v>
      </c>
      <c r="H21" s="9">
        <v>298</v>
      </c>
    </row>
    <row r="22" s="2" customFormat="1" ht="16.5" spans="1:8">
      <c r="A22" s="9">
        <v>619</v>
      </c>
      <c r="B22" s="9" t="s">
        <v>1140</v>
      </c>
      <c r="C22" s="9">
        <v>6</v>
      </c>
      <c r="D22" s="9" t="s">
        <v>1141</v>
      </c>
      <c r="E22" s="9">
        <v>2</v>
      </c>
      <c r="F22" s="9"/>
      <c r="G22" s="9" t="s">
        <v>1142</v>
      </c>
      <c r="H22" s="9">
        <v>298</v>
      </c>
    </row>
    <row r="23" s="2" customFormat="1" ht="16.5" spans="1:8">
      <c r="A23" s="9">
        <v>620</v>
      </c>
      <c r="B23" s="9" t="s">
        <v>1143</v>
      </c>
      <c r="C23" s="9">
        <v>6</v>
      </c>
      <c r="D23" s="9" t="s">
        <v>1144</v>
      </c>
      <c r="E23" s="9">
        <v>2</v>
      </c>
      <c r="F23" s="9"/>
      <c r="G23" s="9" t="s">
        <v>1145</v>
      </c>
      <c r="H23" s="9">
        <v>298</v>
      </c>
    </row>
    <row r="24" s="2" customFormat="1" ht="16.5" spans="1:8">
      <c r="A24" s="9">
        <v>621</v>
      </c>
      <c r="B24" s="9" t="s">
        <v>1146</v>
      </c>
      <c r="C24" s="9">
        <v>6</v>
      </c>
      <c r="D24" s="9" t="s">
        <v>1147</v>
      </c>
      <c r="E24" s="9">
        <v>2</v>
      </c>
      <c r="F24" s="9"/>
      <c r="G24" s="9" t="s">
        <v>1148</v>
      </c>
      <c r="H24" s="9">
        <v>298</v>
      </c>
    </row>
    <row r="25" s="2" customFormat="1" ht="16.5" spans="1:8">
      <c r="A25" s="9">
        <v>622</v>
      </c>
      <c r="B25" s="9" t="s">
        <v>1149</v>
      </c>
      <c r="C25" s="9">
        <v>6</v>
      </c>
      <c r="D25" s="9" t="s">
        <v>1150</v>
      </c>
      <c r="E25" s="9">
        <v>2</v>
      </c>
      <c r="F25" s="9"/>
      <c r="G25" s="9" t="s">
        <v>1151</v>
      </c>
      <c r="H25" s="9">
        <v>298</v>
      </c>
    </row>
    <row r="26" s="2" customFormat="1" ht="16.5" spans="1:8">
      <c r="A26" s="9">
        <v>623</v>
      </c>
      <c r="B26" s="9" t="s">
        <v>1152</v>
      </c>
      <c r="C26" s="9">
        <v>6</v>
      </c>
      <c r="D26" s="9" t="s">
        <v>1153</v>
      </c>
      <c r="E26" s="9">
        <v>2</v>
      </c>
      <c r="F26" s="9"/>
      <c r="G26" s="9" t="s">
        <v>1154</v>
      </c>
      <c r="H26" s="9">
        <v>298</v>
      </c>
    </row>
    <row r="27" s="2" customFormat="1" ht="16.5" spans="1:8">
      <c r="A27" s="9">
        <v>624</v>
      </c>
      <c r="B27" s="9" t="s">
        <v>1155</v>
      </c>
      <c r="C27" s="9">
        <v>6</v>
      </c>
      <c r="D27" s="9" t="s">
        <v>1156</v>
      </c>
      <c r="E27" s="9">
        <v>2</v>
      </c>
      <c r="F27" s="9"/>
      <c r="G27" s="9" t="s">
        <v>1157</v>
      </c>
      <c r="H27" s="9">
        <v>298</v>
      </c>
    </row>
    <row r="28" s="2" customFormat="1" ht="16.5" spans="1:8">
      <c r="A28" s="9">
        <v>625</v>
      </c>
      <c r="B28" s="9" t="s">
        <v>1158</v>
      </c>
      <c r="C28" s="9">
        <v>6</v>
      </c>
      <c r="D28" s="9" t="s">
        <v>1159</v>
      </c>
      <c r="E28" s="9">
        <v>2</v>
      </c>
      <c r="F28" s="9"/>
      <c r="G28" s="9" t="s">
        <v>1160</v>
      </c>
      <c r="H28" s="9">
        <v>298</v>
      </c>
    </row>
    <row r="29" s="2" customFormat="1" ht="16.5" spans="1:8">
      <c r="A29" s="9">
        <v>626</v>
      </c>
      <c r="B29" s="9" t="s">
        <v>1161</v>
      </c>
      <c r="C29" s="9">
        <v>6</v>
      </c>
      <c r="D29" s="9" t="s">
        <v>1162</v>
      </c>
      <c r="E29" s="9">
        <v>2</v>
      </c>
      <c r="F29" s="9"/>
      <c r="G29" s="9" t="s">
        <v>1163</v>
      </c>
      <c r="H29" s="9">
        <v>298</v>
      </c>
    </row>
    <row r="30" s="2" customFormat="1" ht="16.5" spans="1:8">
      <c r="A30" s="9">
        <v>627</v>
      </c>
      <c r="B30" s="9" t="s">
        <v>1164</v>
      </c>
      <c r="C30" s="9">
        <v>6</v>
      </c>
      <c r="D30" s="9" t="s">
        <v>1165</v>
      </c>
      <c r="E30" s="9">
        <v>2</v>
      </c>
      <c r="F30" s="9"/>
      <c r="G30" s="9" t="s">
        <v>1163</v>
      </c>
      <c r="H30" s="9">
        <v>298</v>
      </c>
    </row>
    <row r="31" s="2" customFormat="1" ht="16.5" spans="1:8">
      <c r="A31" s="9">
        <v>628</v>
      </c>
      <c r="B31" s="9" t="s">
        <v>1166</v>
      </c>
      <c r="C31" s="9">
        <v>6</v>
      </c>
      <c r="D31" s="9" t="s">
        <v>1167</v>
      </c>
      <c r="E31" s="9">
        <v>2</v>
      </c>
      <c r="F31" s="9"/>
      <c r="G31" s="9" t="s">
        <v>1163</v>
      </c>
      <c r="H31" s="9">
        <v>298</v>
      </c>
    </row>
    <row r="32" s="2" customFormat="1" ht="16.5" spans="1:8">
      <c r="A32" s="9">
        <v>629</v>
      </c>
      <c r="B32" s="9" t="s">
        <v>1168</v>
      </c>
      <c r="C32" s="9">
        <v>6</v>
      </c>
      <c r="D32" s="9" t="s">
        <v>1169</v>
      </c>
      <c r="E32" s="9">
        <v>2</v>
      </c>
      <c r="F32" s="9"/>
      <c r="G32" s="9" t="s">
        <v>1163</v>
      </c>
      <c r="H32" s="9">
        <v>298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连接表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2020-11-18T03:34:00Z</dcterms:created>
  <dcterms:modified xsi:type="dcterms:W3CDTF">2026-03-12T10:57:39Z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C96E5474193C428C8ADAD9BA7C17EB5E</vt:lpwstr>
  </property>
  <property fmtid="{D5CDD505-2E9C-101B-9397-08002B2CF9AE}" pid="4" name="CalculationRule">
    <vt:i4>0</vt:i4>
  </property>
</Properties>
</file>