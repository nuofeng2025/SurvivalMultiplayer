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Zlpack" sheetId="1" r:id="rId1"/>
    <sheet name="Sheet2" sheetId="2" r:id="rId2"/>
    <sheet name="Sheet3" sheetId="3" r:id="rId3"/>
  </sheets>
  <definedNames>
    <definedName name="_xlnm._FilterDatabase" localSheetId="0" hidden="1">Zlpack!$A$3:$G$33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1.付费礼包，需要用人民币
2.钻石礼包，需要用钻石
3.免费礼包，直接领取</t>
        </r>
      </text>
    </commen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任务奖励
礼包奖励</t>
        </r>
      </text>
    </comment>
  </commentList>
</comments>
</file>

<file path=xl/sharedStrings.xml><?xml version="1.0" encoding="utf-8"?>
<sst xmlns="http://schemas.openxmlformats.org/spreadsheetml/2006/main" count="118" uniqueCount="73">
  <si>
    <t>Id</t>
  </si>
  <si>
    <t>Type</t>
  </si>
  <si>
    <t>Nextpack</t>
  </si>
  <si>
    <t>Reward</t>
  </si>
  <si>
    <t>Money</t>
  </si>
  <si>
    <t>Num</t>
  </si>
  <si>
    <t>Payid</t>
  </si>
  <si>
    <t>int</t>
  </si>
  <si>
    <t>string</t>
  </si>
  <si>
    <t>唯一id</t>
  </si>
  <si>
    <t>礼包类型</t>
  </si>
  <si>
    <t>下一礼包</t>
  </si>
  <si>
    <t>奖励</t>
  </si>
  <si>
    <t>价格</t>
  </si>
  <si>
    <t>限购次数</t>
  </si>
  <si>
    <t>付费礼包id</t>
  </si>
  <si>
    <t>1:11004:1|1:12:50000</t>
  </si>
  <si>
    <t>0</t>
  </si>
  <si>
    <t>1:30006:1|1:12:50000</t>
  </si>
  <si>
    <t>1:22:02|1:30006:1</t>
  </si>
  <si>
    <t>1:10201:5|1:12:50000</t>
  </si>
  <si>
    <t>1:30006:1|1:10201:5</t>
  </si>
  <si>
    <t>1:22:01|1:12:50000</t>
  </si>
  <si>
    <t>1:22:10|1:30006:2</t>
  </si>
  <si>
    <t>1:30006:3|1:10201:10</t>
  </si>
  <si>
    <t>1:11004:5|1:22:10</t>
  </si>
  <si>
    <t>1:30007:1|1:12:50000</t>
  </si>
  <si>
    <t>1:30007:1|1:22:01</t>
  </si>
  <si>
    <t>1:11004:10|1:22:20</t>
  </si>
  <si>
    <t>1:11004:2|1:10202:20</t>
  </si>
  <si>
    <t>1:22:10|1:10202:20</t>
  </si>
  <si>
    <t>11:1800</t>
  </si>
  <si>
    <t>1:10201:20|1:10202:20</t>
  </si>
  <si>
    <t>1:10202:20|1:12:100000</t>
  </si>
  <si>
    <t>1:22:10|1:12:200000</t>
  </si>
  <si>
    <t>1:22:20|1:30004:1</t>
  </si>
  <si>
    <t>1:10010:30|1:10012:15</t>
  </si>
  <si>
    <t>1:10012:30|1:10014:15</t>
  </si>
  <si>
    <t>1:30002:1|1:10203:50</t>
  </si>
  <si>
    <t>1:10014:15|1:10202:10</t>
  </si>
  <si>
    <t>1:10202:20|1:12:200000</t>
  </si>
  <si>
    <t>11:600</t>
  </si>
  <si>
    <t>1:11004:10|1:12:100000</t>
  </si>
  <si>
    <t>23:11</t>
  </si>
  <si>
    <t>300</t>
  </si>
  <si>
    <t>10</t>
  </si>
  <si>
    <t>100</t>
  </si>
  <si>
    <t>1:1001,1:1002,1:1003,1:1004,1:1005,1:1006,2:2001,2:2002,2:2003,2:2004,2:2005,2:2006,2:2007,3:3001,3:3002,3:3003,3:3004,3:3005,3:3006,3:3007,3:3008,3:3009,3:3010,3:3011</t>
  </si>
  <si>
    <t>2:2001,2:2002,2:2003,2:2004,2:2005,2:2006,2:2007,3:3001,3:3002,3:3003,3:3004,3:3005,3:3006,3:3007,3:3008,3:3009,3:3010,3:3011</t>
  </si>
  <si>
    <t>3:3001,3:3002,3:3003,3:3004,3:3005,3:3006,3:3007,3:3008,3:3009,3:3010,3:3011</t>
  </si>
  <si>
    <t>zhaohuanbeijing3</t>
  </si>
  <si>
    <t>duihuaqipao3</t>
  </si>
  <si>
    <t>金币*30000，英雄经验白*10</t>
  </si>
  <si>
    <t>金币*50000，英雄经验蓝*10</t>
  </si>
  <si>
    <t>金币*80000，英雄经验蓝*30</t>
  </si>
  <si>
    <t>金币*30000，体力*1</t>
  </si>
  <si>
    <t>金币*50000，体力*2</t>
  </si>
  <si>
    <t>金币*100000，体力*3</t>
  </si>
  <si>
    <t>金币*50000，装备强化白*10</t>
  </si>
  <si>
    <t>金币*80000，装备强化蓝*10</t>
  </si>
  <si>
    <t>金币*120000，装备强化蓝*20</t>
  </si>
  <si>
    <t>金币*50000，士兵科技箱*1</t>
  </si>
  <si>
    <t>金币*80000，士兵科技箱*2</t>
  </si>
  <si>
    <t>金币*120000，士兵科技箱*4</t>
  </si>
  <si>
    <t>金币*40000，体力*1</t>
  </si>
  <si>
    <t>金币*60000，体力*2</t>
  </si>
  <si>
    <t>金币*120000，体力*3</t>
  </si>
  <si>
    <t>金币*50000，士兵科技箱*2</t>
  </si>
  <si>
    <t>金币*100000，士兵科技箱*4</t>
  </si>
  <si>
    <t>金币*150000，士兵科技箱*6</t>
  </si>
  <si>
    <t>装备强化白*10，紫色防具*1</t>
  </si>
  <si>
    <t>装备强化蓝*10，紫色防具*2</t>
  </si>
  <si>
    <t>装备强化紫*20，金色防具*1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</si>
</sst>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A16" workbookViewId="0">
      <selection activeCell="C44" sqref="C44"/>
    </sheetView>
  </sheetViews>
  <sheetFormatPr defaultColWidth="9" defaultRowHeight="13.5"/>
  <cols>
    <col min="1" max="2" width="11.875" customWidth="1"/>
    <col min="3" max="3" width="18.375" customWidth="1"/>
    <col min="4" max="4" width="38.375" customWidth="1"/>
    <col min="5" max="5" width="12.625"/>
    <col min="17" max="18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8</v>
      </c>
      <c r="E2" t="s">
        <v>8</v>
      </c>
      <c r="F2" t="s">
        <v>7</v>
      </c>
      <c r="G2" t="s">
        <v>7</v>
      </c>
    </row>
    <row r="3" spans="1:7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13">
      <c r="A4">
        <v>1001</v>
      </c>
      <c r="B4" s="4">
        <v>3</v>
      </c>
      <c r="C4">
        <v>1002</v>
      </c>
      <c r="D4" t="s">
        <v>16</v>
      </c>
      <c r="E4" s="3" t="s">
        <v>17</v>
      </c>
      <c r="F4">
        <v>1</v>
      </c>
      <c r="G4">
        <v>0</v>
      </c>
      <c r="L4">
        <v>72</v>
      </c>
      <c r="M4">
        <v>50</v>
      </c>
    </row>
    <row r="5" spans="1:13">
      <c r="A5">
        <v>1002</v>
      </c>
      <c r="B5" s="4">
        <v>3</v>
      </c>
      <c r="C5">
        <v>1003</v>
      </c>
      <c r="D5" t="s">
        <v>18</v>
      </c>
      <c r="E5" s="3" t="s">
        <v>17</v>
      </c>
      <c r="F5">
        <v>1</v>
      </c>
      <c r="G5">
        <v>0</v>
      </c>
      <c r="L5">
        <v>200</v>
      </c>
      <c r="M5">
        <v>50</v>
      </c>
    </row>
    <row r="6" ht="14.25" spans="1:14">
      <c r="A6">
        <v>1003</v>
      </c>
      <c r="B6" s="4">
        <v>1</v>
      </c>
      <c r="C6">
        <v>1004</v>
      </c>
      <c r="D6" s="3" t="s">
        <v>17</v>
      </c>
      <c r="E6" s="3" t="s">
        <v>17</v>
      </c>
      <c r="F6">
        <v>1</v>
      </c>
      <c r="G6">
        <v>36</v>
      </c>
      <c r="I6">
        <v>6</v>
      </c>
      <c r="J6" s="5" t="s">
        <v>19</v>
      </c>
      <c r="L6">
        <v>200</v>
      </c>
      <c r="M6">
        <v>200</v>
      </c>
      <c r="N6">
        <f t="shared" ref="N6:N12" si="0">L6+M6</f>
        <v>400</v>
      </c>
    </row>
    <row r="7" spans="1:14">
      <c r="A7">
        <v>1004</v>
      </c>
      <c r="B7" s="4">
        <v>3</v>
      </c>
      <c r="C7">
        <v>1005</v>
      </c>
      <c r="D7" t="s">
        <v>20</v>
      </c>
      <c r="E7" s="3" t="s">
        <v>17</v>
      </c>
      <c r="F7">
        <v>1</v>
      </c>
      <c r="G7">
        <v>0</v>
      </c>
      <c r="L7">
        <v>100</v>
      </c>
      <c r="M7">
        <v>50</v>
      </c>
      <c r="N7">
        <f t="shared" si="0"/>
        <v>150</v>
      </c>
    </row>
    <row r="8" spans="1:14">
      <c r="A8">
        <v>1005</v>
      </c>
      <c r="B8" s="4">
        <v>3</v>
      </c>
      <c r="C8">
        <v>1006</v>
      </c>
      <c r="D8" t="s">
        <v>21</v>
      </c>
      <c r="E8" s="3" t="s">
        <v>17</v>
      </c>
      <c r="F8">
        <v>1</v>
      </c>
      <c r="G8">
        <v>0</v>
      </c>
      <c r="L8">
        <v>200</v>
      </c>
      <c r="M8">
        <v>100</v>
      </c>
      <c r="N8">
        <f t="shared" si="0"/>
        <v>300</v>
      </c>
    </row>
    <row r="9" spans="1:17">
      <c r="A9">
        <v>1006</v>
      </c>
      <c r="B9" s="4">
        <v>3</v>
      </c>
      <c r="C9">
        <v>1007</v>
      </c>
      <c r="D9" t="s">
        <v>22</v>
      </c>
      <c r="E9" s="3" t="s">
        <v>17</v>
      </c>
      <c r="F9">
        <v>1</v>
      </c>
      <c r="G9">
        <v>0</v>
      </c>
      <c r="L9">
        <v>20</v>
      </c>
      <c r="M9">
        <v>50</v>
      </c>
      <c r="N9">
        <f t="shared" si="0"/>
        <v>70</v>
      </c>
      <c r="O9">
        <f>N6+N7+N8+N9</f>
        <v>920</v>
      </c>
      <c r="P9">
        <v>120</v>
      </c>
      <c r="Q9" s="6">
        <f>O9/P9</f>
        <v>7.66666666666667</v>
      </c>
    </row>
    <row r="10" ht="14.25" spans="1:14">
      <c r="A10">
        <v>1007</v>
      </c>
      <c r="B10" s="4">
        <v>1</v>
      </c>
      <c r="C10">
        <v>1008</v>
      </c>
      <c r="D10" s="3" t="s">
        <v>17</v>
      </c>
      <c r="E10" s="3" t="s">
        <v>17</v>
      </c>
      <c r="F10">
        <v>1</v>
      </c>
      <c r="G10">
        <v>37</v>
      </c>
      <c r="I10">
        <v>30</v>
      </c>
      <c r="J10" s="5" t="s">
        <v>23</v>
      </c>
      <c r="L10">
        <v>2000</v>
      </c>
      <c r="M10">
        <v>200</v>
      </c>
      <c r="N10">
        <f t="shared" si="0"/>
        <v>2200</v>
      </c>
    </row>
    <row r="11" spans="1:14">
      <c r="A11">
        <v>1008</v>
      </c>
      <c r="B11" s="4">
        <v>3</v>
      </c>
      <c r="C11">
        <v>1009</v>
      </c>
      <c r="D11" t="s">
        <v>19</v>
      </c>
      <c r="E11" s="3" t="s">
        <v>17</v>
      </c>
      <c r="F11">
        <v>1</v>
      </c>
      <c r="G11">
        <v>0</v>
      </c>
      <c r="L11">
        <v>400</v>
      </c>
      <c r="M11">
        <v>200</v>
      </c>
      <c r="N11">
        <f t="shared" si="0"/>
        <v>600</v>
      </c>
    </row>
    <row r="12" spans="1:17">
      <c r="A12">
        <v>1009</v>
      </c>
      <c r="B12" s="4">
        <v>3</v>
      </c>
      <c r="C12">
        <v>1010</v>
      </c>
      <c r="D12" t="s">
        <v>24</v>
      </c>
      <c r="E12" s="3" t="s">
        <v>17</v>
      </c>
      <c r="F12">
        <v>1</v>
      </c>
      <c r="G12">
        <v>0</v>
      </c>
      <c r="L12">
        <v>600</v>
      </c>
      <c r="M12">
        <v>200</v>
      </c>
      <c r="N12">
        <f t="shared" si="0"/>
        <v>800</v>
      </c>
      <c r="O12">
        <f>N10+N11+N12</f>
        <v>3600</v>
      </c>
      <c r="P12">
        <v>600</v>
      </c>
      <c r="Q12" s="6">
        <f>O12/P12</f>
        <v>6</v>
      </c>
    </row>
    <row r="13" ht="14.25" spans="1:14">
      <c r="A13">
        <v>1010</v>
      </c>
      <c r="B13" s="4">
        <v>1</v>
      </c>
      <c r="C13">
        <v>1011</v>
      </c>
      <c r="D13" s="3" t="s">
        <v>17</v>
      </c>
      <c r="E13" s="3" t="s">
        <v>17</v>
      </c>
      <c r="F13">
        <v>1</v>
      </c>
      <c r="G13">
        <v>38</v>
      </c>
      <c r="I13">
        <v>30</v>
      </c>
      <c r="J13" s="5" t="s">
        <v>25</v>
      </c>
      <c r="L13">
        <v>360</v>
      </c>
      <c r="M13">
        <v>2000</v>
      </c>
      <c r="N13">
        <f t="shared" ref="N13:N33" si="1">L13+M13</f>
        <v>2360</v>
      </c>
    </row>
    <row r="14" spans="1:14">
      <c r="A14">
        <v>1011</v>
      </c>
      <c r="B14" s="4">
        <v>3</v>
      </c>
      <c r="C14">
        <v>1012</v>
      </c>
      <c r="D14" t="s">
        <v>26</v>
      </c>
      <c r="E14" s="3" t="s">
        <v>17</v>
      </c>
      <c r="F14">
        <v>1</v>
      </c>
      <c r="G14">
        <v>0</v>
      </c>
      <c r="L14">
        <v>900</v>
      </c>
      <c r="M14">
        <v>50</v>
      </c>
      <c r="N14">
        <f t="shared" si="1"/>
        <v>950</v>
      </c>
    </row>
    <row r="15" spans="1:17">
      <c r="A15">
        <v>1012</v>
      </c>
      <c r="B15" s="4">
        <v>3</v>
      </c>
      <c r="C15">
        <v>1013</v>
      </c>
      <c r="D15" t="s">
        <v>27</v>
      </c>
      <c r="E15" s="3" t="s">
        <v>17</v>
      </c>
      <c r="F15">
        <v>1</v>
      </c>
      <c r="G15">
        <v>0</v>
      </c>
      <c r="L15">
        <v>900</v>
      </c>
      <c r="M15">
        <v>200</v>
      </c>
      <c r="N15">
        <f t="shared" si="1"/>
        <v>1100</v>
      </c>
      <c r="O15">
        <f>N13+N14+N15</f>
        <v>4410</v>
      </c>
      <c r="P15">
        <v>600</v>
      </c>
      <c r="Q15" s="6">
        <f>O15/P15</f>
        <v>7.35</v>
      </c>
    </row>
    <row r="16" ht="14.25" spans="1:14">
      <c r="A16">
        <v>1013</v>
      </c>
      <c r="B16" s="4">
        <v>1</v>
      </c>
      <c r="C16">
        <v>1014</v>
      </c>
      <c r="D16" s="3" t="s">
        <v>17</v>
      </c>
      <c r="E16" s="3" t="s">
        <v>17</v>
      </c>
      <c r="F16">
        <v>1</v>
      </c>
      <c r="G16">
        <v>39</v>
      </c>
      <c r="I16">
        <v>68</v>
      </c>
      <c r="J16" s="5" t="s">
        <v>28</v>
      </c>
      <c r="L16">
        <v>720</v>
      </c>
      <c r="M16">
        <v>4000</v>
      </c>
      <c r="N16">
        <f t="shared" si="1"/>
        <v>4720</v>
      </c>
    </row>
    <row r="17" spans="1:14">
      <c r="A17">
        <v>1014</v>
      </c>
      <c r="B17" s="4">
        <v>3</v>
      </c>
      <c r="C17">
        <v>1015</v>
      </c>
      <c r="D17" t="s">
        <v>29</v>
      </c>
      <c r="E17" s="3" t="s">
        <v>17</v>
      </c>
      <c r="F17">
        <v>1</v>
      </c>
      <c r="G17">
        <v>0</v>
      </c>
      <c r="L17">
        <v>144</v>
      </c>
      <c r="M17">
        <v>800</v>
      </c>
      <c r="N17">
        <f t="shared" si="1"/>
        <v>944</v>
      </c>
    </row>
    <row r="18" spans="1:14">
      <c r="A18">
        <v>1015</v>
      </c>
      <c r="B18" s="4">
        <v>2</v>
      </c>
      <c r="C18">
        <v>1016</v>
      </c>
      <c r="D18" t="s">
        <v>30</v>
      </c>
      <c r="E18" s="3" t="s">
        <v>31</v>
      </c>
      <c r="F18">
        <v>1</v>
      </c>
      <c r="G18">
        <v>0</v>
      </c>
      <c r="L18">
        <v>2000</v>
      </c>
      <c r="M18">
        <v>800</v>
      </c>
      <c r="N18">
        <f t="shared" si="1"/>
        <v>2800</v>
      </c>
    </row>
    <row r="19" spans="1:14">
      <c r="A19">
        <v>1016</v>
      </c>
      <c r="B19" s="4">
        <v>3</v>
      </c>
      <c r="C19">
        <v>1017</v>
      </c>
      <c r="D19" t="s">
        <v>32</v>
      </c>
      <c r="E19" s="3" t="s">
        <v>17</v>
      </c>
      <c r="F19">
        <v>1</v>
      </c>
      <c r="G19">
        <v>0</v>
      </c>
      <c r="L19">
        <v>400</v>
      </c>
      <c r="M19">
        <v>800</v>
      </c>
      <c r="N19">
        <f t="shared" si="1"/>
        <v>1200</v>
      </c>
    </row>
    <row r="20" spans="1:14">
      <c r="A20">
        <v>1017</v>
      </c>
      <c r="B20" s="4">
        <v>3</v>
      </c>
      <c r="C20">
        <v>1018</v>
      </c>
      <c r="D20" t="s">
        <v>33</v>
      </c>
      <c r="E20" s="3" t="s">
        <v>17</v>
      </c>
      <c r="F20">
        <v>1</v>
      </c>
      <c r="G20">
        <v>0</v>
      </c>
      <c r="L20">
        <v>400</v>
      </c>
      <c r="M20">
        <v>100</v>
      </c>
      <c r="N20">
        <f t="shared" si="1"/>
        <v>500</v>
      </c>
    </row>
    <row r="21" spans="1:18">
      <c r="A21">
        <v>1018</v>
      </c>
      <c r="B21" s="4">
        <v>2</v>
      </c>
      <c r="C21">
        <v>1019</v>
      </c>
      <c r="D21" t="s">
        <v>34</v>
      </c>
      <c r="E21" s="3" t="s">
        <v>31</v>
      </c>
      <c r="F21">
        <v>1</v>
      </c>
      <c r="G21">
        <v>0</v>
      </c>
      <c r="L21">
        <v>2000</v>
      </c>
      <c r="M21">
        <v>200</v>
      </c>
      <c r="N21">
        <f t="shared" si="1"/>
        <v>2200</v>
      </c>
      <c r="O21">
        <f>N16+N17+N18+N19+N20+N21</f>
        <v>12364</v>
      </c>
      <c r="P21">
        <f>O21-3600</f>
        <v>8764</v>
      </c>
      <c r="Q21">
        <v>1800</v>
      </c>
      <c r="R21" s="6">
        <f>P21/Q21</f>
        <v>4.86888888888889</v>
      </c>
    </row>
    <row r="22" ht="14.25" spans="1:14">
      <c r="A22">
        <v>1019</v>
      </c>
      <c r="B22" s="4">
        <v>1</v>
      </c>
      <c r="C22">
        <v>1020</v>
      </c>
      <c r="D22" s="3" t="s">
        <v>17</v>
      </c>
      <c r="E22" s="3" t="s">
        <v>17</v>
      </c>
      <c r="F22">
        <v>1</v>
      </c>
      <c r="G22">
        <v>40</v>
      </c>
      <c r="I22">
        <v>68</v>
      </c>
      <c r="J22" s="5" t="s">
        <v>35</v>
      </c>
      <c r="L22">
        <v>4000</v>
      </c>
      <c r="M22">
        <v>3000</v>
      </c>
      <c r="N22">
        <f t="shared" si="1"/>
        <v>7000</v>
      </c>
    </row>
    <row r="23" spans="1:14">
      <c r="A23">
        <v>1020</v>
      </c>
      <c r="B23" s="4">
        <v>3</v>
      </c>
      <c r="C23">
        <v>1021</v>
      </c>
      <c r="D23" t="s">
        <v>36</v>
      </c>
      <c r="E23" s="3" t="s">
        <v>17</v>
      </c>
      <c r="F23">
        <v>1</v>
      </c>
      <c r="G23">
        <v>0</v>
      </c>
      <c r="L23">
        <v>300</v>
      </c>
      <c r="M23">
        <v>300</v>
      </c>
      <c r="N23">
        <f t="shared" si="1"/>
        <v>600</v>
      </c>
    </row>
    <row r="24" spans="1:14">
      <c r="A24">
        <v>1021</v>
      </c>
      <c r="B24" s="4">
        <v>3</v>
      </c>
      <c r="C24">
        <v>1022</v>
      </c>
      <c r="D24" t="s">
        <v>36</v>
      </c>
      <c r="E24" s="3" t="s">
        <v>17</v>
      </c>
      <c r="F24">
        <v>1</v>
      </c>
      <c r="G24">
        <v>0</v>
      </c>
      <c r="L24">
        <v>300</v>
      </c>
      <c r="M24">
        <v>300</v>
      </c>
      <c r="N24">
        <f t="shared" si="1"/>
        <v>600</v>
      </c>
    </row>
    <row r="25" spans="1:14">
      <c r="A25">
        <v>1022</v>
      </c>
      <c r="B25" s="4">
        <v>2</v>
      </c>
      <c r="C25">
        <v>1023</v>
      </c>
      <c r="D25" t="s">
        <v>37</v>
      </c>
      <c r="E25" s="3" t="s">
        <v>31</v>
      </c>
      <c r="F25">
        <v>1</v>
      </c>
      <c r="G25">
        <v>0</v>
      </c>
      <c r="L25">
        <v>600</v>
      </c>
      <c r="M25">
        <v>450</v>
      </c>
      <c r="N25">
        <f t="shared" si="1"/>
        <v>1050</v>
      </c>
    </row>
    <row r="26" spans="1:14">
      <c r="A26">
        <v>1023</v>
      </c>
      <c r="B26" s="4">
        <v>3</v>
      </c>
      <c r="C26">
        <v>1024</v>
      </c>
      <c r="D26" t="s">
        <v>36</v>
      </c>
      <c r="E26" s="3" t="s">
        <v>17</v>
      </c>
      <c r="F26">
        <v>1</v>
      </c>
      <c r="G26">
        <v>0</v>
      </c>
      <c r="L26">
        <v>300</v>
      </c>
      <c r="M26">
        <v>300</v>
      </c>
      <c r="N26">
        <f t="shared" si="1"/>
        <v>600</v>
      </c>
    </row>
    <row r="27" spans="1:18">
      <c r="A27">
        <v>1024</v>
      </c>
      <c r="B27" s="4">
        <v>2</v>
      </c>
      <c r="C27">
        <v>1025</v>
      </c>
      <c r="D27" t="s">
        <v>37</v>
      </c>
      <c r="E27" s="3" t="s">
        <v>31</v>
      </c>
      <c r="F27">
        <v>1</v>
      </c>
      <c r="G27">
        <v>0</v>
      </c>
      <c r="L27">
        <v>600</v>
      </c>
      <c r="M27">
        <v>450</v>
      </c>
      <c r="N27">
        <f t="shared" si="1"/>
        <v>1050</v>
      </c>
      <c r="O27">
        <f>N22+N23+N24+N25+N26+N27</f>
        <v>10900</v>
      </c>
      <c r="P27">
        <f>O27-3600</f>
        <v>7300</v>
      </c>
      <c r="Q27">
        <v>1800</v>
      </c>
      <c r="R27" s="6">
        <f>P27/Q27</f>
        <v>4.05555555555556</v>
      </c>
    </row>
    <row r="28" ht="14.25" spans="1:14">
      <c r="A28">
        <v>1025</v>
      </c>
      <c r="B28" s="4">
        <v>1</v>
      </c>
      <c r="C28">
        <v>1026</v>
      </c>
      <c r="D28" s="3" t="s">
        <v>17</v>
      </c>
      <c r="E28" s="3" t="s">
        <v>17</v>
      </c>
      <c r="F28">
        <v>1</v>
      </c>
      <c r="G28">
        <v>41</v>
      </c>
      <c r="I28">
        <v>98</v>
      </c>
      <c r="J28" s="5" t="s">
        <v>38</v>
      </c>
      <c r="L28">
        <v>3000</v>
      </c>
      <c r="M28">
        <v>3000</v>
      </c>
      <c r="N28">
        <f t="shared" si="1"/>
        <v>6000</v>
      </c>
    </row>
    <row r="29" spans="1:14">
      <c r="A29">
        <v>1026</v>
      </c>
      <c r="B29" s="4">
        <v>3</v>
      </c>
      <c r="C29">
        <v>1027</v>
      </c>
      <c r="D29" t="s">
        <v>39</v>
      </c>
      <c r="E29" s="3" t="s">
        <v>17</v>
      </c>
      <c r="F29">
        <v>1</v>
      </c>
      <c r="G29">
        <v>0</v>
      </c>
      <c r="L29">
        <v>450</v>
      </c>
      <c r="M29">
        <v>400</v>
      </c>
      <c r="N29">
        <f t="shared" si="1"/>
        <v>850</v>
      </c>
    </row>
    <row r="30" spans="1:14">
      <c r="A30">
        <v>1027</v>
      </c>
      <c r="B30" s="4">
        <v>2</v>
      </c>
      <c r="C30">
        <v>1028</v>
      </c>
      <c r="D30" t="s">
        <v>40</v>
      </c>
      <c r="E30" s="3" t="s">
        <v>41</v>
      </c>
      <c r="F30">
        <v>1</v>
      </c>
      <c r="G30">
        <v>0</v>
      </c>
      <c r="L30">
        <v>800</v>
      </c>
      <c r="M30">
        <v>200</v>
      </c>
      <c r="N30">
        <f t="shared" si="1"/>
        <v>1000</v>
      </c>
    </row>
    <row r="31" spans="1:14">
      <c r="A31">
        <v>1028</v>
      </c>
      <c r="B31" s="4">
        <v>3</v>
      </c>
      <c r="C31">
        <v>1029</v>
      </c>
      <c r="D31" t="s">
        <v>42</v>
      </c>
      <c r="E31" s="3" t="s">
        <v>17</v>
      </c>
      <c r="F31">
        <v>1</v>
      </c>
      <c r="G31">
        <v>0</v>
      </c>
      <c r="L31">
        <v>300</v>
      </c>
      <c r="M31">
        <v>100</v>
      </c>
      <c r="N31">
        <f t="shared" si="1"/>
        <v>400</v>
      </c>
    </row>
    <row r="32" spans="1:14">
      <c r="A32">
        <v>1029</v>
      </c>
      <c r="B32" s="4">
        <v>2</v>
      </c>
      <c r="C32">
        <v>1030</v>
      </c>
      <c r="D32" t="s">
        <v>40</v>
      </c>
      <c r="E32" s="3" t="s">
        <v>41</v>
      </c>
      <c r="F32">
        <v>1</v>
      </c>
      <c r="G32">
        <v>0</v>
      </c>
      <c r="L32">
        <v>800</v>
      </c>
      <c r="M32">
        <v>200</v>
      </c>
      <c r="N32">
        <f t="shared" si="1"/>
        <v>1000</v>
      </c>
    </row>
    <row r="33" spans="1:18">
      <c r="A33">
        <v>1030</v>
      </c>
      <c r="B33" s="4">
        <v>3</v>
      </c>
      <c r="C33">
        <v>1031</v>
      </c>
      <c r="D33" t="s">
        <v>42</v>
      </c>
      <c r="E33" s="3" t="s">
        <v>17</v>
      </c>
      <c r="F33">
        <v>1</v>
      </c>
      <c r="G33">
        <v>0</v>
      </c>
      <c r="L33">
        <v>300</v>
      </c>
      <c r="M33">
        <v>100</v>
      </c>
      <c r="N33">
        <f t="shared" si="1"/>
        <v>400</v>
      </c>
      <c r="O33">
        <f>N28+N29+N30+N31+N32+N33</f>
        <v>9650</v>
      </c>
      <c r="Q33">
        <v>2700</v>
      </c>
      <c r="R33">
        <f>O33/Q33</f>
        <v>3.57407407407407</v>
      </c>
    </row>
  </sheetData>
  <autoFilter ref="A3:G33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L10"/>
  <sheetViews>
    <sheetView workbookViewId="0">
      <selection activeCell="A10" sqref="A10:K10"/>
    </sheetView>
  </sheetViews>
  <sheetFormatPr defaultColWidth="9" defaultRowHeight="13.5"/>
  <cols>
    <col min="2" max="2" width="14.5" customWidth="1"/>
    <col min="7" max="7" width="15.625" customWidth="1"/>
  </cols>
  <sheetData>
    <row r="10" spans="1:12">
      <c r="A10">
        <v>1003</v>
      </c>
      <c r="B10">
        <v>3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47</v>
      </c>
      <c r="I10" s="3" t="s">
        <v>48</v>
      </c>
      <c r="J10" s="3" t="s">
        <v>49</v>
      </c>
      <c r="K10" s="3" t="s">
        <v>50</v>
      </c>
      <c r="L10" s="3" t="s">
        <v>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6:D36"/>
  <sheetViews>
    <sheetView topLeftCell="A13" workbookViewId="0">
      <selection activeCell="D16" sqref="D16:D36"/>
    </sheetView>
  </sheetViews>
  <sheetFormatPr defaultColWidth="9" defaultRowHeight="13.5" outlineLevelCol="3"/>
  <cols>
    <col min="2" max="2" width="25.375" customWidth="1"/>
    <col min="3" max="3" width="16.625" customWidth="1"/>
    <col min="4" max="4" width="37.375" customWidth="1"/>
  </cols>
  <sheetData>
    <row r="16" spans="3:4">
      <c r="C16" s="1">
        <v>100</v>
      </c>
      <c r="D16" s="1" t="s">
        <v>52</v>
      </c>
    </row>
    <row r="17" spans="3:4">
      <c r="C17" s="2">
        <v>300</v>
      </c>
      <c r="D17" s="2" t="s">
        <v>53</v>
      </c>
    </row>
    <row r="18" spans="3:4">
      <c r="C18" s="2">
        <v>500</v>
      </c>
      <c r="D18" s="2" t="s">
        <v>54</v>
      </c>
    </row>
    <row r="19" spans="3:4">
      <c r="C19" s="1">
        <v>150</v>
      </c>
      <c r="D19" s="1" t="s">
        <v>55</v>
      </c>
    </row>
    <row r="20" spans="3:4">
      <c r="C20" s="2">
        <v>400</v>
      </c>
      <c r="D20" s="2" t="s">
        <v>56</v>
      </c>
    </row>
    <row r="21" spans="3:4">
      <c r="C21" s="2">
        <v>600</v>
      </c>
      <c r="D21" s="2" t="s">
        <v>57</v>
      </c>
    </row>
    <row r="22" spans="3:4">
      <c r="C22" s="1">
        <v>150</v>
      </c>
      <c r="D22" s="1" t="s">
        <v>58</v>
      </c>
    </row>
    <row r="23" spans="3:4">
      <c r="C23" s="2">
        <v>400</v>
      </c>
      <c r="D23" s="2" t="s">
        <v>59</v>
      </c>
    </row>
    <row r="24" spans="3:4">
      <c r="C24" s="2">
        <v>600</v>
      </c>
      <c r="D24" s="2" t="s">
        <v>60</v>
      </c>
    </row>
    <row r="25" spans="3:4">
      <c r="C25" s="1">
        <v>150</v>
      </c>
      <c r="D25" s="1" t="s">
        <v>61</v>
      </c>
    </row>
    <row r="26" spans="3:4">
      <c r="C26" s="2">
        <v>400</v>
      </c>
      <c r="D26" s="2" t="s">
        <v>62</v>
      </c>
    </row>
    <row r="27" spans="3:4">
      <c r="C27" s="2">
        <v>600</v>
      </c>
      <c r="D27" s="2" t="s">
        <v>63</v>
      </c>
    </row>
    <row r="28" spans="3:4">
      <c r="C28" s="1">
        <v>150</v>
      </c>
      <c r="D28" s="1" t="s">
        <v>64</v>
      </c>
    </row>
    <row r="29" spans="3:4">
      <c r="C29" s="2">
        <v>400</v>
      </c>
      <c r="D29" s="2" t="s">
        <v>65</v>
      </c>
    </row>
    <row r="30" spans="3:4">
      <c r="C30" s="2">
        <v>600</v>
      </c>
      <c r="D30" s="2" t="s">
        <v>66</v>
      </c>
    </row>
    <row r="31" spans="3:4">
      <c r="C31" s="1">
        <v>300</v>
      </c>
      <c r="D31" s="1" t="s">
        <v>67</v>
      </c>
    </row>
    <row r="32" spans="3:4">
      <c r="C32" s="2">
        <v>500</v>
      </c>
      <c r="D32" s="2" t="s">
        <v>68</v>
      </c>
    </row>
    <row r="33" spans="3:4">
      <c r="C33" s="2">
        <v>800</v>
      </c>
      <c r="D33" s="2" t="s">
        <v>69</v>
      </c>
    </row>
    <row r="34" spans="3:4">
      <c r="C34" s="1">
        <v>500</v>
      </c>
      <c r="D34" s="1" t="s">
        <v>70</v>
      </c>
    </row>
    <row r="35" spans="3:4">
      <c r="C35" s="2">
        <v>800</v>
      </c>
      <c r="D35" s="2" t="s">
        <v>71</v>
      </c>
    </row>
    <row r="36" spans="3:4">
      <c r="C36" s="2">
        <v>2000</v>
      </c>
      <c r="D36" s="2" t="s">
        <v>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Zlpack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2023-06-24T04:24:00Z</dcterms:created>
  <dcterms:modified xsi:type="dcterms:W3CDTF">2025-04-18T09:02:21Z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